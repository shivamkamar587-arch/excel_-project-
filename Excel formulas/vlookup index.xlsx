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38568C49-E838-46B3-8F50-D2043004B63A}" xr6:coauthVersionLast="47" xr6:coauthVersionMax="47" xr10:uidLastSave="{00000000-0000-0000-0000-000000000000}"/>
  <bookViews>
    <workbookView xWindow="-110" yWindow="-110" windowWidth="19420" windowHeight="10300" xr2:uid="{C79C0388-8904-4A1B-A6AA-35542C23EA8B}"/>
  </bookViews>
  <sheets>
    <sheet name="ECOMMERS SALES" sheetId="2" r:id="rId1"/>
    <sheet name="Aggrigate function" sheetId="4" r:id="rId2"/>
    <sheet name="index match" sheetId="3" r:id="rId3"/>
    <sheet name="vlookup match" sheetId="1" r:id="rId4"/>
  </sheets>
  <definedNames>
    <definedName name="ExternalData_1" localSheetId="1" hidden="1">'Aggrigate function'!$A$1:$J$500</definedName>
    <definedName name="ExternalData_1" localSheetId="0" hidden="1">'ECOMMERS SALES'!$A$1:$J$500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4" l="1"/>
  <c r="P7" i="4"/>
  <c r="P6" i="4"/>
  <c r="K6" i="4"/>
  <c r="K5" i="4"/>
  <c r="K4" i="4"/>
  <c r="K3" i="4"/>
  <c r="K2" i="4"/>
  <c r="B4" i="3"/>
  <c r="C4" i="3"/>
  <c r="D4" i="3"/>
  <c r="E4" i="3"/>
  <c r="F4" i="3"/>
  <c r="G4" i="3"/>
  <c r="H4" i="3"/>
  <c r="I4" i="3"/>
  <c r="J4" i="3"/>
  <c r="B5" i="3"/>
  <c r="C5" i="3"/>
  <c r="D5" i="3"/>
  <c r="E5" i="3"/>
  <c r="F5" i="3"/>
  <c r="G5" i="3"/>
  <c r="H5" i="3"/>
  <c r="I5" i="3"/>
  <c r="J5" i="3"/>
  <c r="B6" i="3"/>
  <c r="C6" i="3"/>
  <c r="D6" i="3"/>
  <c r="E6" i="3"/>
  <c r="F6" i="3"/>
  <c r="G6" i="3"/>
  <c r="H6" i="3"/>
  <c r="I6" i="3"/>
  <c r="J6" i="3"/>
  <c r="B7" i="3"/>
  <c r="C7" i="3"/>
  <c r="D7" i="3"/>
  <c r="E7" i="3"/>
  <c r="F7" i="3"/>
  <c r="G7" i="3"/>
  <c r="H7" i="3"/>
  <c r="I7" i="3"/>
  <c r="J7" i="3"/>
  <c r="B8" i="3"/>
  <c r="C8" i="3"/>
  <c r="D8" i="3"/>
  <c r="E8" i="3"/>
  <c r="F8" i="3"/>
  <c r="G8" i="3"/>
  <c r="H8" i="3"/>
  <c r="I8" i="3"/>
  <c r="J8" i="3"/>
  <c r="B9" i="3"/>
  <c r="C9" i="3"/>
  <c r="D9" i="3"/>
  <c r="E9" i="3"/>
  <c r="F9" i="3"/>
  <c r="G9" i="3"/>
  <c r="H9" i="3"/>
  <c r="I9" i="3"/>
  <c r="J9" i="3"/>
  <c r="B10" i="3"/>
  <c r="C10" i="3"/>
  <c r="D10" i="3"/>
  <c r="E10" i="3"/>
  <c r="F10" i="3"/>
  <c r="G10" i="3"/>
  <c r="H10" i="3"/>
  <c r="I10" i="3"/>
  <c r="J10" i="3"/>
  <c r="B11" i="3"/>
  <c r="C11" i="3"/>
  <c r="D11" i="3"/>
  <c r="E11" i="3"/>
  <c r="F11" i="3"/>
  <c r="G11" i="3"/>
  <c r="H11" i="3"/>
  <c r="I11" i="3"/>
  <c r="J11" i="3"/>
  <c r="B12" i="3"/>
  <c r="C12" i="3"/>
  <c r="D12" i="3"/>
  <c r="E12" i="3"/>
  <c r="F12" i="3"/>
  <c r="G12" i="3"/>
  <c r="H12" i="3"/>
  <c r="I12" i="3"/>
  <c r="J12" i="3"/>
  <c r="B13" i="3"/>
  <c r="C13" i="3"/>
  <c r="D13" i="3"/>
  <c r="E13" i="3"/>
  <c r="F13" i="3"/>
  <c r="G13" i="3"/>
  <c r="H13" i="3"/>
  <c r="I13" i="3"/>
  <c r="J13" i="3"/>
  <c r="B14" i="3"/>
  <c r="C14" i="3"/>
  <c r="D14" i="3"/>
  <c r="E14" i="3"/>
  <c r="F14" i="3"/>
  <c r="G14" i="3"/>
  <c r="H14" i="3"/>
  <c r="I14" i="3"/>
  <c r="J14" i="3"/>
  <c r="B15" i="3"/>
  <c r="C15" i="3"/>
  <c r="D15" i="3"/>
  <c r="E15" i="3"/>
  <c r="F15" i="3"/>
  <c r="G15" i="3"/>
  <c r="H15" i="3"/>
  <c r="I15" i="3"/>
  <c r="J15" i="3"/>
  <c r="B16" i="3"/>
  <c r="C16" i="3"/>
  <c r="D16" i="3"/>
  <c r="E16" i="3"/>
  <c r="F16" i="3"/>
  <c r="G16" i="3"/>
  <c r="H16" i="3"/>
  <c r="I16" i="3"/>
  <c r="J16" i="3"/>
  <c r="B17" i="3"/>
  <c r="C17" i="3"/>
  <c r="D17" i="3"/>
  <c r="E17" i="3"/>
  <c r="F17" i="3"/>
  <c r="G17" i="3"/>
  <c r="H17" i="3"/>
  <c r="I17" i="3"/>
  <c r="J17" i="3"/>
  <c r="B18" i="3"/>
  <c r="C18" i="3"/>
  <c r="D18" i="3"/>
  <c r="E18" i="3"/>
  <c r="F18" i="3"/>
  <c r="G18" i="3"/>
  <c r="H18" i="3"/>
  <c r="I18" i="3"/>
  <c r="J18" i="3"/>
  <c r="B19" i="3"/>
  <c r="C19" i="3"/>
  <c r="D19" i="3"/>
  <c r="E19" i="3"/>
  <c r="F19" i="3"/>
  <c r="G19" i="3"/>
  <c r="H19" i="3"/>
  <c r="I19" i="3"/>
  <c r="J19" i="3"/>
  <c r="B20" i="3"/>
  <c r="C20" i="3"/>
  <c r="D20" i="3"/>
  <c r="E20" i="3"/>
  <c r="F20" i="3"/>
  <c r="G20" i="3"/>
  <c r="H20" i="3"/>
  <c r="I20" i="3"/>
  <c r="J20" i="3"/>
  <c r="B21" i="3"/>
  <c r="C21" i="3"/>
  <c r="D21" i="3"/>
  <c r="E21" i="3"/>
  <c r="F21" i="3"/>
  <c r="G21" i="3"/>
  <c r="H21" i="3"/>
  <c r="I21" i="3"/>
  <c r="J21" i="3"/>
  <c r="B22" i="3"/>
  <c r="C22" i="3"/>
  <c r="D22" i="3"/>
  <c r="E22" i="3"/>
  <c r="F22" i="3"/>
  <c r="G22" i="3"/>
  <c r="H22" i="3"/>
  <c r="I22" i="3"/>
  <c r="J22" i="3"/>
  <c r="B23" i="3"/>
  <c r="C23" i="3"/>
  <c r="D23" i="3"/>
  <c r="E23" i="3"/>
  <c r="F23" i="3"/>
  <c r="G23" i="3"/>
  <c r="H23" i="3"/>
  <c r="I23" i="3"/>
  <c r="J23" i="3"/>
  <c r="B24" i="3"/>
  <c r="C24" i="3"/>
  <c r="D24" i="3"/>
  <c r="E24" i="3"/>
  <c r="F24" i="3"/>
  <c r="G24" i="3"/>
  <c r="H24" i="3"/>
  <c r="I24" i="3"/>
  <c r="J24" i="3"/>
  <c r="B25" i="3"/>
  <c r="C25" i="3"/>
  <c r="D25" i="3"/>
  <c r="E25" i="3"/>
  <c r="F25" i="3"/>
  <c r="G25" i="3"/>
  <c r="H25" i="3"/>
  <c r="I25" i="3"/>
  <c r="J25" i="3"/>
  <c r="B26" i="3"/>
  <c r="C26" i="3"/>
  <c r="D26" i="3"/>
  <c r="E26" i="3"/>
  <c r="F26" i="3"/>
  <c r="G26" i="3"/>
  <c r="H26" i="3"/>
  <c r="I26" i="3"/>
  <c r="J26" i="3"/>
  <c r="B27" i="3"/>
  <c r="C27" i="3"/>
  <c r="D27" i="3"/>
  <c r="E27" i="3"/>
  <c r="F27" i="3"/>
  <c r="G27" i="3"/>
  <c r="H27" i="3"/>
  <c r="I27" i="3"/>
  <c r="J27" i="3"/>
  <c r="B28" i="3"/>
  <c r="C28" i="3"/>
  <c r="D28" i="3"/>
  <c r="E28" i="3"/>
  <c r="F28" i="3"/>
  <c r="G28" i="3"/>
  <c r="H28" i="3"/>
  <c r="I28" i="3"/>
  <c r="J28" i="3"/>
  <c r="B29" i="3"/>
  <c r="C29" i="3"/>
  <c r="D29" i="3"/>
  <c r="E29" i="3"/>
  <c r="F29" i="3"/>
  <c r="G29" i="3"/>
  <c r="H29" i="3"/>
  <c r="I29" i="3"/>
  <c r="J29" i="3"/>
  <c r="B30" i="3"/>
  <c r="C30" i="3"/>
  <c r="D30" i="3"/>
  <c r="E30" i="3"/>
  <c r="F30" i="3"/>
  <c r="G30" i="3"/>
  <c r="H30" i="3"/>
  <c r="I30" i="3"/>
  <c r="J30" i="3"/>
  <c r="B31" i="3"/>
  <c r="C31" i="3"/>
  <c r="D31" i="3"/>
  <c r="E31" i="3"/>
  <c r="F31" i="3"/>
  <c r="G31" i="3"/>
  <c r="H31" i="3"/>
  <c r="I31" i="3"/>
  <c r="J31" i="3"/>
  <c r="B32" i="3"/>
  <c r="C32" i="3"/>
  <c r="D32" i="3"/>
  <c r="E32" i="3"/>
  <c r="F32" i="3"/>
  <c r="G32" i="3"/>
  <c r="H32" i="3"/>
  <c r="I32" i="3"/>
  <c r="J32" i="3"/>
  <c r="B33" i="3"/>
  <c r="C33" i="3"/>
  <c r="D33" i="3"/>
  <c r="E33" i="3"/>
  <c r="F33" i="3"/>
  <c r="G33" i="3"/>
  <c r="H33" i="3"/>
  <c r="I33" i="3"/>
  <c r="J33" i="3"/>
  <c r="B34" i="3"/>
  <c r="C34" i="3"/>
  <c r="D34" i="3"/>
  <c r="E34" i="3"/>
  <c r="F34" i="3"/>
  <c r="G34" i="3"/>
  <c r="H34" i="3"/>
  <c r="I34" i="3"/>
  <c r="J34" i="3"/>
  <c r="B35" i="3"/>
  <c r="C35" i="3"/>
  <c r="D35" i="3"/>
  <c r="E35" i="3"/>
  <c r="F35" i="3"/>
  <c r="G35" i="3"/>
  <c r="H35" i="3"/>
  <c r="I35" i="3"/>
  <c r="J35" i="3"/>
  <c r="B36" i="3"/>
  <c r="C36" i="3"/>
  <c r="D36" i="3"/>
  <c r="E36" i="3"/>
  <c r="F36" i="3"/>
  <c r="G36" i="3"/>
  <c r="H36" i="3"/>
  <c r="I36" i="3"/>
  <c r="J36" i="3"/>
  <c r="B37" i="3"/>
  <c r="C37" i="3"/>
  <c r="D37" i="3"/>
  <c r="E37" i="3"/>
  <c r="F37" i="3"/>
  <c r="G37" i="3"/>
  <c r="H37" i="3"/>
  <c r="I37" i="3"/>
  <c r="J37" i="3"/>
  <c r="B38" i="3"/>
  <c r="C38" i="3"/>
  <c r="D38" i="3"/>
  <c r="E38" i="3"/>
  <c r="F38" i="3"/>
  <c r="G38" i="3"/>
  <c r="H38" i="3"/>
  <c r="I38" i="3"/>
  <c r="J38" i="3"/>
  <c r="B39" i="3"/>
  <c r="C39" i="3"/>
  <c r="D39" i="3"/>
  <c r="E39" i="3"/>
  <c r="F39" i="3"/>
  <c r="G39" i="3"/>
  <c r="H39" i="3"/>
  <c r="I39" i="3"/>
  <c r="J39" i="3"/>
  <c r="B40" i="3"/>
  <c r="C40" i="3"/>
  <c r="D40" i="3"/>
  <c r="E40" i="3"/>
  <c r="F40" i="3"/>
  <c r="G40" i="3"/>
  <c r="H40" i="3"/>
  <c r="I40" i="3"/>
  <c r="J40" i="3"/>
  <c r="B41" i="3"/>
  <c r="C41" i="3"/>
  <c r="D41" i="3"/>
  <c r="E41" i="3"/>
  <c r="F41" i="3"/>
  <c r="G41" i="3"/>
  <c r="H41" i="3"/>
  <c r="I41" i="3"/>
  <c r="J41" i="3"/>
  <c r="B42" i="3"/>
  <c r="C42" i="3"/>
  <c r="D42" i="3"/>
  <c r="E42" i="3"/>
  <c r="F42" i="3"/>
  <c r="G42" i="3"/>
  <c r="H42" i="3"/>
  <c r="I42" i="3"/>
  <c r="J42" i="3"/>
  <c r="B43" i="3"/>
  <c r="C43" i="3"/>
  <c r="D43" i="3"/>
  <c r="E43" i="3"/>
  <c r="F43" i="3"/>
  <c r="G43" i="3"/>
  <c r="H43" i="3"/>
  <c r="I43" i="3"/>
  <c r="J43" i="3"/>
  <c r="B44" i="3"/>
  <c r="C44" i="3"/>
  <c r="D44" i="3"/>
  <c r="E44" i="3"/>
  <c r="F44" i="3"/>
  <c r="G44" i="3"/>
  <c r="H44" i="3"/>
  <c r="I44" i="3"/>
  <c r="J44" i="3"/>
  <c r="B45" i="3"/>
  <c r="C45" i="3"/>
  <c r="D45" i="3"/>
  <c r="E45" i="3"/>
  <c r="F45" i="3"/>
  <c r="G45" i="3"/>
  <c r="H45" i="3"/>
  <c r="I45" i="3"/>
  <c r="J45" i="3"/>
  <c r="B46" i="3"/>
  <c r="C46" i="3"/>
  <c r="D46" i="3"/>
  <c r="E46" i="3"/>
  <c r="F46" i="3"/>
  <c r="G46" i="3"/>
  <c r="H46" i="3"/>
  <c r="I46" i="3"/>
  <c r="J46" i="3"/>
  <c r="B47" i="3"/>
  <c r="C47" i="3"/>
  <c r="D47" i="3"/>
  <c r="E47" i="3"/>
  <c r="F47" i="3"/>
  <c r="G47" i="3"/>
  <c r="H47" i="3"/>
  <c r="I47" i="3"/>
  <c r="J47" i="3"/>
  <c r="B48" i="3"/>
  <c r="C48" i="3"/>
  <c r="D48" i="3"/>
  <c r="E48" i="3"/>
  <c r="F48" i="3"/>
  <c r="G48" i="3"/>
  <c r="H48" i="3"/>
  <c r="I48" i="3"/>
  <c r="J48" i="3"/>
  <c r="B49" i="3"/>
  <c r="C49" i="3"/>
  <c r="D49" i="3"/>
  <c r="E49" i="3"/>
  <c r="F49" i="3"/>
  <c r="G49" i="3"/>
  <c r="H49" i="3"/>
  <c r="I49" i="3"/>
  <c r="J49" i="3"/>
  <c r="B50" i="3"/>
  <c r="C50" i="3"/>
  <c r="D50" i="3"/>
  <c r="E50" i="3"/>
  <c r="F50" i="3"/>
  <c r="G50" i="3"/>
  <c r="H50" i="3"/>
  <c r="I50" i="3"/>
  <c r="J50" i="3"/>
  <c r="B51" i="3"/>
  <c r="C51" i="3"/>
  <c r="D51" i="3"/>
  <c r="E51" i="3"/>
  <c r="F51" i="3"/>
  <c r="G51" i="3"/>
  <c r="H51" i="3"/>
  <c r="I51" i="3"/>
  <c r="J51" i="3"/>
  <c r="B52" i="3"/>
  <c r="C52" i="3"/>
  <c r="D52" i="3"/>
  <c r="E52" i="3"/>
  <c r="F52" i="3"/>
  <c r="G52" i="3"/>
  <c r="H52" i="3"/>
  <c r="I52" i="3"/>
  <c r="J52" i="3"/>
  <c r="B53" i="3"/>
  <c r="C53" i="3"/>
  <c r="D53" i="3"/>
  <c r="E53" i="3"/>
  <c r="F53" i="3"/>
  <c r="G53" i="3"/>
  <c r="H53" i="3"/>
  <c r="I53" i="3"/>
  <c r="J53" i="3"/>
  <c r="B54" i="3"/>
  <c r="C54" i="3"/>
  <c r="D54" i="3"/>
  <c r="E54" i="3"/>
  <c r="F54" i="3"/>
  <c r="G54" i="3"/>
  <c r="H54" i="3"/>
  <c r="I54" i="3"/>
  <c r="J54" i="3"/>
  <c r="B55" i="3"/>
  <c r="C55" i="3"/>
  <c r="D55" i="3"/>
  <c r="E55" i="3"/>
  <c r="F55" i="3"/>
  <c r="G55" i="3"/>
  <c r="H55" i="3"/>
  <c r="I55" i="3"/>
  <c r="J55" i="3"/>
  <c r="B56" i="3"/>
  <c r="C56" i="3"/>
  <c r="D56" i="3"/>
  <c r="E56" i="3"/>
  <c r="F56" i="3"/>
  <c r="G56" i="3"/>
  <c r="H56" i="3"/>
  <c r="I56" i="3"/>
  <c r="J56" i="3"/>
  <c r="B57" i="3"/>
  <c r="C57" i="3"/>
  <c r="D57" i="3"/>
  <c r="E57" i="3"/>
  <c r="F57" i="3"/>
  <c r="G57" i="3"/>
  <c r="H57" i="3"/>
  <c r="I57" i="3"/>
  <c r="J57" i="3"/>
  <c r="B58" i="3"/>
  <c r="C58" i="3"/>
  <c r="D58" i="3"/>
  <c r="E58" i="3"/>
  <c r="F58" i="3"/>
  <c r="G58" i="3"/>
  <c r="H58" i="3"/>
  <c r="I58" i="3"/>
  <c r="J58" i="3"/>
  <c r="B59" i="3"/>
  <c r="C59" i="3"/>
  <c r="D59" i="3"/>
  <c r="E59" i="3"/>
  <c r="F59" i="3"/>
  <c r="G59" i="3"/>
  <c r="H59" i="3"/>
  <c r="I59" i="3"/>
  <c r="J59" i="3"/>
  <c r="B60" i="3"/>
  <c r="C60" i="3"/>
  <c r="D60" i="3"/>
  <c r="E60" i="3"/>
  <c r="F60" i="3"/>
  <c r="G60" i="3"/>
  <c r="H60" i="3"/>
  <c r="I60" i="3"/>
  <c r="J60" i="3"/>
  <c r="B61" i="3"/>
  <c r="C61" i="3"/>
  <c r="D61" i="3"/>
  <c r="E61" i="3"/>
  <c r="F61" i="3"/>
  <c r="G61" i="3"/>
  <c r="H61" i="3"/>
  <c r="I61" i="3"/>
  <c r="J61" i="3"/>
  <c r="B62" i="3"/>
  <c r="C62" i="3"/>
  <c r="D62" i="3"/>
  <c r="E62" i="3"/>
  <c r="F62" i="3"/>
  <c r="G62" i="3"/>
  <c r="H62" i="3"/>
  <c r="I62" i="3"/>
  <c r="J62" i="3"/>
  <c r="B63" i="3"/>
  <c r="C63" i="3"/>
  <c r="D63" i="3"/>
  <c r="E63" i="3"/>
  <c r="F63" i="3"/>
  <c r="G63" i="3"/>
  <c r="H63" i="3"/>
  <c r="I63" i="3"/>
  <c r="J63" i="3"/>
  <c r="B64" i="3"/>
  <c r="C64" i="3"/>
  <c r="D64" i="3"/>
  <c r="E64" i="3"/>
  <c r="F64" i="3"/>
  <c r="G64" i="3"/>
  <c r="H64" i="3"/>
  <c r="I64" i="3"/>
  <c r="J64" i="3"/>
  <c r="B65" i="3"/>
  <c r="C65" i="3"/>
  <c r="D65" i="3"/>
  <c r="E65" i="3"/>
  <c r="F65" i="3"/>
  <c r="G65" i="3"/>
  <c r="H65" i="3"/>
  <c r="I65" i="3"/>
  <c r="J65" i="3"/>
  <c r="B66" i="3"/>
  <c r="C66" i="3"/>
  <c r="D66" i="3"/>
  <c r="E66" i="3"/>
  <c r="F66" i="3"/>
  <c r="G66" i="3"/>
  <c r="H66" i="3"/>
  <c r="I66" i="3"/>
  <c r="J66" i="3"/>
  <c r="B67" i="3"/>
  <c r="C67" i="3"/>
  <c r="D67" i="3"/>
  <c r="E67" i="3"/>
  <c r="F67" i="3"/>
  <c r="G67" i="3"/>
  <c r="H67" i="3"/>
  <c r="I67" i="3"/>
  <c r="J67" i="3"/>
  <c r="B68" i="3"/>
  <c r="C68" i="3"/>
  <c r="D68" i="3"/>
  <c r="E68" i="3"/>
  <c r="F68" i="3"/>
  <c r="G68" i="3"/>
  <c r="H68" i="3"/>
  <c r="I68" i="3"/>
  <c r="J68" i="3"/>
  <c r="B69" i="3"/>
  <c r="C69" i="3"/>
  <c r="D69" i="3"/>
  <c r="E69" i="3"/>
  <c r="F69" i="3"/>
  <c r="G69" i="3"/>
  <c r="H69" i="3"/>
  <c r="I69" i="3"/>
  <c r="J69" i="3"/>
  <c r="B70" i="3"/>
  <c r="C70" i="3"/>
  <c r="D70" i="3"/>
  <c r="E70" i="3"/>
  <c r="F70" i="3"/>
  <c r="G70" i="3"/>
  <c r="H70" i="3"/>
  <c r="I70" i="3"/>
  <c r="J70" i="3"/>
  <c r="B71" i="3"/>
  <c r="C71" i="3"/>
  <c r="D71" i="3"/>
  <c r="E71" i="3"/>
  <c r="F71" i="3"/>
  <c r="G71" i="3"/>
  <c r="H71" i="3"/>
  <c r="I71" i="3"/>
  <c r="J71" i="3"/>
  <c r="B72" i="3"/>
  <c r="C72" i="3"/>
  <c r="D72" i="3"/>
  <c r="E72" i="3"/>
  <c r="F72" i="3"/>
  <c r="G72" i="3"/>
  <c r="H72" i="3"/>
  <c r="I72" i="3"/>
  <c r="J72" i="3"/>
  <c r="B73" i="3"/>
  <c r="C73" i="3"/>
  <c r="D73" i="3"/>
  <c r="E73" i="3"/>
  <c r="F73" i="3"/>
  <c r="G73" i="3"/>
  <c r="H73" i="3"/>
  <c r="I73" i="3"/>
  <c r="J73" i="3"/>
  <c r="B74" i="3"/>
  <c r="C74" i="3"/>
  <c r="D74" i="3"/>
  <c r="E74" i="3"/>
  <c r="F74" i="3"/>
  <c r="G74" i="3"/>
  <c r="H74" i="3"/>
  <c r="I74" i="3"/>
  <c r="J74" i="3"/>
  <c r="B75" i="3"/>
  <c r="C75" i="3"/>
  <c r="D75" i="3"/>
  <c r="E75" i="3"/>
  <c r="F75" i="3"/>
  <c r="G75" i="3"/>
  <c r="H75" i="3"/>
  <c r="I75" i="3"/>
  <c r="J75" i="3"/>
  <c r="B76" i="3"/>
  <c r="C76" i="3"/>
  <c r="D76" i="3"/>
  <c r="E76" i="3"/>
  <c r="F76" i="3"/>
  <c r="G76" i="3"/>
  <c r="H76" i="3"/>
  <c r="I76" i="3"/>
  <c r="J76" i="3"/>
  <c r="B77" i="3"/>
  <c r="C77" i="3"/>
  <c r="D77" i="3"/>
  <c r="E77" i="3"/>
  <c r="F77" i="3"/>
  <c r="G77" i="3"/>
  <c r="H77" i="3"/>
  <c r="I77" i="3"/>
  <c r="J77" i="3"/>
  <c r="B78" i="3"/>
  <c r="C78" i="3"/>
  <c r="D78" i="3"/>
  <c r="E78" i="3"/>
  <c r="F78" i="3"/>
  <c r="G78" i="3"/>
  <c r="H78" i="3"/>
  <c r="I78" i="3"/>
  <c r="J78" i="3"/>
  <c r="B79" i="3"/>
  <c r="C79" i="3"/>
  <c r="D79" i="3"/>
  <c r="E79" i="3"/>
  <c r="F79" i="3"/>
  <c r="G79" i="3"/>
  <c r="H79" i="3"/>
  <c r="I79" i="3"/>
  <c r="J79" i="3"/>
  <c r="B80" i="3"/>
  <c r="C80" i="3"/>
  <c r="D80" i="3"/>
  <c r="E80" i="3"/>
  <c r="F80" i="3"/>
  <c r="G80" i="3"/>
  <c r="H80" i="3"/>
  <c r="I80" i="3"/>
  <c r="J80" i="3"/>
  <c r="B81" i="3"/>
  <c r="C81" i="3"/>
  <c r="D81" i="3"/>
  <c r="E81" i="3"/>
  <c r="F81" i="3"/>
  <c r="G81" i="3"/>
  <c r="H81" i="3"/>
  <c r="I81" i="3"/>
  <c r="J81" i="3"/>
  <c r="B82" i="3"/>
  <c r="C82" i="3"/>
  <c r="D82" i="3"/>
  <c r="E82" i="3"/>
  <c r="F82" i="3"/>
  <c r="G82" i="3"/>
  <c r="H82" i="3"/>
  <c r="I82" i="3"/>
  <c r="J82" i="3"/>
  <c r="B83" i="3"/>
  <c r="C83" i="3"/>
  <c r="D83" i="3"/>
  <c r="E83" i="3"/>
  <c r="F83" i="3"/>
  <c r="G83" i="3"/>
  <c r="H83" i="3"/>
  <c r="I83" i="3"/>
  <c r="J83" i="3"/>
  <c r="B84" i="3"/>
  <c r="C84" i="3"/>
  <c r="D84" i="3"/>
  <c r="E84" i="3"/>
  <c r="F84" i="3"/>
  <c r="G84" i="3"/>
  <c r="H84" i="3"/>
  <c r="I84" i="3"/>
  <c r="J84" i="3"/>
  <c r="B85" i="3"/>
  <c r="C85" i="3"/>
  <c r="D85" i="3"/>
  <c r="E85" i="3"/>
  <c r="F85" i="3"/>
  <c r="G85" i="3"/>
  <c r="H85" i="3"/>
  <c r="I85" i="3"/>
  <c r="J85" i="3"/>
  <c r="B86" i="3"/>
  <c r="C86" i="3"/>
  <c r="D86" i="3"/>
  <c r="E86" i="3"/>
  <c r="F86" i="3"/>
  <c r="G86" i="3"/>
  <c r="H86" i="3"/>
  <c r="I86" i="3"/>
  <c r="J86" i="3"/>
  <c r="B87" i="3"/>
  <c r="C87" i="3"/>
  <c r="D87" i="3"/>
  <c r="E87" i="3"/>
  <c r="F87" i="3"/>
  <c r="G87" i="3"/>
  <c r="H87" i="3"/>
  <c r="I87" i="3"/>
  <c r="J87" i="3"/>
  <c r="B88" i="3"/>
  <c r="C88" i="3"/>
  <c r="D88" i="3"/>
  <c r="E88" i="3"/>
  <c r="F88" i="3"/>
  <c r="G88" i="3"/>
  <c r="H88" i="3"/>
  <c r="I88" i="3"/>
  <c r="J88" i="3"/>
  <c r="B89" i="3"/>
  <c r="C89" i="3"/>
  <c r="D89" i="3"/>
  <c r="E89" i="3"/>
  <c r="F89" i="3"/>
  <c r="G89" i="3"/>
  <c r="H89" i="3"/>
  <c r="I89" i="3"/>
  <c r="J89" i="3"/>
  <c r="B90" i="3"/>
  <c r="C90" i="3"/>
  <c r="D90" i="3"/>
  <c r="E90" i="3"/>
  <c r="F90" i="3"/>
  <c r="G90" i="3"/>
  <c r="H90" i="3"/>
  <c r="I90" i="3"/>
  <c r="J90" i="3"/>
  <c r="B91" i="3"/>
  <c r="C91" i="3"/>
  <c r="D91" i="3"/>
  <c r="E91" i="3"/>
  <c r="F91" i="3"/>
  <c r="G91" i="3"/>
  <c r="H91" i="3"/>
  <c r="I91" i="3"/>
  <c r="J91" i="3"/>
  <c r="B92" i="3"/>
  <c r="C92" i="3"/>
  <c r="D92" i="3"/>
  <c r="E92" i="3"/>
  <c r="F92" i="3"/>
  <c r="G92" i="3"/>
  <c r="H92" i="3"/>
  <c r="I92" i="3"/>
  <c r="J92" i="3"/>
  <c r="B93" i="3"/>
  <c r="C93" i="3"/>
  <c r="D93" i="3"/>
  <c r="E93" i="3"/>
  <c r="F93" i="3"/>
  <c r="G93" i="3"/>
  <c r="H93" i="3"/>
  <c r="I93" i="3"/>
  <c r="J93" i="3"/>
  <c r="B94" i="3"/>
  <c r="C94" i="3"/>
  <c r="D94" i="3"/>
  <c r="E94" i="3"/>
  <c r="F94" i="3"/>
  <c r="G94" i="3"/>
  <c r="H94" i="3"/>
  <c r="I94" i="3"/>
  <c r="J94" i="3"/>
  <c r="B95" i="3"/>
  <c r="C95" i="3"/>
  <c r="D95" i="3"/>
  <c r="E95" i="3"/>
  <c r="F95" i="3"/>
  <c r="G95" i="3"/>
  <c r="H95" i="3"/>
  <c r="I95" i="3"/>
  <c r="J95" i="3"/>
  <c r="B96" i="3"/>
  <c r="C96" i="3"/>
  <c r="D96" i="3"/>
  <c r="E96" i="3"/>
  <c r="F96" i="3"/>
  <c r="G96" i="3"/>
  <c r="H96" i="3"/>
  <c r="I96" i="3"/>
  <c r="J96" i="3"/>
  <c r="B97" i="3"/>
  <c r="C97" i="3"/>
  <c r="D97" i="3"/>
  <c r="E97" i="3"/>
  <c r="F97" i="3"/>
  <c r="G97" i="3"/>
  <c r="H97" i="3"/>
  <c r="I97" i="3"/>
  <c r="J97" i="3"/>
  <c r="B98" i="3"/>
  <c r="C98" i="3"/>
  <c r="D98" i="3"/>
  <c r="E98" i="3"/>
  <c r="F98" i="3"/>
  <c r="G98" i="3"/>
  <c r="H98" i="3"/>
  <c r="I98" i="3"/>
  <c r="J98" i="3"/>
  <c r="B99" i="3"/>
  <c r="C99" i="3"/>
  <c r="D99" i="3"/>
  <c r="E99" i="3"/>
  <c r="F99" i="3"/>
  <c r="G99" i="3"/>
  <c r="H99" i="3"/>
  <c r="I99" i="3"/>
  <c r="J99" i="3"/>
  <c r="B100" i="3"/>
  <c r="C100" i="3"/>
  <c r="D100" i="3"/>
  <c r="E100" i="3"/>
  <c r="F100" i="3"/>
  <c r="G100" i="3"/>
  <c r="H100" i="3"/>
  <c r="I100" i="3"/>
  <c r="J100" i="3"/>
  <c r="B101" i="3"/>
  <c r="C101" i="3"/>
  <c r="D101" i="3"/>
  <c r="E101" i="3"/>
  <c r="F101" i="3"/>
  <c r="G101" i="3"/>
  <c r="H101" i="3"/>
  <c r="I101" i="3"/>
  <c r="J101" i="3"/>
  <c r="B102" i="3"/>
  <c r="C102" i="3"/>
  <c r="D102" i="3"/>
  <c r="E102" i="3"/>
  <c r="F102" i="3"/>
  <c r="G102" i="3"/>
  <c r="H102" i="3"/>
  <c r="I102" i="3"/>
  <c r="J102" i="3"/>
  <c r="B103" i="3"/>
  <c r="C103" i="3"/>
  <c r="D103" i="3"/>
  <c r="E103" i="3"/>
  <c r="F103" i="3"/>
  <c r="G103" i="3"/>
  <c r="H103" i="3"/>
  <c r="I103" i="3"/>
  <c r="J103" i="3"/>
  <c r="B104" i="3"/>
  <c r="C104" i="3"/>
  <c r="D104" i="3"/>
  <c r="E104" i="3"/>
  <c r="F104" i="3"/>
  <c r="G104" i="3"/>
  <c r="H104" i="3"/>
  <c r="I104" i="3"/>
  <c r="J104" i="3"/>
  <c r="B105" i="3"/>
  <c r="C105" i="3"/>
  <c r="D105" i="3"/>
  <c r="E105" i="3"/>
  <c r="F105" i="3"/>
  <c r="G105" i="3"/>
  <c r="H105" i="3"/>
  <c r="I105" i="3"/>
  <c r="J105" i="3"/>
  <c r="B106" i="3"/>
  <c r="C106" i="3"/>
  <c r="D106" i="3"/>
  <c r="E106" i="3"/>
  <c r="F106" i="3"/>
  <c r="G106" i="3"/>
  <c r="H106" i="3"/>
  <c r="I106" i="3"/>
  <c r="J106" i="3"/>
  <c r="B107" i="3"/>
  <c r="C107" i="3"/>
  <c r="D107" i="3"/>
  <c r="E107" i="3"/>
  <c r="F107" i="3"/>
  <c r="G107" i="3"/>
  <c r="H107" i="3"/>
  <c r="I107" i="3"/>
  <c r="J107" i="3"/>
  <c r="B108" i="3"/>
  <c r="C108" i="3"/>
  <c r="D108" i="3"/>
  <c r="E108" i="3"/>
  <c r="F108" i="3"/>
  <c r="G108" i="3"/>
  <c r="H108" i="3"/>
  <c r="I108" i="3"/>
  <c r="J108" i="3"/>
  <c r="B109" i="3"/>
  <c r="C109" i="3"/>
  <c r="D109" i="3"/>
  <c r="E109" i="3"/>
  <c r="F109" i="3"/>
  <c r="G109" i="3"/>
  <c r="H109" i="3"/>
  <c r="I109" i="3"/>
  <c r="J109" i="3"/>
  <c r="B110" i="3"/>
  <c r="C110" i="3"/>
  <c r="D110" i="3"/>
  <c r="E110" i="3"/>
  <c r="F110" i="3"/>
  <c r="G110" i="3"/>
  <c r="H110" i="3"/>
  <c r="I110" i="3"/>
  <c r="J110" i="3"/>
  <c r="B111" i="3"/>
  <c r="C111" i="3"/>
  <c r="D111" i="3"/>
  <c r="E111" i="3"/>
  <c r="F111" i="3"/>
  <c r="G111" i="3"/>
  <c r="H111" i="3"/>
  <c r="I111" i="3"/>
  <c r="J111" i="3"/>
  <c r="B112" i="3"/>
  <c r="C112" i="3"/>
  <c r="D112" i="3"/>
  <c r="E112" i="3"/>
  <c r="F112" i="3"/>
  <c r="G112" i="3"/>
  <c r="H112" i="3"/>
  <c r="I112" i="3"/>
  <c r="J112" i="3"/>
  <c r="B113" i="3"/>
  <c r="C113" i="3"/>
  <c r="D113" i="3"/>
  <c r="E113" i="3"/>
  <c r="F113" i="3"/>
  <c r="G113" i="3"/>
  <c r="H113" i="3"/>
  <c r="I113" i="3"/>
  <c r="J113" i="3"/>
  <c r="B114" i="3"/>
  <c r="C114" i="3"/>
  <c r="D114" i="3"/>
  <c r="E114" i="3"/>
  <c r="F114" i="3"/>
  <c r="G114" i="3"/>
  <c r="H114" i="3"/>
  <c r="I114" i="3"/>
  <c r="J114" i="3"/>
  <c r="B115" i="3"/>
  <c r="C115" i="3"/>
  <c r="D115" i="3"/>
  <c r="E115" i="3"/>
  <c r="F115" i="3"/>
  <c r="G115" i="3"/>
  <c r="H115" i="3"/>
  <c r="I115" i="3"/>
  <c r="J115" i="3"/>
  <c r="B116" i="3"/>
  <c r="C116" i="3"/>
  <c r="D116" i="3"/>
  <c r="E116" i="3"/>
  <c r="F116" i="3"/>
  <c r="G116" i="3"/>
  <c r="H116" i="3"/>
  <c r="I116" i="3"/>
  <c r="J116" i="3"/>
  <c r="B117" i="3"/>
  <c r="C117" i="3"/>
  <c r="D117" i="3"/>
  <c r="E117" i="3"/>
  <c r="F117" i="3"/>
  <c r="G117" i="3"/>
  <c r="H117" i="3"/>
  <c r="I117" i="3"/>
  <c r="J117" i="3"/>
  <c r="B118" i="3"/>
  <c r="C118" i="3"/>
  <c r="D118" i="3"/>
  <c r="E118" i="3"/>
  <c r="F118" i="3"/>
  <c r="G118" i="3"/>
  <c r="H118" i="3"/>
  <c r="I118" i="3"/>
  <c r="J118" i="3"/>
  <c r="B119" i="3"/>
  <c r="C119" i="3"/>
  <c r="D119" i="3"/>
  <c r="E119" i="3"/>
  <c r="F119" i="3"/>
  <c r="G119" i="3"/>
  <c r="H119" i="3"/>
  <c r="I119" i="3"/>
  <c r="J119" i="3"/>
  <c r="B120" i="3"/>
  <c r="C120" i="3"/>
  <c r="D120" i="3"/>
  <c r="E120" i="3"/>
  <c r="F120" i="3"/>
  <c r="G120" i="3"/>
  <c r="H120" i="3"/>
  <c r="I120" i="3"/>
  <c r="J120" i="3"/>
  <c r="B121" i="3"/>
  <c r="C121" i="3"/>
  <c r="D121" i="3"/>
  <c r="E121" i="3"/>
  <c r="F121" i="3"/>
  <c r="G121" i="3"/>
  <c r="H121" i="3"/>
  <c r="I121" i="3"/>
  <c r="J121" i="3"/>
  <c r="B122" i="3"/>
  <c r="C122" i="3"/>
  <c r="D122" i="3"/>
  <c r="E122" i="3"/>
  <c r="F122" i="3"/>
  <c r="G122" i="3"/>
  <c r="H122" i="3"/>
  <c r="I122" i="3"/>
  <c r="J122" i="3"/>
  <c r="B123" i="3"/>
  <c r="C123" i="3"/>
  <c r="D123" i="3"/>
  <c r="E123" i="3"/>
  <c r="F123" i="3"/>
  <c r="G123" i="3"/>
  <c r="H123" i="3"/>
  <c r="I123" i="3"/>
  <c r="J123" i="3"/>
  <c r="B124" i="3"/>
  <c r="C124" i="3"/>
  <c r="D124" i="3"/>
  <c r="E124" i="3"/>
  <c r="F124" i="3"/>
  <c r="G124" i="3"/>
  <c r="H124" i="3"/>
  <c r="I124" i="3"/>
  <c r="J124" i="3"/>
  <c r="B125" i="3"/>
  <c r="C125" i="3"/>
  <c r="D125" i="3"/>
  <c r="E125" i="3"/>
  <c r="F125" i="3"/>
  <c r="G125" i="3"/>
  <c r="H125" i="3"/>
  <c r="I125" i="3"/>
  <c r="J125" i="3"/>
  <c r="B126" i="3"/>
  <c r="C126" i="3"/>
  <c r="D126" i="3"/>
  <c r="E126" i="3"/>
  <c r="F126" i="3"/>
  <c r="G126" i="3"/>
  <c r="H126" i="3"/>
  <c r="I126" i="3"/>
  <c r="J126" i="3"/>
  <c r="B127" i="3"/>
  <c r="C127" i="3"/>
  <c r="D127" i="3"/>
  <c r="E127" i="3"/>
  <c r="F127" i="3"/>
  <c r="G127" i="3"/>
  <c r="H127" i="3"/>
  <c r="I127" i="3"/>
  <c r="J127" i="3"/>
  <c r="B128" i="3"/>
  <c r="C128" i="3"/>
  <c r="D128" i="3"/>
  <c r="E128" i="3"/>
  <c r="F128" i="3"/>
  <c r="G128" i="3"/>
  <c r="H128" i="3"/>
  <c r="I128" i="3"/>
  <c r="J128" i="3"/>
  <c r="B129" i="3"/>
  <c r="C129" i="3"/>
  <c r="D129" i="3"/>
  <c r="E129" i="3"/>
  <c r="F129" i="3"/>
  <c r="G129" i="3"/>
  <c r="H129" i="3"/>
  <c r="I129" i="3"/>
  <c r="J129" i="3"/>
  <c r="B130" i="3"/>
  <c r="C130" i="3"/>
  <c r="D130" i="3"/>
  <c r="E130" i="3"/>
  <c r="F130" i="3"/>
  <c r="G130" i="3"/>
  <c r="H130" i="3"/>
  <c r="I130" i="3"/>
  <c r="J130" i="3"/>
  <c r="B131" i="3"/>
  <c r="C131" i="3"/>
  <c r="D131" i="3"/>
  <c r="E131" i="3"/>
  <c r="F131" i="3"/>
  <c r="G131" i="3"/>
  <c r="H131" i="3"/>
  <c r="I131" i="3"/>
  <c r="J131" i="3"/>
  <c r="B132" i="3"/>
  <c r="C132" i="3"/>
  <c r="D132" i="3"/>
  <c r="E132" i="3"/>
  <c r="F132" i="3"/>
  <c r="G132" i="3"/>
  <c r="H132" i="3"/>
  <c r="I132" i="3"/>
  <c r="J132" i="3"/>
  <c r="B133" i="3"/>
  <c r="C133" i="3"/>
  <c r="D133" i="3"/>
  <c r="E133" i="3"/>
  <c r="F133" i="3"/>
  <c r="G133" i="3"/>
  <c r="H133" i="3"/>
  <c r="I133" i="3"/>
  <c r="J133" i="3"/>
  <c r="B134" i="3"/>
  <c r="C134" i="3"/>
  <c r="D134" i="3"/>
  <c r="E134" i="3"/>
  <c r="F134" i="3"/>
  <c r="G134" i="3"/>
  <c r="H134" i="3"/>
  <c r="I134" i="3"/>
  <c r="J134" i="3"/>
  <c r="B135" i="3"/>
  <c r="C135" i="3"/>
  <c r="D135" i="3"/>
  <c r="E135" i="3"/>
  <c r="F135" i="3"/>
  <c r="G135" i="3"/>
  <c r="H135" i="3"/>
  <c r="I135" i="3"/>
  <c r="J135" i="3"/>
  <c r="B136" i="3"/>
  <c r="C136" i="3"/>
  <c r="D136" i="3"/>
  <c r="E136" i="3"/>
  <c r="F136" i="3"/>
  <c r="G136" i="3"/>
  <c r="H136" i="3"/>
  <c r="I136" i="3"/>
  <c r="J136" i="3"/>
  <c r="B137" i="3"/>
  <c r="C137" i="3"/>
  <c r="D137" i="3"/>
  <c r="E137" i="3"/>
  <c r="F137" i="3"/>
  <c r="G137" i="3"/>
  <c r="H137" i="3"/>
  <c r="I137" i="3"/>
  <c r="J137" i="3"/>
  <c r="B138" i="3"/>
  <c r="C138" i="3"/>
  <c r="D138" i="3"/>
  <c r="E138" i="3"/>
  <c r="F138" i="3"/>
  <c r="G138" i="3"/>
  <c r="H138" i="3"/>
  <c r="I138" i="3"/>
  <c r="J138" i="3"/>
  <c r="B139" i="3"/>
  <c r="C139" i="3"/>
  <c r="D139" i="3"/>
  <c r="E139" i="3"/>
  <c r="F139" i="3"/>
  <c r="G139" i="3"/>
  <c r="H139" i="3"/>
  <c r="I139" i="3"/>
  <c r="J139" i="3"/>
  <c r="B140" i="3"/>
  <c r="C140" i="3"/>
  <c r="D140" i="3"/>
  <c r="E140" i="3"/>
  <c r="F140" i="3"/>
  <c r="G140" i="3"/>
  <c r="H140" i="3"/>
  <c r="I140" i="3"/>
  <c r="J140" i="3"/>
  <c r="B141" i="3"/>
  <c r="C141" i="3"/>
  <c r="D141" i="3"/>
  <c r="E141" i="3"/>
  <c r="F141" i="3"/>
  <c r="G141" i="3"/>
  <c r="H141" i="3"/>
  <c r="I141" i="3"/>
  <c r="J141" i="3"/>
  <c r="B142" i="3"/>
  <c r="C142" i="3"/>
  <c r="D142" i="3"/>
  <c r="E142" i="3"/>
  <c r="F142" i="3"/>
  <c r="G142" i="3"/>
  <c r="H142" i="3"/>
  <c r="I142" i="3"/>
  <c r="J142" i="3"/>
  <c r="B143" i="3"/>
  <c r="C143" i="3"/>
  <c r="D143" i="3"/>
  <c r="E143" i="3"/>
  <c r="F143" i="3"/>
  <c r="G143" i="3"/>
  <c r="H143" i="3"/>
  <c r="I143" i="3"/>
  <c r="J143" i="3"/>
  <c r="B144" i="3"/>
  <c r="C144" i="3"/>
  <c r="D144" i="3"/>
  <c r="E144" i="3"/>
  <c r="F144" i="3"/>
  <c r="G144" i="3"/>
  <c r="H144" i="3"/>
  <c r="I144" i="3"/>
  <c r="J144" i="3"/>
  <c r="B145" i="3"/>
  <c r="C145" i="3"/>
  <c r="D145" i="3"/>
  <c r="E145" i="3"/>
  <c r="F145" i="3"/>
  <c r="G145" i="3"/>
  <c r="H145" i="3"/>
  <c r="I145" i="3"/>
  <c r="J145" i="3"/>
  <c r="B146" i="3"/>
  <c r="C146" i="3"/>
  <c r="D146" i="3"/>
  <c r="E146" i="3"/>
  <c r="F146" i="3"/>
  <c r="G146" i="3"/>
  <c r="H146" i="3"/>
  <c r="I146" i="3"/>
  <c r="J146" i="3"/>
  <c r="B147" i="3"/>
  <c r="C147" i="3"/>
  <c r="D147" i="3"/>
  <c r="E147" i="3"/>
  <c r="F147" i="3"/>
  <c r="G147" i="3"/>
  <c r="H147" i="3"/>
  <c r="I147" i="3"/>
  <c r="J147" i="3"/>
  <c r="B148" i="3"/>
  <c r="C148" i="3"/>
  <c r="D148" i="3"/>
  <c r="E148" i="3"/>
  <c r="F148" i="3"/>
  <c r="G148" i="3"/>
  <c r="H148" i="3"/>
  <c r="I148" i="3"/>
  <c r="J148" i="3"/>
  <c r="B149" i="3"/>
  <c r="C149" i="3"/>
  <c r="D149" i="3"/>
  <c r="E149" i="3"/>
  <c r="F149" i="3"/>
  <c r="G149" i="3"/>
  <c r="H149" i="3"/>
  <c r="I149" i="3"/>
  <c r="J149" i="3"/>
  <c r="B150" i="3"/>
  <c r="C150" i="3"/>
  <c r="D150" i="3"/>
  <c r="E150" i="3"/>
  <c r="F150" i="3"/>
  <c r="G150" i="3"/>
  <c r="H150" i="3"/>
  <c r="I150" i="3"/>
  <c r="J150" i="3"/>
  <c r="B151" i="3"/>
  <c r="C151" i="3"/>
  <c r="D151" i="3"/>
  <c r="E151" i="3"/>
  <c r="F151" i="3"/>
  <c r="G151" i="3"/>
  <c r="H151" i="3"/>
  <c r="I151" i="3"/>
  <c r="J151" i="3"/>
  <c r="B152" i="3"/>
  <c r="C152" i="3"/>
  <c r="D152" i="3"/>
  <c r="E152" i="3"/>
  <c r="F152" i="3"/>
  <c r="G152" i="3"/>
  <c r="H152" i="3"/>
  <c r="I152" i="3"/>
  <c r="J152" i="3"/>
  <c r="B153" i="3"/>
  <c r="C153" i="3"/>
  <c r="D153" i="3"/>
  <c r="E153" i="3"/>
  <c r="F153" i="3"/>
  <c r="G153" i="3"/>
  <c r="H153" i="3"/>
  <c r="I153" i="3"/>
  <c r="J153" i="3"/>
  <c r="B154" i="3"/>
  <c r="C154" i="3"/>
  <c r="D154" i="3"/>
  <c r="E154" i="3"/>
  <c r="F154" i="3"/>
  <c r="G154" i="3"/>
  <c r="H154" i="3"/>
  <c r="I154" i="3"/>
  <c r="J154" i="3"/>
  <c r="B155" i="3"/>
  <c r="C155" i="3"/>
  <c r="D155" i="3"/>
  <c r="E155" i="3"/>
  <c r="F155" i="3"/>
  <c r="G155" i="3"/>
  <c r="H155" i="3"/>
  <c r="I155" i="3"/>
  <c r="J155" i="3"/>
  <c r="B156" i="3"/>
  <c r="C156" i="3"/>
  <c r="D156" i="3"/>
  <c r="E156" i="3"/>
  <c r="F156" i="3"/>
  <c r="G156" i="3"/>
  <c r="H156" i="3"/>
  <c r="I156" i="3"/>
  <c r="J156" i="3"/>
  <c r="B157" i="3"/>
  <c r="C157" i="3"/>
  <c r="D157" i="3"/>
  <c r="E157" i="3"/>
  <c r="F157" i="3"/>
  <c r="G157" i="3"/>
  <c r="H157" i="3"/>
  <c r="I157" i="3"/>
  <c r="J157" i="3"/>
  <c r="B158" i="3"/>
  <c r="C158" i="3"/>
  <c r="D158" i="3"/>
  <c r="E158" i="3"/>
  <c r="F158" i="3"/>
  <c r="G158" i="3"/>
  <c r="H158" i="3"/>
  <c r="I158" i="3"/>
  <c r="J158" i="3"/>
  <c r="B159" i="3"/>
  <c r="C159" i="3"/>
  <c r="D159" i="3"/>
  <c r="E159" i="3"/>
  <c r="F159" i="3"/>
  <c r="G159" i="3"/>
  <c r="H159" i="3"/>
  <c r="I159" i="3"/>
  <c r="J159" i="3"/>
  <c r="B160" i="3"/>
  <c r="C160" i="3"/>
  <c r="D160" i="3"/>
  <c r="E160" i="3"/>
  <c r="F160" i="3"/>
  <c r="G160" i="3"/>
  <c r="H160" i="3"/>
  <c r="I160" i="3"/>
  <c r="J160" i="3"/>
  <c r="B161" i="3"/>
  <c r="C161" i="3"/>
  <c r="D161" i="3"/>
  <c r="E161" i="3"/>
  <c r="F161" i="3"/>
  <c r="G161" i="3"/>
  <c r="H161" i="3"/>
  <c r="I161" i="3"/>
  <c r="J161" i="3"/>
  <c r="B162" i="3"/>
  <c r="C162" i="3"/>
  <c r="D162" i="3"/>
  <c r="E162" i="3"/>
  <c r="F162" i="3"/>
  <c r="G162" i="3"/>
  <c r="H162" i="3"/>
  <c r="I162" i="3"/>
  <c r="J162" i="3"/>
  <c r="B163" i="3"/>
  <c r="C163" i="3"/>
  <c r="D163" i="3"/>
  <c r="E163" i="3"/>
  <c r="F163" i="3"/>
  <c r="G163" i="3"/>
  <c r="H163" i="3"/>
  <c r="I163" i="3"/>
  <c r="J163" i="3"/>
  <c r="B164" i="3"/>
  <c r="C164" i="3"/>
  <c r="D164" i="3"/>
  <c r="E164" i="3"/>
  <c r="F164" i="3"/>
  <c r="G164" i="3"/>
  <c r="H164" i="3"/>
  <c r="I164" i="3"/>
  <c r="J164" i="3"/>
  <c r="B165" i="3"/>
  <c r="C165" i="3"/>
  <c r="D165" i="3"/>
  <c r="E165" i="3"/>
  <c r="F165" i="3"/>
  <c r="G165" i="3"/>
  <c r="H165" i="3"/>
  <c r="I165" i="3"/>
  <c r="J165" i="3"/>
  <c r="B166" i="3"/>
  <c r="C166" i="3"/>
  <c r="D166" i="3"/>
  <c r="E166" i="3"/>
  <c r="F166" i="3"/>
  <c r="G166" i="3"/>
  <c r="H166" i="3"/>
  <c r="I166" i="3"/>
  <c r="J166" i="3"/>
  <c r="B167" i="3"/>
  <c r="C167" i="3"/>
  <c r="D167" i="3"/>
  <c r="E167" i="3"/>
  <c r="F167" i="3"/>
  <c r="G167" i="3"/>
  <c r="H167" i="3"/>
  <c r="I167" i="3"/>
  <c r="J167" i="3"/>
  <c r="B168" i="3"/>
  <c r="C168" i="3"/>
  <c r="D168" i="3"/>
  <c r="E168" i="3"/>
  <c r="F168" i="3"/>
  <c r="G168" i="3"/>
  <c r="H168" i="3"/>
  <c r="I168" i="3"/>
  <c r="J168" i="3"/>
  <c r="B169" i="3"/>
  <c r="C169" i="3"/>
  <c r="D169" i="3"/>
  <c r="E169" i="3"/>
  <c r="F169" i="3"/>
  <c r="G169" i="3"/>
  <c r="H169" i="3"/>
  <c r="I169" i="3"/>
  <c r="J169" i="3"/>
  <c r="B170" i="3"/>
  <c r="C170" i="3"/>
  <c r="D170" i="3"/>
  <c r="E170" i="3"/>
  <c r="F170" i="3"/>
  <c r="G170" i="3"/>
  <c r="H170" i="3"/>
  <c r="I170" i="3"/>
  <c r="J170" i="3"/>
  <c r="B171" i="3"/>
  <c r="C171" i="3"/>
  <c r="D171" i="3"/>
  <c r="E171" i="3"/>
  <c r="F171" i="3"/>
  <c r="G171" i="3"/>
  <c r="H171" i="3"/>
  <c r="I171" i="3"/>
  <c r="J171" i="3"/>
  <c r="B172" i="3"/>
  <c r="C172" i="3"/>
  <c r="D172" i="3"/>
  <c r="E172" i="3"/>
  <c r="F172" i="3"/>
  <c r="G172" i="3"/>
  <c r="H172" i="3"/>
  <c r="I172" i="3"/>
  <c r="J172" i="3"/>
  <c r="B173" i="3"/>
  <c r="C173" i="3"/>
  <c r="D173" i="3"/>
  <c r="E173" i="3"/>
  <c r="F173" i="3"/>
  <c r="G173" i="3"/>
  <c r="H173" i="3"/>
  <c r="I173" i="3"/>
  <c r="J173" i="3"/>
  <c r="B174" i="3"/>
  <c r="C174" i="3"/>
  <c r="D174" i="3"/>
  <c r="E174" i="3"/>
  <c r="F174" i="3"/>
  <c r="G174" i="3"/>
  <c r="H174" i="3"/>
  <c r="I174" i="3"/>
  <c r="J174" i="3"/>
  <c r="B175" i="3"/>
  <c r="C175" i="3"/>
  <c r="D175" i="3"/>
  <c r="E175" i="3"/>
  <c r="F175" i="3"/>
  <c r="G175" i="3"/>
  <c r="H175" i="3"/>
  <c r="I175" i="3"/>
  <c r="J175" i="3"/>
  <c r="B176" i="3"/>
  <c r="C176" i="3"/>
  <c r="D176" i="3"/>
  <c r="E176" i="3"/>
  <c r="F176" i="3"/>
  <c r="G176" i="3"/>
  <c r="H176" i="3"/>
  <c r="I176" i="3"/>
  <c r="J176" i="3"/>
  <c r="B177" i="3"/>
  <c r="C177" i="3"/>
  <c r="D177" i="3"/>
  <c r="E177" i="3"/>
  <c r="F177" i="3"/>
  <c r="G177" i="3"/>
  <c r="H177" i="3"/>
  <c r="I177" i="3"/>
  <c r="J177" i="3"/>
  <c r="B178" i="3"/>
  <c r="C178" i="3"/>
  <c r="D178" i="3"/>
  <c r="E178" i="3"/>
  <c r="F178" i="3"/>
  <c r="G178" i="3"/>
  <c r="H178" i="3"/>
  <c r="I178" i="3"/>
  <c r="J178" i="3"/>
  <c r="B179" i="3"/>
  <c r="C179" i="3"/>
  <c r="D179" i="3"/>
  <c r="E179" i="3"/>
  <c r="F179" i="3"/>
  <c r="G179" i="3"/>
  <c r="H179" i="3"/>
  <c r="I179" i="3"/>
  <c r="J179" i="3"/>
  <c r="B180" i="3"/>
  <c r="C180" i="3"/>
  <c r="D180" i="3"/>
  <c r="E180" i="3"/>
  <c r="F180" i="3"/>
  <c r="G180" i="3"/>
  <c r="H180" i="3"/>
  <c r="I180" i="3"/>
  <c r="J180" i="3"/>
  <c r="B181" i="3"/>
  <c r="C181" i="3"/>
  <c r="D181" i="3"/>
  <c r="E181" i="3"/>
  <c r="F181" i="3"/>
  <c r="G181" i="3"/>
  <c r="H181" i="3"/>
  <c r="I181" i="3"/>
  <c r="J181" i="3"/>
  <c r="B182" i="3"/>
  <c r="C182" i="3"/>
  <c r="D182" i="3"/>
  <c r="E182" i="3"/>
  <c r="F182" i="3"/>
  <c r="G182" i="3"/>
  <c r="H182" i="3"/>
  <c r="I182" i="3"/>
  <c r="J182" i="3"/>
  <c r="B183" i="3"/>
  <c r="C183" i="3"/>
  <c r="D183" i="3"/>
  <c r="E183" i="3"/>
  <c r="F183" i="3"/>
  <c r="G183" i="3"/>
  <c r="H183" i="3"/>
  <c r="I183" i="3"/>
  <c r="J183" i="3"/>
  <c r="B184" i="3"/>
  <c r="C184" i="3"/>
  <c r="D184" i="3"/>
  <c r="E184" i="3"/>
  <c r="F184" i="3"/>
  <c r="G184" i="3"/>
  <c r="H184" i="3"/>
  <c r="I184" i="3"/>
  <c r="J184" i="3"/>
  <c r="B185" i="3"/>
  <c r="C185" i="3"/>
  <c r="D185" i="3"/>
  <c r="E185" i="3"/>
  <c r="F185" i="3"/>
  <c r="G185" i="3"/>
  <c r="H185" i="3"/>
  <c r="I185" i="3"/>
  <c r="J185" i="3"/>
  <c r="B186" i="3"/>
  <c r="C186" i="3"/>
  <c r="D186" i="3"/>
  <c r="E186" i="3"/>
  <c r="F186" i="3"/>
  <c r="G186" i="3"/>
  <c r="H186" i="3"/>
  <c r="I186" i="3"/>
  <c r="J186" i="3"/>
  <c r="B187" i="3"/>
  <c r="C187" i="3"/>
  <c r="D187" i="3"/>
  <c r="E187" i="3"/>
  <c r="F187" i="3"/>
  <c r="G187" i="3"/>
  <c r="H187" i="3"/>
  <c r="I187" i="3"/>
  <c r="J187" i="3"/>
  <c r="B188" i="3"/>
  <c r="C188" i="3"/>
  <c r="D188" i="3"/>
  <c r="E188" i="3"/>
  <c r="F188" i="3"/>
  <c r="G188" i="3"/>
  <c r="H188" i="3"/>
  <c r="I188" i="3"/>
  <c r="J188" i="3"/>
  <c r="B189" i="3"/>
  <c r="C189" i="3"/>
  <c r="D189" i="3"/>
  <c r="E189" i="3"/>
  <c r="F189" i="3"/>
  <c r="G189" i="3"/>
  <c r="H189" i="3"/>
  <c r="I189" i="3"/>
  <c r="J189" i="3"/>
  <c r="B190" i="3"/>
  <c r="C190" i="3"/>
  <c r="D190" i="3"/>
  <c r="E190" i="3"/>
  <c r="F190" i="3"/>
  <c r="G190" i="3"/>
  <c r="H190" i="3"/>
  <c r="I190" i="3"/>
  <c r="J190" i="3"/>
  <c r="B191" i="3"/>
  <c r="C191" i="3"/>
  <c r="D191" i="3"/>
  <c r="E191" i="3"/>
  <c r="F191" i="3"/>
  <c r="G191" i="3"/>
  <c r="H191" i="3"/>
  <c r="I191" i="3"/>
  <c r="J191" i="3"/>
  <c r="B192" i="3"/>
  <c r="C192" i="3"/>
  <c r="D192" i="3"/>
  <c r="E192" i="3"/>
  <c r="F192" i="3"/>
  <c r="G192" i="3"/>
  <c r="H192" i="3"/>
  <c r="I192" i="3"/>
  <c r="J192" i="3"/>
  <c r="B193" i="3"/>
  <c r="C193" i="3"/>
  <c r="D193" i="3"/>
  <c r="E193" i="3"/>
  <c r="F193" i="3"/>
  <c r="G193" i="3"/>
  <c r="H193" i="3"/>
  <c r="I193" i="3"/>
  <c r="J193" i="3"/>
  <c r="B194" i="3"/>
  <c r="C194" i="3"/>
  <c r="D194" i="3"/>
  <c r="E194" i="3"/>
  <c r="F194" i="3"/>
  <c r="G194" i="3"/>
  <c r="H194" i="3"/>
  <c r="I194" i="3"/>
  <c r="J194" i="3"/>
  <c r="B195" i="3"/>
  <c r="C195" i="3"/>
  <c r="D195" i="3"/>
  <c r="E195" i="3"/>
  <c r="F195" i="3"/>
  <c r="G195" i="3"/>
  <c r="H195" i="3"/>
  <c r="I195" i="3"/>
  <c r="J195" i="3"/>
  <c r="B196" i="3"/>
  <c r="C196" i="3"/>
  <c r="D196" i="3"/>
  <c r="E196" i="3"/>
  <c r="F196" i="3"/>
  <c r="G196" i="3"/>
  <c r="H196" i="3"/>
  <c r="I196" i="3"/>
  <c r="J196" i="3"/>
  <c r="B197" i="3"/>
  <c r="C197" i="3"/>
  <c r="D197" i="3"/>
  <c r="E197" i="3"/>
  <c r="F197" i="3"/>
  <c r="G197" i="3"/>
  <c r="H197" i="3"/>
  <c r="I197" i="3"/>
  <c r="J197" i="3"/>
  <c r="B198" i="3"/>
  <c r="C198" i="3"/>
  <c r="D198" i="3"/>
  <c r="E198" i="3"/>
  <c r="F198" i="3"/>
  <c r="G198" i="3"/>
  <c r="H198" i="3"/>
  <c r="I198" i="3"/>
  <c r="J198" i="3"/>
  <c r="B199" i="3"/>
  <c r="C199" i="3"/>
  <c r="D199" i="3"/>
  <c r="E199" i="3"/>
  <c r="F199" i="3"/>
  <c r="G199" i="3"/>
  <c r="H199" i="3"/>
  <c r="I199" i="3"/>
  <c r="J199" i="3"/>
  <c r="B200" i="3"/>
  <c r="C200" i="3"/>
  <c r="D200" i="3"/>
  <c r="E200" i="3"/>
  <c r="F200" i="3"/>
  <c r="G200" i="3"/>
  <c r="H200" i="3"/>
  <c r="I200" i="3"/>
  <c r="J200" i="3"/>
  <c r="B201" i="3"/>
  <c r="C201" i="3"/>
  <c r="D201" i="3"/>
  <c r="E201" i="3"/>
  <c r="F201" i="3"/>
  <c r="G201" i="3"/>
  <c r="H201" i="3"/>
  <c r="I201" i="3"/>
  <c r="J201" i="3"/>
  <c r="B202" i="3"/>
  <c r="C202" i="3"/>
  <c r="D202" i="3"/>
  <c r="E202" i="3"/>
  <c r="F202" i="3"/>
  <c r="G202" i="3"/>
  <c r="H202" i="3"/>
  <c r="I202" i="3"/>
  <c r="J202" i="3"/>
  <c r="B203" i="3"/>
  <c r="C203" i="3"/>
  <c r="D203" i="3"/>
  <c r="E203" i="3"/>
  <c r="F203" i="3"/>
  <c r="G203" i="3"/>
  <c r="H203" i="3"/>
  <c r="I203" i="3"/>
  <c r="J203" i="3"/>
  <c r="B204" i="3"/>
  <c r="C204" i="3"/>
  <c r="D204" i="3"/>
  <c r="E204" i="3"/>
  <c r="F204" i="3"/>
  <c r="G204" i="3"/>
  <c r="H204" i="3"/>
  <c r="I204" i="3"/>
  <c r="J204" i="3"/>
  <c r="B205" i="3"/>
  <c r="C205" i="3"/>
  <c r="D205" i="3"/>
  <c r="E205" i="3"/>
  <c r="F205" i="3"/>
  <c r="G205" i="3"/>
  <c r="H205" i="3"/>
  <c r="I205" i="3"/>
  <c r="J205" i="3"/>
  <c r="B206" i="3"/>
  <c r="C206" i="3"/>
  <c r="D206" i="3"/>
  <c r="E206" i="3"/>
  <c r="F206" i="3"/>
  <c r="G206" i="3"/>
  <c r="H206" i="3"/>
  <c r="I206" i="3"/>
  <c r="J206" i="3"/>
  <c r="B207" i="3"/>
  <c r="C207" i="3"/>
  <c r="D207" i="3"/>
  <c r="E207" i="3"/>
  <c r="F207" i="3"/>
  <c r="G207" i="3"/>
  <c r="H207" i="3"/>
  <c r="I207" i="3"/>
  <c r="J207" i="3"/>
  <c r="B208" i="3"/>
  <c r="C208" i="3"/>
  <c r="D208" i="3"/>
  <c r="E208" i="3"/>
  <c r="F208" i="3"/>
  <c r="G208" i="3"/>
  <c r="H208" i="3"/>
  <c r="I208" i="3"/>
  <c r="J208" i="3"/>
  <c r="B209" i="3"/>
  <c r="C209" i="3"/>
  <c r="D209" i="3"/>
  <c r="E209" i="3"/>
  <c r="F209" i="3"/>
  <c r="G209" i="3"/>
  <c r="H209" i="3"/>
  <c r="I209" i="3"/>
  <c r="J209" i="3"/>
  <c r="B210" i="3"/>
  <c r="C210" i="3"/>
  <c r="D210" i="3"/>
  <c r="E210" i="3"/>
  <c r="F210" i="3"/>
  <c r="G210" i="3"/>
  <c r="H210" i="3"/>
  <c r="I210" i="3"/>
  <c r="J210" i="3"/>
  <c r="B211" i="3"/>
  <c r="C211" i="3"/>
  <c r="D211" i="3"/>
  <c r="E211" i="3"/>
  <c r="F211" i="3"/>
  <c r="G211" i="3"/>
  <c r="H211" i="3"/>
  <c r="I211" i="3"/>
  <c r="J211" i="3"/>
  <c r="B212" i="3"/>
  <c r="C212" i="3"/>
  <c r="D212" i="3"/>
  <c r="E212" i="3"/>
  <c r="F212" i="3"/>
  <c r="G212" i="3"/>
  <c r="H212" i="3"/>
  <c r="I212" i="3"/>
  <c r="J212" i="3"/>
  <c r="B213" i="3"/>
  <c r="C213" i="3"/>
  <c r="D213" i="3"/>
  <c r="E213" i="3"/>
  <c r="F213" i="3"/>
  <c r="G213" i="3"/>
  <c r="H213" i="3"/>
  <c r="I213" i="3"/>
  <c r="J213" i="3"/>
  <c r="B214" i="3"/>
  <c r="C214" i="3"/>
  <c r="D214" i="3"/>
  <c r="E214" i="3"/>
  <c r="F214" i="3"/>
  <c r="G214" i="3"/>
  <c r="H214" i="3"/>
  <c r="I214" i="3"/>
  <c r="J214" i="3"/>
  <c r="B215" i="3"/>
  <c r="C215" i="3"/>
  <c r="D215" i="3"/>
  <c r="E215" i="3"/>
  <c r="F215" i="3"/>
  <c r="G215" i="3"/>
  <c r="H215" i="3"/>
  <c r="I215" i="3"/>
  <c r="J215" i="3"/>
  <c r="B216" i="3"/>
  <c r="C216" i="3"/>
  <c r="D216" i="3"/>
  <c r="E216" i="3"/>
  <c r="F216" i="3"/>
  <c r="G216" i="3"/>
  <c r="H216" i="3"/>
  <c r="I216" i="3"/>
  <c r="J216" i="3"/>
  <c r="B217" i="3"/>
  <c r="C217" i="3"/>
  <c r="D217" i="3"/>
  <c r="E217" i="3"/>
  <c r="F217" i="3"/>
  <c r="G217" i="3"/>
  <c r="H217" i="3"/>
  <c r="I217" i="3"/>
  <c r="J217" i="3"/>
  <c r="B218" i="3"/>
  <c r="C218" i="3"/>
  <c r="D218" i="3"/>
  <c r="E218" i="3"/>
  <c r="F218" i="3"/>
  <c r="G218" i="3"/>
  <c r="H218" i="3"/>
  <c r="I218" i="3"/>
  <c r="J218" i="3"/>
  <c r="B219" i="3"/>
  <c r="C219" i="3"/>
  <c r="D219" i="3"/>
  <c r="E219" i="3"/>
  <c r="F219" i="3"/>
  <c r="G219" i="3"/>
  <c r="H219" i="3"/>
  <c r="I219" i="3"/>
  <c r="J219" i="3"/>
  <c r="B220" i="3"/>
  <c r="C220" i="3"/>
  <c r="D220" i="3"/>
  <c r="E220" i="3"/>
  <c r="F220" i="3"/>
  <c r="G220" i="3"/>
  <c r="H220" i="3"/>
  <c r="I220" i="3"/>
  <c r="J220" i="3"/>
  <c r="B221" i="3"/>
  <c r="C221" i="3"/>
  <c r="D221" i="3"/>
  <c r="E221" i="3"/>
  <c r="F221" i="3"/>
  <c r="G221" i="3"/>
  <c r="H221" i="3"/>
  <c r="I221" i="3"/>
  <c r="J221" i="3"/>
  <c r="B222" i="3"/>
  <c r="C222" i="3"/>
  <c r="D222" i="3"/>
  <c r="E222" i="3"/>
  <c r="F222" i="3"/>
  <c r="G222" i="3"/>
  <c r="H222" i="3"/>
  <c r="I222" i="3"/>
  <c r="J222" i="3"/>
  <c r="B223" i="3"/>
  <c r="C223" i="3"/>
  <c r="D223" i="3"/>
  <c r="E223" i="3"/>
  <c r="F223" i="3"/>
  <c r="G223" i="3"/>
  <c r="H223" i="3"/>
  <c r="I223" i="3"/>
  <c r="J223" i="3"/>
  <c r="B224" i="3"/>
  <c r="C224" i="3"/>
  <c r="D224" i="3"/>
  <c r="E224" i="3"/>
  <c r="F224" i="3"/>
  <c r="G224" i="3"/>
  <c r="H224" i="3"/>
  <c r="I224" i="3"/>
  <c r="J224" i="3"/>
  <c r="B225" i="3"/>
  <c r="C225" i="3"/>
  <c r="D225" i="3"/>
  <c r="E225" i="3"/>
  <c r="F225" i="3"/>
  <c r="G225" i="3"/>
  <c r="H225" i="3"/>
  <c r="I225" i="3"/>
  <c r="J225" i="3"/>
  <c r="B226" i="3"/>
  <c r="C226" i="3"/>
  <c r="D226" i="3"/>
  <c r="E226" i="3"/>
  <c r="F226" i="3"/>
  <c r="G226" i="3"/>
  <c r="H226" i="3"/>
  <c r="I226" i="3"/>
  <c r="J226" i="3"/>
  <c r="B227" i="3"/>
  <c r="C227" i="3"/>
  <c r="D227" i="3"/>
  <c r="E227" i="3"/>
  <c r="F227" i="3"/>
  <c r="G227" i="3"/>
  <c r="H227" i="3"/>
  <c r="I227" i="3"/>
  <c r="J227" i="3"/>
  <c r="B228" i="3"/>
  <c r="C228" i="3"/>
  <c r="D228" i="3"/>
  <c r="E228" i="3"/>
  <c r="F228" i="3"/>
  <c r="G228" i="3"/>
  <c r="H228" i="3"/>
  <c r="I228" i="3"/>
  <c r="J228" i="3"/>
  <c r="B229" i="3"/>
  <c r="C229" i="3"/>
  <c r="D229" i="3"/>
  <c r="E229" i="3"/>
  <c r="F229" i="3"/>
  <c r="G229" i="3"/>
  <c r="H229" i="3"/>
  <c r="I229" i="3"/>
  <c r="J229" i="3"/>
  <c r="B230" i="3"/>
  <c r="C230" i="3"/>
  <c r="D230" i="3"/>
  <c r="E230" i="3"/>
  <c r="F230" i="3"/>
  <c r="G230" i="3"/>
  <c r="H230" i="3"/>
  <c r="I230" i="3"/>
  <c r="J230" i="3"/>
  <c r="B231" i="3"/>
  <c r="C231" i="3"/>
  <c r="D231" i="3"/>
  <c r="E231" i="3"/>
  <c r="F231" i="3"/>
  <c r="G231" i="3"/>
  <c r="H231" i="3"/>
  <c r="I231" i="3"/>
  <c r="J231" i="3"/>
  <c r="B232" i="3"/>
  <c r="C232" i="3"/>
  <c r="D232" i="3"/>
  <c r="E232" i="3"/>
  <c r="F232" i="3"/>
  <c r="G232" i="3"/>
  <c r="H232" i="3"/>
  <c r="I232" i="3"/>
  <c r="J232" i="3"/>
  <c r="B233" i="3"/>
  <c r="C233" i="3"/>
  <c r="D233" i="3"/>
  <c r="E233" i="3"/>
  <c r="F233" i="3"/>
  <c r="G233" i="3"/>
  <c r="H233" i="3"/>
  <c r="I233" i="3"/>
  <c r="J233" i="3"/>
  <c r="B234" i="3"/>
  <c r="C234" i="3"/>
  <c r="D234" i="3"/>
  <c r="E234" i="3"/>
  <c r="F234" i="3"/>
  <c r="G234" i="3"/>
  <c r="H234" i="3"/>
  <c r="I234" i="3"/>
  <c r="J234" i="3"/>
  <c r="B235" i="3"/>
  <c r="C235" i="3"/>
  <c r="D235" i="3"/>
  <c r="E235" i="3"/>
  <c r="F235" i="3"/>
  <c r="G235" i="3"/>
  <c r="H235" i="3"/>
  <c r="I235" i="3"/>
  <c r="J235" i="3"/>
  <c r="B236" i="3"/>
  <c r="C236" i="3"/>
  <c r="D236" i="3"/>
  <c r="E236" i="3"/>
  <c r="F236" i="3"/>
  <c r="G236" i="3"/>
  <c r="H236" i="3"/>
  <c r="I236" i="3"/>
  <c r="J236" i="3"/>
  <c r="B237" i="3"/>
  <c r="C237" i="3"/>
  <c r="D237" i="3"/>
  <c r="E237" i="3"/>
  <c r="F237" i="3"/>
  <c r="G237" i="3"/>
  <c r="H237" i="3"/>
  <c r="I237" i="3"/>
  <c r="J237" i="3"/>
  <c r="B238" i="3"/>
  <c r="C238" i="3"/>
  <c r="D238" i="3"/>
  <c r="E238" i="3"/>
  <c r="F238" i="3"/>
  <c r="G238" i="3"/>
  <c r="H238" i="3"/>
  <c r="I238" i="3"/>
  <c r="J238" i="3"/>
  <c r="B239" i="3"/>
  <c r="C239" i="3"/>
  <c r="D239" i="3"/>
  <c r="E239" i="3"/>
  <c r="F239" i="3"/>
  <c r="G239" i="3"/>
  <c r="H239" i="3"/>
  <c r="I239" i="3"/>
  <c r="J239" i="3"/>
  <c r="B240" i="3"/>
  <c r="C240" i="3"/>
  <c r="D240" i="3"/>
  <c r="E240" i="3"/>
  <c r="F240" i="3"/>
  <c r="G240" i="3"/>
  <c r="H240" i="3"/>
  <c r="I240" i="3"/>
  <c r="J240" i="3"/>
  <c r="B241" i="3"/>
  <c r="C241" i="3"/>
  <c r="D241" i="3"/>
  <c r="E241" i="3"/>
  <c r="F241" i="3"/>
  <c r="G241" i="3"/>
  <c r="H241" i="3"/>
  <c r="I241" i="3"/>
  <c r="J241" i="3"/>
  <c r="B242" i="3"/>
  <c r="C242" i="3"/>
  <c r="D242" i="3"/>
  <c r="E242" i="3"/>
  <c r="F242" i="3"/>
  <c r="G242" i="3"/>
  <c r="H242" i="3"/>
  <c r="I242" i="3"/>
  <c r="J242" i="3"/>
  <c r="B243" i="3"/>
  <c r="C243" i="3"/>
  <c r="D243" i="3"/>
  <c r="E243" i="3"/>
  <c r="F243" i="3"/>
  <c r="G243" i="3"/>
  <c r="H243" i="3"/>
  <c r="I243" i="3"/>
  <c r="J243" i="3"/>
  <c r="B244" i="3"/>
  <c r="C244" i="3"/>
  <c r="D244" i="3"/>
  <c r="E244" i="3"/>
  <c r="F244" i="3"/>
  <c r="G244" i="3"/>
  <c r="H244" i="3"/>
  <c r="I244" i="3"/>
  <c r="J244" i="3"/>
  <c r="B245" i="3"/>
  <c r="C245" i="3"/>
  <c r="D245" i="3"/>
  <c r="E245" i="3"/>
  <c r="F245" i="3"/>
  <c r="G245" i="3"/>
  <c r="H245" i="3"/>
  <c r="I245" i="3"/>
  <c r="J245" i="3"/>
  <c r="B246" i="3"/>
  <c r="C246" i="3"/>
  <c r="D246" i="3"/>
  <c r="E246" i="3"/>
  <c r="F246" i="3"/>
  <c r="G246" i="3"/>
  <c r="H246" i="3"/>
  <c r="I246" i="3"/>
  <c r="J246" i="3"/>
  <c r="B247" i="3"/>
  <c r="C247" i="3"/>
  <c r="D247" i="3"/>
  <c r="E247" i="3"/>
  <c r="F247" i="3"/>
  <c r="G247" i="3"/>
  <c r="H247" i="3"/>
  <c r="I247" i="3"/>
  <c r="J247" i="3"/>
  <c r="B248" i="3"/>
  <c r="C248" i="3"/>
  <c r="D248" i="3"/>
  <c r="E248" i="3"/>
  <c r="F248" i="3"/>
  <c r="G248" i="3"/>
  <c r="H248" i="3"/>
  <c r="I248" i="3"/>
  <c r="J248" i="3"/>
  <c r="B249" i="3"/>
  <c r="C249" i="3"/>
  <c r="D249" i="3"/>
  <c r="E249" i="3"/>
  <c r="F249" i="3"/>
  <c r="G249" i="3"/>
  <c r="H249" i="3"/>
  <c r="I249" i="3"/>
  <c r="J249" i="3"/>
  <c r="B250" i="3"/>
  <c r="C250" i="3"/>
  <c r="D250" i="3"/>
  <c r="E250" i="3"/>
  <c r="F250" i="3"/>
  <c r="G250" i="3"/>
  <c r="H250" i="3"/>
  <c r="I250" i="3"/>
  <c r="J250" i="3"/>
  <c r="B251" i="3"/>
  <c r="C251" i="3"/>
  <c r="D251" i="3"/>
  <c r="E251" i="3"/>
  <c r="F251" i="3"/>
  <c r="G251" i="3"/>
  <c r="H251" i="3"/>
  <c r="I251" i="3"/>
  <c r="J251" i="3"/>
  <c r="B252" i="3"/>
  <c r="C252" i="3"/>
  <c r="D252" i="3"/>
  <c r="E252" i="3"/>
  <c r="F252" i="3"/>
  <c r="G252" i="3"/>
  <c r="H252" i="3"/>
  <c r="I252" i="3"/>
  <c r="J252" i="3"/>
  <c r="B253" i="3"/>
  <c r="C253" i="3"/>
  <c r="D253" i="3"/>
  <c r="E253" i="3"/>
  <c r="F253" i="3"/>
  <c r="G253" i="3"/>
  <c r="H253" i="3"/>
  <c r="I253" i="3"/>
  <c r="J253" i="3"/>
  <c r="B254" i="3"/>
  <c r="C254" i="3"/>
  <c r="D254" i="3"/>
  <c r="E254" i="3"/>
  <c r="F254" i="3"/>
  <c r="G254" i="3"/>
  <c r="H254" i="3"/>
  <c r="I254" i="3"/>
  <c r="J254" i="3"/>
  <c r="B255" i="3"/>
  <c r="C255" i="3"/>
  <c r="D255" i="3"/>
  <c r="E255" i="3"/>
  <c r="F255" i="3"/>
  <c r="G255" i="3"/>
  <c r="H255" i="3"/>
  <c r="I255" i="3"/>
  <c r="J255" i="3"/>
  <c r="B256" i="3"/>
  <c r="C256" i="3"/>
  <c r="D256" i="3"/>
  <c r="E256" i="3"/>
  <c r="F256" i="3"/>
  <c r="G256" i="3"/>
  <c r="H256" i="3"/>
  <c r="I256" i="3"/>
  <c r="J256" i="3"/>
  <c r="B257" i="3"/>
  <c r="C257" i="3"/>
  <c r="D257" i="3"/>
  <c r="E257" i="3"/>
  <c r="F257" i="3"/>
  <c r="G257" i="3"/>
  <c r="H257" i="3"/>
  <c r="I257" i="3"/>
  <c r="J257" i="3"/>
  <c r="B258" i="3"/>
  <c r="C258" i="3"/>
  <c r="D258" i="3"/>
  <c r="E258" i="3"/>
  <c r="F258" i="3"/>
  <c r="G258" i="3"/>
  <c r="H258" i="3"/>
  <c r="I258" i="3"/>
  <c r="J258" i="3"/>
  <c r="B259" i="3"/>
  <c r="C259" i="3"/>
  <c r="D259" i="3"/>
  <c r="E259" i="3"/>
  <c r="F259" i="3"/>
  <c r="G259" i="3"/>
  <c r="H259" i="3"/>
  <c r="I259" i="3"/>
  <c r="J259" i="3"/>
  <c r="B260" i="3"/>
  <c r="C260" i="3"/>
  <c r="D260" i="3"/>
  <c r="E260" i="3"/>
  <c r="F260" i="3"/>
  <c r="G260" i="3"/>
  <c r="H260" i="3"/>
  <c r="I260" i="3"/>
  <c r="J260" i="3"/>
  <c r="B261" i="3"/>
  <c r="C261" i="3"/>
  <c r="D261" i="3"/>
  <c r="E261" i="3"/>
  <c r="F261" i="3"/>
  <c r="G261" i="3"/>
  <c r="H261" i="3"/>
  <c r="I261" i="3"/>
  <c r="J261" i="3"/>
  <c r="B262" i="3"/>
  <c r="C262" i="3"/>
  <c r="D262" i="3"/>
  <c r="E262" i="3"/>
  <c r="F262" i="3"/>
  <c r="G262" i="3"/>
  <c r="H262" i="3"/>
  <c r="I262" i="3"/>
  <c r="J262" i="3"/>
  <c r="B263" i="3"/>
  <c r="C263" i="3"/>
  <c r="D263" i="3"/>
  <c r="E263" i="3"/>
  <c r="F263" i="3"/>
  <c r="G263" i="3"/>
  <c r="H263" i="3"/>
  <c r="I263" i="3"/>
  <c r="J263" i="3"/>
  <c r="B264" i="3"/>
  <c r="C264" i="3"/>
  <c r="D264" i="3"/>
  <c r="E264" i="3"/>
  <c r="F264" i="3"/>
  <c r="G264" i="3"/>
  <c r="H264" i="3"/>
  <c r="I264" i="3"/>
  <c r="J264" i="3"/>
  <c r="B265" i="3"/>
  <c r="C265" i="3"/>
  <c r="D265" i="3"/>
  <c r="E265" i="3"/>
  <c r="F265" i="3"/>
  <c r="G265" i="3"/>
  <c r="H265" i="3"/>
  <c r="I265" i="3"/>
  <c r="J265" i="3"/>
  <c r="B266" i="3"/>
  <c r="C266" i="3"/>
  <c r="D266" i="3"/>
  <c r="E266" i="3"/>
  <c r="F266" i="3"/>
  <c r="G266" i="3"/>
  <c r="H266" i="3"/>
  <c r="I266" i="3"/>
  <c r="J266" i="3"/>
  <c r="B267" i="3"/>
  <c r="C267" i="3"/>
  <c r="D267" i="3"/>
  <c r="E267" i="3"/>
  <c r="F267" i="3"/>
  <c r="G267" i="3"/>
  <c r="H267" i="3"/>
  <c r="I267" i="3"/>
  <c r="J267" i="3"/>
  <c r="B268" i="3"/>
  <c r="C268" i="3"/>
  <c r="D268" i="3"/>
  <c r="E268" i="3"/>
  <c r="F268" i="3"/>
  <c r="G268" i="3"/>
  <c r="H268" i="3"/>
  <c r="I268" i="3"/>
  <c r="J268" i="3"/>
  <c r="B269" i="3"/>
  <c r="C269" i="3"/>
  <c r="D269" i="3"/>
  <c r="E269" i="3"/>
  <c r="F269" i="3"/>
  <c r="G269" i="3"/>
  <c r="H269" i="3"/>
  <c r="I269" i="3"/>
  <c r="J269" i="3"/>
  <c r="B270" i="3"/>
  <c r="C270" i="3"/>
  <c r="D270" i="3"/>
  <c r="E270" i="3"/>
  <c r="F270" i="3"/>
  <c r="G270" i="3"/>
  <c r="H270" i="3"/>
  <c r="I270" i="3"/>
  <c r="J270" i="3"/>
  <c r="B271" i="3"/>
  <c r="C271" i="3"/>
  <c r="D271" i="3"/>
  <c r="E271" i="3"/>
  <c r="F271" i="3"/>
  <c r="G271" i="3"/>
  <c r="H271" i="3"/>
  <c r="I271" i="3"/>
  <c r="J271" i="3"/>
  <c r="B272" i="3"/>
  <c r="C272" i="3"/>
  <c r="D272" i="3"/>
  <c r="E272" i="3"/>
  <c r="F272" i="3"/>
  <c r="G272" i="3"/>
  <c r="H272" i="3"/>
  <c r="I272" i="3"/>
  <c r="J272" i="3"/>
  <c r="B273" i="3"/>
  <c r="C273" i="3"/>
  <c r="D273" i="3"/>
  <c r="E273" i="3"/>
  <c r="F273" i="3"/>
  <c r="G273" i="3"/>
  <c r="H273" i="3"/>
  <c r="I273" i="3"/>
  <c r="J273" i="3"/>
  <c r="B274" i="3"/>
  <c r="C274" i="3"/>
  <c r="D274" i="3"/>
  <c r="E274" i="3"/>
  <c r="F274" i="3"/>
  <c r="G274" i="3"/>
  <c r="H274" i="3"/>
  <c r="I274" i="3"/>
  <c r="J274" i="3"/>
  <c r="B275" i="3"/>
  <c r="C275" i="3"/>
  <c r="D275" i="3"/>
  <c r="E275" i="3"/>
  <c r="F275" i="3"/>
  <c r="G275" i="3"/>
  <c r="H275" i="3"/>
  <c r="I275" i="3"/>
  <c r="J275" i="3"/>
  <c r="B276" i="3"/>
  <c r="C276" i="3"/>
  <c r="D276" i="3"/>
  <c r="E276" i="3"/>
  <c r="F276" i="3"/>
  <c r="G276" i="3"/>
  <c r="H276" i="3"/>
  <c r="I276" i="3"/>
  <c r="J276" i="3"/>
  <c r="B277" i="3"/>
  <c r="C277" i="3"/>
  <c r="D277" i="3"/>
  <c r="E277" i="3"/>
  <c r="F277" i="3"/>
  <c r="G277" i="3"/>
  <c r="H277" i="3"/>
  <c r="I277" i="3"/>
  <c r="J277" i="3"/>
  <c r="B278" i="3"/>
  <c r="C278" i="3"/>
  <c r="D278" i="3"/>
  <c r="E278" i="3"/>
  <c r="F278" i="3"/>
  <c r="G278" i="3"/>
  <c r="H278" i="3"/>
  <c r="I278" i="3"/>
  <c r="J278" i="3"/>
  <c r="B279" i="3"/>
  <c r="C279" i="3"/>
  <c r="D279" i="3"/>
  <c r="E279" i="3"/>
  <c r="F279" i="3"/>
  <c r="G279" i="3"/>
  <c r="H279" i="3"/>
  <c r="I279" i="3"/>
  <c r="J279" i="3"/>
  <c r="B280" i="3"/>
  <c r="C280" i="3"/>
  <c r="D280" i="3"/>
  <c r="E280" i="3"/>
  <c r="F280" i="3"/>
  <c r="G280" i="3"/>
  <c r="H280" i="3"/>
  <c r="I280" i="3"/>
  <c r="J280" i="3"/>
  <c r="B281" i="3"/>
  <c r="C281" i="3"/>
  <c r="D281" i="3"/>
  <c r="E281" i="3"/>
  <c r="F281" i="3"/>
  <c r="G281" i="3"/>
  <c r="H281" i="3"/>
  <c r="I281" i="3"/>
  <c r="J281" i="3"/>
  <c r="B282" i="3"/>
  <c r="C282" i="3"/>
  <c r="D282" i="3"/>
  <c r="E282" i="3"/>
  <c r="F282" i="3"/>
  <c r="G282" i="3"/>
  <c r="H282" i="3"/>
  <c r="I282" i="3"/>
  <c r="J282" i="3"/>
  <c r="B283" i="3"/>
  <c r="C283" i="3"/>
  <c r="D283" i="3"/>
  <c r="E283" i="3"/>
  <c r="F283" i="3"/>
  <c r="G283" i="3"/>
  <c r="H283" i="3"/>
  <c r="I283" i="3"/>
  <c r="J283" i="3"/>
  <c r="B284" i="3"/>
  <c r="C284" i="3"/>
  <c r="D284" i="3"/>
  <c r="E284" i="3"/>
  <c r="F284" i="3"/>
  <c r="G284" i="3"/>
  <c r="H284" i="3"/>
  <c r="I284" i="3"/>
  <c r="J284" i="3"/>
  <c r="B285" i="3"/>
  <c r="C285" i="3"/>
  <c r="D285" i="3"/>
  <c r="E285" i="3"/>
  <c r="F285" i="3"/>
  <c r="G285" i="3"/>
  <c r="H285" i="3"/>
  <c r="I285" i="3"/>
  <c r="J285" i="3"/>
  <c r="B286" i="3"/>
  <c r="C286" i="3"/>
  <c r="D286" i="3"/>
  <c r="E286" i="3"/>
  <c r="F286" i="3"/>
  <c r="G286" i="3"/>
  <c r="H286" i="3"/>
  <c r="I286" i="3"/>
  <c r="J286" i="3"/>
  <c r="B287" i="3"/>
  <c r="C287" i="3"/>
  <c r="D287" i="3"/>
  <c r="E287" i="3"/>
  <c r="F287" i="3"/>
  <c r="G287" i="3"/>
  <c r="H287" i="3"/>
  <c r="I287" i="3"/>
  <c r="J287" i="3"/>
  <c r="B288" i="3"/>
  <c r="C288" i="3"/>
  <c r="D288" i="3"/>
  <c r="E288" i="3"/>
  <c r="F288" i="3"/>
  <c r="G288" i="3"/>
  <c r="H288" i="3"/>
  <c r="I288" i="3"/>
  <c r="J288" i="3"/>
  <c r="B289" i="3"/>
  <c r="C289" i="3"/>
  <c r="D289" i="3"/>
  <c r="E289" i="3"/>
  <c r="F289" i="3"/>
  <c r="G289" i="3"/>
  <c r="H289" i="3"/>
  <c r="I289" i="3"/>
  <c r="J289" i="3"/>
  <c r="B290" i="3"/>
  <c r="C290" i="3"/>
  <c r="D290" i="3"/>
  <c r="E290" i="3"/>
  <c r="F290" i="3"/>
  <c r="G290" i="3"/>
  <c r="H290" i="3"/>
  <c r="I290" i="3"/>
  <c r="J290" i="3"/>
  <c r="B291" i="3"/>
  <c r="C291" i="3"/>
  <c r="D291" i="3"/>
  <c r="E291" i="3"/>
  <c r="F291" i="3"/>
  <c r="G291" i="3"/>
  <c r="H291" i="3"/>
  <c r="I291" i="3"/>
  <c r="J291" i="3"/>
  <c r="B292" i="3"/>
  <c r="C292" i="3"/>
  <c r="D292" i="3"/>
  <c r="E292" i="3"/>
  <c r="F292" i="3"/>
  <c r="G292" i="3"/>
  <c r="H292" i="3"/>
  <c r="I292" i="3"/>
  <c r="J292" i="3"/>
  <c r="B293" i="3"/>
  <c r="C293" i="3"/>
  <c r="D293" i="3"/>
  <c r="E293" i="3"/>
  <c r="F293" i="3"/>
  <c r="G293" i="3"/>
  <c r="H293" i="3"/>
  <c r="I293" i="3"/>
  <c r="J293" i="3"/>
  <c r="B294" i="3"/>
  <c r="C294" i="3"/>
  <c r="D294" i="3"/>
  <c r="E294" i="3"/>
  <c r="F294" i="3"/>
  <c r="G294" i="3"/>
  <c r="H294" i="3"/>
  <c r="I294" i="3"/>
  <c r="J294" i="3"/>
  <c r="B295" i="3"/>
  <c r="C295" i="3"/>
  <c r="D295" i="3"/>
  <c r="E295" i="3"/>
  <c r="F295" i="3"/>
  <c r="G295" i="3"/>
  <c r="H295" i="3"/>
  <c r="I295" i="3"/>
  <c r="J295" i="3"/>
  <c r="B296" i="3"/>
  <c r="C296" i="3"/>
  <c r="D296" i="3"/>
  <c r="E296" i="3"/>
  <c r="F296" i="3"/>
  <c r="G296" i="3"/>
  <c r="H296" i="3"/>
  <c r="I296" i="3"/>
  <c r="J296" i="3"/>
  <c r="B297" i="3"/>
  <c r="C297" i="3"/>
  <c r="D297" i="3"/>
  <c r="E297" i="3"/>
  <c r="F297" i="3"/>
  <c r="G297" i="3"/>
  <c r="H297" i="3"/>
  <c r="I297" i="3"/>
  <c r="J297" i="3"/>
  <c r="B298" i="3"/>
  <c r="C298" i="3"/>
  <c r="D298" i="3"/>
  <c r="E298" i="3"/>
  <c r="F298" i="3"/>
  <c r="G298" i="3"/>
  <c r="H298" i="3"/>
  <c r="I298" i="3"/>
  <c r="J298" i="3"/>
  <c r="B299" i="3"/>
  <c r="C299" i="3"/>
  <c r="D299" i="3"/>
  <c r="E299" i="3"/>
  <c r="F299" i="3"/>
  <c r="G299" i="3"/>
  <c r="H299" i="3"/>
  <c r="I299" i="3"/>
  <c r="J299" i="3"/>
  <c r="B300" i="3"/>
  <c r="C300" i="3"/>
  <c r="D300" i="3"/>
  <c r="E300" i="3"/>
  <c r="F300" i="3"/>
  <c r="G300" i="3"/>
  <c r="H300" i="3"/>
  <c r="I300" i="3"/>
  <c r="J300" i="3"/>
  <c r="B301" i="3"/>
  <c r="C301" i="3"/>
  <c r="D301" i="3"/>
  <c r="E301" i="3"/>
  <c r="F301" i="3"/>
  <c r="G301" i="3"/>
  <c r="H301" i="3"/>
  <c r="I301" i="3"/>
  <c r="J301" i="3"/>
  <c r="B302" i="3"/>
  <c r="C302" i="3"/>
  <c r="D302" i="3"/>
  <c r="E302" i="3"/>
  <c r="F302" i="3"/>
  <c r="G302" i="3"/>
  <c r="H302" i="3"/>
  <c r="I302" i="3"/>
  <c r="J302" i="3"/>
  <c r="B303" i="3"/>
  <c r="C303" i="3"/>
  <c r="D303" i="3"/>
  <c r="E303" i="3"/>
  <c r="F303" i="3"/>
  <c r="G303" i="3"/>
  <c r="H303" i="3"/>
  <c r="I303" i="3"/>
  <c r="J303" i="3"/>
  <c r="B304" i="3"/>
  <c r="C304" i="3"/>
  <c r="D304" i="3"/>
  <c r="E304" i="3"/>
  <c r="F304" i="3"/>
  <c r="G304" i="3"/>
  <c r="H304" i="3"/>
  <c r="I304" i="3"/>
  <c r="J304" i="3"/>
  <c r="B305" i="3"/>
  <c r="C305" i="3"/>
  <c r="D305" i="3"/>
  <c r="E305" i="3"/>
  <c r="F305" i="3"/>
  <c r="G305" i="3"/>
  <c r="H305" i="3"/>
  <c r="I305" i="3"/>
  <c r="J305" i="3"/>
  <c r="B306" i="3"/>
  <c r="C306" i="3"/>
  <c r="D306" i="3"/>
  <c r="E306" i="3"/>
  <c r="F306" i="3"/>
  <c r="G306" i="3"/>
  <c r="H306" i="3"/>
  <c r="I306" i="3"/>
  <c r="J306" i="3"/>
  <c r="B307" i="3"/>
  <c r="C307" i="3"/>
  <c r="D307" i="3"/>
  <c r="E307" i="3"/>
  <c r="F307" i="3"/>
  <c r="G307" i="3"/>
  <c r="H307" i="3"/>
  <c r="I307" i="3"/>
  <c r="J307" i="3"/>
  <c r="B308" i="3"/>
  <c r="C308" i="3"/>
  <c r="D308" i="3"/>
  <c r="E308" i="3"/>
  <c r="F308" i="3"/>
  <c r="G308" i="3"/>
  <c r="H308" i="3"/>
  <c r="I308" i="3"/>
  <c r="J308" i="3"/>
  <c r="B309" i="3"/>
  <c r="C309" i="3"/>
  <c r="D309" i="3"/>
  <c r="E309" i="3"/>
  <c r="F309" i="3"/>
  <c r="G309" i="3"/>
  <c r="H309" i="3"/>
  <c r="I309" i="3"/>
  <c r="J309" i="3"/>
  <c r="B310" i="3"/>
  <c r="C310" i="3"/>
  <c r="D310" i="3"/>
  <c r="E310" i="3"/>
  <c r="F310" i="3"/>
  <c r="G310" i="3"/>
  <c r="H310" i="3"/>
  <c r="I310" i="3"/>
  <c r="J310" i="3"/>
  <c r="B311" i="3"/>
  <c r="C311" i="3"/>
  <c r="D311" i="3"/>
  <c r="E311" i="3"/>
  <c r="F311" i="3"/>
  <c r="G311" i="3"/>
  <c r="H311" i="3"/>
  <c r="I311" i="3"/>
  <c r="J311" i="3"/>
  <c r="B312" i="3"/>
  <c r="C312" i="3"/>
  <c r="D312" i="3"/>
  <c r="E312" i="3"/>
  <c r="F312" i="3"/>
  <c r="G312" i="3"/>
  <c r="H312" i="3"/>
  <c r="I312" i="3"/>
  <c r="J312" i="3"/>
  <c r="B313" i="3"/>
  <c r="C313" i="3"/>
  <c r="D313" i="3"/>
  <c r="E313" i="3"/>
  <c r="F313" i="3"/>
  <c r="G313" i="3"/>
  <c r="H313" i="3"/>
  <c r="I313" i="3"/>
  <c r="J313" i="3"/>
  <c r="B314" i="3"/>
  <c r="C314" i="3"/>
  <c r="D314" i="3"/>
  <c r="E314" i="3"/>
  <c r="F314" i="3"/>
  <c r="G314" i="3"/>
  <c r="H314" i="3"/>
  <c r="I314" i="3"/>
  <c r="J314" i="3"/>
  <c r="B315" i="3"/>
  <c r="C315" i="3"/>
  <c r="D315" i="3"/>
  <c r="E315" i="3"/>
  <c r="F315" i="3"/>
  <c r="G315" i="3"/>
  <c r="H315" i="3"/>
  <c r="I315" i="3"/>
  <c r="J315" i="3"/>
  <c r="B316" i="3"/>
  <c r="C316" i="3"/>
  <c r="D316" i="3"/>
  <c r="E316" i="3"/>
  <c r="F316" i="3"/>
  <c r="G316" i="3"/>
  <c r="H316" i="3"/>
  <c r="I316" i="3"/>
  <c r="J316" i="3"/>
  <c r="B317" i="3"/>
  <c r="C317" i="3"/>
  <c r="D317" i="3"/>
  <c r="E317" i="3"/>
  <c r="F317" i="3"/>
  <c r="G317" i="3"/>
  <c r="H317" i="3"/>
  <c r="I317" i="3"/>
  <c r="J317" i="3"/>
  <c r="B318" i="3"/>
  <c r="C318" i="3"/>
  <c r="D318" i="3"/>
  <c r="E318" i="3"/>
  <c r="F318" i="3"/>
  <c r="G318" i="3"/>
  <c r="H318" i="3"/>
  <c r="I318" i="3"/>
  <c r="J318" i="3"/>
  <c r="B319" i="3"/>
  <c r="C319" i="3"/>
  <c r="D319" i="3"/>
  <c r="E319" i="3"/>
  <c r="F319" i="3"/>
  <c r="G319" i="3"/>
  <c r="H319" i="3"/>
  <c r="I319" i="3"/>
  <c r="J319" i="3"/>
  <c r="B320" i="3"/>
  <c r="C320" i="3"/>
  <c r="D320" i="3"/>
  <c r="E320" i="3"/>
  <c r="F320" i="3"/>
  <c r="G320" i="3"/>
  <c r="H320" i="3"/>
  <c r="I320" i="3"/>
  <c r="J320" i="3"/>
  <c r="B321" i="3"/>
  <c r="C321" i="3"/>
  <c r="D321" i="3"/>
  <c r="E321" i="3"/>
  <c r="F321" i="3"/>
  <c r="G321" i="3"/>
  <c r="H321" i="3"/>
  <c r="I321" i="3"/>
  <c r="J321" i="3"/>
  <c r="B322" i="3"/>
  <c r="C322" i="3"/>
  <c r="D322" i="3"/>
  <c r="E322" i="3"/>
  <c r="F322" i="3"/>
  <c r="G322" i="3"/>
  <c r="H322" i="3"/>
  <c r="I322" i="3"/>
  <c r="J322" i="3"/>
  <c r="B323" i="3"/>
  <c r="C323" i="3"/>
  <c r="D323" i="3"/>
  <c r="E323" i="3"/>
  <c r="F323" i="3"/>
  <c r="G323" i="3"/>
  <c r="H323" i="3"/>
  <c r="I323" i="3"/>
  <c r="J323" i="3"/>
  <c r="B324" i="3"/>
  <c r="C324" i="3"/>
  <c r="D324" i="3"/>
  <c r="E324" i="3"/>
  <c r="F324" i="3"/>
  <c r="G324" i="3"/>
  <c r="H324" i="3"/>
  <c r="I324" i="3"/>
  <c r="J324" i="3"/>
  <c r="B325" i="3"/>
  <c r="C325" i="3"/>
  <c r="D325" i="3"/>
  <c r="E325" i="3"/>
  <c r="F325" i="3"/>
  <c r="G325" i="3"/>
  <c r="H325" i="3"/>
  <c r="I325" i="3"/>
  <c r="J325" i="3"/>
  <c r="B326" i="3"/>
  <c r="C326" i="3"/>
  <c r="D326" i="3"/>
  <c r="E326" i="3"/>
  <c r="F326" i="3"/>
  <c r="G326" i="3"/>
  <c r="H326" i="3"/>
  <c r="I326" i="3"/>
  <c r="J326" i="3"/>
  <c r="B327" i="3"/>
  <c r="C327" i="3"/>
  <c r="D327" i="3"/>
  <c r="E327" i="3"/>
  <c r="F327" i="3"/>
  <c r="G327" i="3"/>
  <c r="H327" i="3"/>
  <c r="I327" i="3"/>
  <c r="J327" i="3"/>
  <c r="B328" i="3"/>
  <c r="C328" i="3"/>
  <c r="D328" i="3"/>
  <c r="E328" i="3"/>
  <c r="F328" i="3"/>
  <c r="G328" i="3"/>
  <c r="H328" i="3"/>
  <c r="I328" i="3"/>
  <c r="J328" i="3"/>
  <c r="B329" i="3"/>
  <c r="C329" i="3"/>
  <c r="D329" i="3"/>
  <c r="E329" i="3"/>
  <c r="F329" i="3"/>
  <c r="G329" i="3"/>
  <c r="H329" i="3"/>
  <c r="I329" i="3"/>
  <c r="J329" i="3"/>
  <c r="B330" i="3"/>
  <c r="C330" i="3"/>
  <c r="D330" i="3"/>
  <c r="E330" i="3"/>
  <c r="F330" i="3"/>
  <c r="G330" i="3"/>
  <c r="H330" i="3"/>
  <c r="I330" i="3"/>
  <c r="J330" i="3"/>
  <c r="B331" i="3"/>
  <c r="C331" i="3"/>
  <c r="D331" i="3"/>
  <c r="E331" i="3"/>
  <c r="F331" i="3"/>
  <c r="G331" i="3"/>
  <c r="H331" i="3"/>
  <c r="I331" i="3"/>
  <c r="J331" i="3"/>
  <c r="B332" i="3"/>
  <c r="C332" i="3"/>
  <c r="D332" i="3"/>
  <c r="E332" i="3"/>
  <c r="F332" i="3"/>
  <c r="G332" i="3"/>
  <c r="H332" i="3"/>
  <c r="I332" i="3"/>
  <c r="J332" i="3"/>
  <c r="B333" i="3"/>
  <c r="C333" i="3"/>
  <c r="D333" i="3"/>
  <c r="E333" i="3"/>
  <c r="F333" i="3"/>
  <c r="G333" i="3"/>
  <c r="H333" i="3"/>
  <c r="I333" i="3"/>
  <c r="J333" i="3"/>
  <c r="B334" i="3"/>
  <c r="C334" i="3"/>
  <c r="D334" i="3"/>
  <c r="E334" i="3"/>
  <c r="F334" i="3"/>
  <c r="G334" i="3"/>
  <c r="H334" i="3"/>
  <c r="I334" i="3"/>
  <c r="J334" i="3"/>
  <c r="B335" i="3"/>
  <c r="C335" i="3"/>
  <c r="D335" i="3"/>
  <c r="E335" i="3"/>
  <c r="F335" i="3"/>
  <c r="G335" i="3"/>
  <c r="H335" i="3"/>
  <c r="I335" i="3"/>
  <c r="J335" i="3"/>
  <c r="B336" i="3"/>
  <c r="C336" i="3"/>
  <c r="D336" i="3"/>
  <c r="E336" i="3"/>
  <c r="F336" i="3"/>
  <c r="G336" i="3"/>
  <c r="H336" i="3"/>
  <c r="I336" i="3"/>
  <c r="J336" i="3"/>
  <c r="B337" i="3"/>
  <c r="C337" i="3"/>
  <c r="D337" i="3"/>
  <c r="E337" i="3"/>
  <c r="F337" i="3"/>
  <c r="G337" i="3"/>
  <c r="H337" i="3"/>
  <c r="I337" i="3"/>
  <c r="J337" i="3"/>
  <c r="B338" i="3"/>
  <c r="C338" i="3"/>
  <c r="D338" i="3"/>
  <c r="E338" i="3"/>
  <c r="F338" i="3"/>
  <c r="G338" i="3"/>
  <c r="H338" i="3"/>
  <c r="I338" i="3"/>
  <c r="J338" i="3"/>
  <c r="B339" i="3"/>
  <c r="C339" i="3"/>
  <c r="D339" i="3"/>
  <c r="E339" i="3"/>
  <c r="F339" i="3"/>
  <c r="G339" i="3"/>
  <c r="H339" i="3"/>
  <c r="I339" i="3"/>
  <c r="J339" i="3"/>
  <c r="B340" i="3"/>
  <c r="C340" i="3"/>
  <c r="D340" i="3"/>
  <c r="E340" i="3"/>
  <c r="F340" i="3"/>
  <c r="G340" i="3"/>
  <c r="H340" i="3"/>
  <c r="I340" i="3"/>
  <c r="J340" i="3"/>
  <c r="B341" i="3"/>
  <c r="C341" i="3"/>
  <c r="D341" i="3"/>
  <c r="E341" i="3"/>
  <c r="F341" i="3"/>
  <c r="G341" i="3"/>
  <c r="H341" i="3"/>
  <c r="I341" i="3"/>
  <c r="J341" i="3"/>
  <c r="B342" i="3"/>
  <c r="C342" i="3"/>
  <c r="D342" i="3"/>
  <c r="E342" i="3"/>
  <c r="F342" i="3"/>
  <c r="G342" i="3"/>
  <c r="H342" i="3"/>
  <c r="I342" i="3"/>
  <c r="J342" i="3"/>
  <c r="B343" i="3"/>
  <c r="C343" i="3"/>
  <c r="D343" i="3"/>
  <c r="E343" i="3"/>
  <c r="F343" i="3"/>
  <c r="G343" i="3"/>
  <c r="H343" i="3"/>
  <c r="I343" i="3"/>
  <c r="J343" i="3"/>
  <c r="B344" i="3"/>
  <c r="C344" i="3"/>
  <c r="D344" i="3"/>
  <c r="E344" i="3"/>
  <c r="F344" i="3"/>
  <c r="G344" i="3"/>
  <c r="H344" i="3"/>
  <c r="I344" i="3"/>
  <c r="J344" i="3"/>
  <c r="B345" i="3"/>
  <c r="C345" i="3"/>
  <c r="D345" i="3"/>
  <c r="E345" i="3"/>
  <c r="F345" i="3"/>
  <c r="G345" i="3"/>
  <c r="H345" i="3"/>
  <c r="I345" i="3"/>
  <c r="J345" i="3"/>
  <c r="B346" i="3"/>
  <c r="C346" i="3"/>
  <c r="D346" i="3"/>
  <c r="E346" i="3"/>
  <c r="F346" i="3"/>
  <c r="G346" i="3"/>
  <c r="H346" i="3"/>
  <c r="I346" i="3"/>
  <c r="J346" i="3"/>
  <c r="B347" i="3"/>
  <c r="C347" i="3"/>
  <c r="D347" i="3"/>
  <c r="E347" i="3"/>
  <c r="F347" i="3"/>
  <c r="G347" i="3"/>
  <c r="H347" i="3"/>
  <c r="I347" i="3"/>
  <c r="J347" i="3"/>
  <c r="B348" i="3"/>
  <c r="C348" i="3"/>
  <c r="D348" i="3"/>
  <c r="E348" i="3"/>
  <c r="F348" i="3"/>
  <c r="G348" i="3"/>
  <c r="H348" i="3"/>
  <c r="I348" i="3"/>
  <c r="J348" i="3"/>
  <c r="B349" i="3"/>
  <c r="C349" i="3"/>
  <c r="D349" i="3"/>
  <c r="E349" i="3"/>
  <c r="F349" i="3"/>
  <c r="G349" i="3"/>
  <c r="H349" i="3"/>
  <c r="I349" i="3"/>
  <c r="J349" i="3"/>
  <c r="B350" i="3"/>
  <c r="C350" i="3"/>
  <c r="D350" i="3"/>
  <c r="E350" i="3"/>
  <c r="F350" i="3"/>
  <c r="G350" i="3"/>
  <c r="H350" i="3"/>
  <c r="I350" i="3"/>
  <c r="J350" i="3"/>
  <c r="B351" i="3"/>
  <c r="C351" i="3"/>
  <c r="D351" i="3"/>
  <c r="E351" i="3"/>
  <c r="F351" i="3"/>
  <c r="G351" i="3"/>
  <c r="H351" i="3"/>
  <c r="I351" i="3"/>
  <c r="J351" i="3"/>
  <c r="B352" i="3"/>
  <c r="C352" i="3"/>
  <c r="D352" i="3"/>
  <c r="E352" i="3"/>
  <c r="F352" i="3"/>
  <c r="G352" i="3"/>
  <c r="H352" i="3"/>
  <c r="I352" i="3"/>
  <c r="J352" i="3"/>
  <c r="B353" i="3"/>
  <c r="C353" i="3"/>
  <c r="D353" i="3"/>
  <c r="E353" i="3"/>
  <c r="F353" i="3"/>
  <c r="G353" i="3"/>
  <c r="H353" i="3"/>
  <c r="I353" i="3"/>
  <c r="J353" i="3"/>
  <c r="B354" i="3"/>
  <c r="C354" i="3"/>
  <c r="D354" i="3"/>
  <c r="E354" i="3"/>
  <c r="F354" i="3"/>
  <c r="G354" i="3"/>
  <c r="H354" i="3"/>
  <c r="I354" i="3"/>
  <c r="J354" i="3"/>
  <c r="B355" i="3"/>
  <c r="C355" i="3"/>
  <c r="D355" i="3"/>
  <c r="E355" i="3"/>
  <c r="F355" i="3"/>
  <c r="G355" i="3"/>
  <c r="H355" i="3"/>
  <c r="I355" i="3"/>
  <c r="J355" i="3"/>
  <c r="B356" i="3"/>
  <c r="C356" i="3"/>
  <c r="D356" i="3"/>
  <c r="E356" i="3"/>
  <c r="F356" i="3"/>
  <c r="G356" i="3"/>
  <c r="H356" i="3"/>
  <c r="I356" i="3"/>
  <c r="J356" i="3"/>
  <c r="B357" i="3"/>
  <c r="C357" i="3"/>
  <c r="D357" i="3"/>
  <c r="E357" i="3"/>
  <c r="F357" i="3"/>
  <c r="G357" i="3"/>
  <c r="H357" i="3"/>
  <c r="I357" i="3"/>
  <c r="J357" i="3"/>
  <c r="B358" i="3"/>
  <c r="C358" i="3"/>
  <c r="D358" i="3"/>
  <c r="E358" i="3"/>
  <c r="F358" i="3"/>
  <c r="G358" i="3"/>
  <c r="H358" i="3"/>
  <c r="I358" i="3"/>
  <c r="J358" i="3"/>
  <c r="B359" i="3"/>
  <c r="C359" i="3"/>
  <c r="D359" i="3"/>
  <c r="E359" i="3"/>
  <c r="F359" i="3"/>
  <c r="G359" i="3"/>
  <c r="H359" i="3"/>
  <c r="I359" i="3"/>
  <c r="J359" i="3"/>
  <c r="B360" i="3"/>
  <c r="C360" i="3"/>
  <c r="D360" i="3"/>
  <c r="E360" i="3"/>
  <c r="F360" i="3"/>
  <c r="G360" i="3"/>
  <c r="H360" i="3"/>
  <c r="I360" i="3"/>
  <c r="J360" i="3"/>
  <c r="B361" i="3"/>
  <c r="C361" i="3"/>
  <c r="D361" i="3"/>
  <c r="E361" i="3"/>
  <c r="F361" i="3"/>
  <c r="G361" i="3"/>
  <c r="H361" i="3"/>
  <c r="I361" i="3"/>
  <c r="J361" i="3"/>
  <c r="B362" i="3"/>
  <c r="C362" i="3"/>
  <c r="D362" i="3"/>
  <c r="E362" i="3"/>
  <c r="F362" i="3"/>
  <c r="G362" i="3"/>
  <c r="H362" i="3"/>
  <c r="I362" i="3"/>
  <c r="J362" i="3"/>
  <c r="B363" i="3"/>
  <c r="C363" i="3"/>
  <c r="D363" i="3"/>
  <c r="E363" i="3"/>
  <c r="F363" i="3"/>
  <c r="G363" i="3"/>
  <c r="H363" i="3"/>
  <c r="I363" i="3"/>
  <c r="J363" i="3"/>
  <c r="B364" i="3"/>
  <c r="C364" i="3"/>
  <c r="D364" i="3"/>
  <c r="E364" i="3"/>
  <c r="F364" i="3"/>
  <c r="G364" i="3"/>
  <c r="H364" i="3"/>
  <c r="I364" i="3"/>
  <c r="J364" i="3"/>
  <c r="B365" i="3"/>
  <c r="C365" i="3"/>
  <c r="D365" i="3"/>
  <c r="E365" i="3"/>
  <c r="F365" i="3"/>
  <c r="G365" i="3"/>
  <c r="H365" i="3"/>
  <c r="I365" i="3"/>
  <c r="J365" i="3"/>
  <c r="B366" i="3"/>
  <c r="C366" i="3"/>
  <c r="D366" i="3"/>
  <c r="E366" i="3"/>
  <c r="F366" i="3"/>
  <c r="G366" i="3"/>
  <c r="H366" i="3"/>
  <c r="I366" i="3"/>
  <c r="J366" i="3"/>
  <c r="B367" i="3"/>
  <c r="C367" i="3"/>
  <c r="D367" i="3"/>
  <c r="E367" i="3"/>
  <c r="F367" i="3"/>
  <c r="G367" i="3"/>
  <c r="H367" i="3"/>
  <c r="I367" i="3"/>
  <c r="J367" i="3"/>
  <c r="B368" i="3"/>
  <c r="C368" i="3"/>
  <c r="D368" i="3"/>
  <c r="E368" i="3"/>
  <c r="F368" i="3"/>
  <c r="G368" i="3"/>
  <c r="H368" i="3"/>
  <c r="I368" i="3"/>
  <c r="J368" i="3"/>
  <c r="B369" i="3"/>
  <c r="C369" i="3"/>
  <c r="D369" i="3"/>
  <c r="E369" i="3"/>
  <c r="F369" i="3"/>
  <c r="G369" i="3"/>
  <c r="H369" i="3"/>
  <c r="I369" i="3"/>
  <c r="J369" i="3"/>
  <c r="B370" i="3"/>
  <c r="C370" i="3"/>
  <c r="D370" i="3"/>
  <c r="E370" i="3"/>
  <c r="F370" i="3"/>
  <c r="G370" i="3"/>
  <c r="H370" i="3"/>
  <c r="I370" i="3"/>
  <c r="J370" i="3"/>
  <c r="B371" i="3"/>
  <c r="C371" i="3"/>
  <c r="D371" i="3"/>
  <c r="E371" i="3"/>
  <c r="F371" i="3"/>
  <c r="G371" i="3"/>
  <c r="H371" i="3"/>
  <c r="I371" i="3"/>
  <c r="J371" i="3"/>
  <c r="B372" i="3"/>
  <c r="C372" i="3"/>
  <c r="D372" i="3"/>
  <c r="E372" i="3"/>
  <c r="F372" i="3"/>
  <c r="G372" i="3"/>
  <c r="H372" i="3"/>
  <c r="I372" i="3"/>
  <c r="J372" i="3"/>
  <c r="B373" i="3"/>
  <c r="C373" i="3"/>
  <c r="D373" i="3"/>
  <c r="E373" i="3"/>
  <c r="F373" i="3"/>
  <c r="G373" i="3"/>
  <c r="H373" i="3"/>
  <c r="I373" i="3"/>
  <c r="J373" i="3"/>
  <c r="B374" i="3"/>
  <c r="C374" i="3"/>
  <c r="D374" i="3"/>
  <c r="E374" i="3"/>
  <c r="F374" i="3"/>
  <c r="G374" i="3"/>
  <c r="H374" i="3"/>
  <c r="I374" i="3"/>
  <c r="J374" i="3"/>
  <c r="B375" i="3"/>
  <c r="C375" i="3"/>
  <c r="D375" i="3"/>
  <c r="E375" i="3"/>
  <c r="F375" i="3"/>
  <c r="G375" i="3"/>
  <c r="H375" i="3"/>
  <c r="I375" i="3"/>
  <c r="J375" i="3"/>
  <c r="B376" i="3"/>
  <c r="C376" i="3"/>
  <c r="D376" i="3"/>
  <c r="E376" i="3"/>
  <c r="F376" i="3"/>
  <c r="G376" i="3"/>
  <c r="H376" i="3"/>
  <c r="I376" i="3"/>
  <c r="J376" i="3"/>
  <c r="B377" i="3"/>
  <c r="C377" i="3"/>
  <c r="D377" i="3"/>
  <c r="E377" i="3"/>
  <c r="F377" i="3"/>
  <c r="G377" i="3"/>
  <c r="H377" i="3"/>
  <c r="I377" i="3"/>
  <c r="J377" i="3"/>
  <c r="B378" i="3"/>
  <c r="C378" i="3"/>
  <c r="D378" i="3"/>
  <c r="E378" i="3"/>
  <c r="F378" i="3"/>
  <c r="G378" i="3"/>
  <c r="H378" i="3"/>
  <c r="I378" i="3"/>
  <c r="J378" i="3"/>
  <c r="B379" i="3"/>
  <c r="C379" i="3"/>
  <c r="D379" i="3"/>
  <c r="E379" i="3"/>
  <c r="F379" i="3"/>
  <c r="G379" i="3"/>
  <c r="H379" i="3"/>
  <c r="I379" i="3"/>
  <c r="J379" i="3"/>
  <c r="B380" i="3"/>
  <c r="C380" i="3"/>
  <c r="D380" i="3"/>
  <c r="E380" i="3"/>
  <c r="F380" i="3"/>
  <c r="G380" i="3"/>
  <c r="H380" i="3"/>
  <c r="I380" i="3"/>
  <c r="J380" i="3"/>
  <c r="B381" i="3"/>
  <c r="C381" i="3"/>
  <c r="D381" i="3"/>
  <c r="E381" i="3"/>
  <c r="F381" i="3"/>
  <c r="G381" i="3"/>
  <c r="H381" i="3"/>
  <c r="I381" i="3"/>
  <c r="J381" i="3"/>
  <c r="B382" i="3"/>
  <c r="C382" i="3"/>
  <c r="D382" i="3"/>
  <c r="E382" i="3"/>
  <c r="F382" i="3"/>
  <c r="G382" i="3"/>
  <c r="H382" i="3"/>
  <c r="I382" i="3"/>
  <c r="J382" i="3"/>
  <c r="B383" i="3"/>
  <c r="C383" i="3"/>
  <c r="D383" i="3"/>
  <c r="E383" i="3"/>
  <c r="F383" i="3"/>
  <c r="G383" i="3"/>
  <c r="H383" i="3"/>
  <c r="I383" i="3"/>
  <c r="J383" i="3"/>
  <c r="B384" i="3"/>
  <c r="C384" i="3"/>
  <c r="D384" i="3"/>
  <c r="E384" i="3"/>
  <c r="F384" i="3"/>
  <c r="G384" i="3"/>
  <c r="H384" i="3"/>
  <c r="I384" i="3"/>
  <c r="J384" i="3"/>
  <c r="B385" i="3"/>
  <c r="C385" i="3"/>
  <c r="D385" i="3"/>
  <c r="E385" i="3"/>
  <c r="F385" i="3"/>
  <c r="G385" i="3"/>
  <c r="H385" i="3"/>
  <c r="I385" i="3"/>
  <c r="J385" i="3"/>
  <c r="B386" i="3"/>
  <c r="C386" i="3"/>
  <c r="D386" i="3"/>
  <c r="E386" i="3"/>
  <c r="F386" i="3"/>
  <c r="G386" i="3"/>
  <c r="H386" i="3"/>
  <c r="I386" i="3"/>
  <c r="J386" i="3"/>
  <c r="B387" i="3"/>
  <c r="C387" i="3"/>
  <c r="D387" i="3"/>
  <c r="E387" i="3"/>
  <c r="F387" i="3"/>
  <c r="G387" i="3"/>
  <c r="H387" i="3"/>
  <c r="I387" i="3"/>
  <c r="J387" i="3"/>
  <c r="B388" i="3"/>
  <c r="C388" i="3"/>
  <c r="D388" i="3"/>
  <c r="E388" i="3"/>
  <c r="F388" i="3"/>
  <c r="G388" i="3"/>
  <c r="H388" i="3"/>
  <c r="I388" i="3"/>
  <c r="J388" i="3"/>
  <c r="B389" i="3"/>
  <c r="C389" i="3"/>
  <c r="D389" i="3"/>
  <c r="E389" i="3"/>
  <c r="F389" i="3"/>
  <c r="G389" i="3"/>
  <c r="H389" i="3"/>
  <c r="I389" i="3"/>
  <c r="J389" i="3"/>
  <c r="B390" i="3"/>
  <c r="C390" i="3"/>
  <c r="D390" i="3"/>
  <c r="E390" i="3"/>
  <c r="F390" i="3"/>
  <c r="G390" i="3"/>
  <c r="H390" i="3"/>
  <c r="I390" i="3"/>
  <c r="J390" i="3"/>
  <c r="B391" i="3"/>
  <c r="C391" i="3"/>
  <c r="D391" i="3"/>
  <c r="E391" i="3"/>
  <c r="F391" i="3"/>
  <c r="G391" i="3"/>
  <c r="H391" i="3"/>
  <c r="I391" i="3"/>
  <c r="J391" i="3"/>
  <c r="B392" i="3"/>
  <c r="C392" i="3"/>
  <c r="D392" i="3"/>
  <c r="E392" i="3"/>
  <c r="F392" i="3"/>
  <c r="G392" i="3"/>
  <c r="H392" i="3"/>
  <c r="I392" i="3"/>
  <c r="J392" i="3"/>
  <c r="B393" i="3"/>
  <c r="C393" i="3"/>
  <c r="D393" i="3"/>
  <c r="E393" i="3"/>
  <c r="F393" i="3"/>
  <c r="G393" i="3"/>
  <c r="H393" i="3"/>
  <c r="I393" i="3"/>
  <c r="J393" i="3"/>
  <c r="B394" i="3"/>
  <c r="C394" i="3"/>
  <c r="D394" i="3"/>
  <c r="E394" i="3"/>
  <c r="F394" i="3"/>
  <c r="G394" i="3"/>
  <c r="H394" i="3"/>
  <c r="I394" i="3"/>
  <c r="J394" i="3"/>
  <c r="B395" i="3"/>
  <c r="C395" i="3"/>
  <c r="D395" i="3"/>
  <c r="E395" i="3"/>
  <c r="F395" i="3"/>
  <c r="G395" i="3"/>
  <c r="H395" i="3"/>
  <c r="I395" i="3"/>
  <c r="J395" i="3"/>
  <c r="B396" i="3"/>
  <c r="C396" i="3"/>
  <c r="D396" i="3"/>
  <c r="E396" i="3"/>
  <c r="F396" i="3"/>
  <c r="G396" i="3"/>
  <c r="H396" i="3"/>
  <c r="I396" i="3"/>
  <c r="J396" i="3"/>
  <c r="B397" i="3"/>
  <c r="C397" i="3"/>
  <c r="D397" i="3"/>
  <c r="E397" i="3"/>
  <c r="F397" i="3"/>
  <c r="G397" i="3"/>
  <c r="H397" i="3"/>
  <c r="I397" i="3"/>
  <c r="J397" i="3"/>
  <c r="B398" i="3"/>
  <c r="C398" i="3"/>
  <c r="D398" i="3"/>
  <c r="E398" i="3"/>
  <c r="F398" i="3"/>
  <c r="G398" i="3"/>
  <c r="H398" i="3"/>
  <c r="I398" i="3"/>
  <c r="J398" i="3"/>
  <c r="B399" i="3"/>
  <c r="C399" i="3"/>
  <c r="D399" i="3"/>
  <c r="E399" i="3"/>
  <c r="F399" i="3"/>
  <c r="G399" i="3"/>
  <c r="H399" i="3"/>
  <c r="I399" i="3"/>
  <c r="J399" i="3"/>
  <c r="B400" i="3"/>
  <c r="C400" i="3"/>
  <c r="D400" i="3"/>
  <c r="E400" i="3"/>
  <c r="F400" i="3"/>
  <c r="G400" i="3"/>
  <c r="H400" i="3"/>
  <c r="I400" i="3"/>
  <c r="J400" i="3"/>
  <c r="B401" i="3"/>
  <c r="C401" i="3"/>
  <c r="D401" i="3"/>
  <c r="E401" i="3"/>
  <c r="F401" i="3"/>
  <c r="G401" i="3"/>
  <c r="H401" i="3"/>
  <c r="I401" i="3"/>
  <c r="J401" i="3"/>
  <c r="B402" i="3"/>
  <c r="C402" i="3"/>
  <c r="D402" i="3"/>
  <c r="E402" i="3"/>
  <c r="F402" i="3"/>
  <c r="G402" i="3"/>
  <c r="H402" i="3"/>
  <c r="I402" i="3"/>
  <c r="J402" i="3"/>
  <c r="B403" i="3"/>
  <c r="C403" i="3"/>
  <c r="D403" i="3"/>
  <c r="E403" i="3"/>
  <c r="F403" i="3"/>
  <c r="G403" i="3"/>
  <c r="H403" i="3"/>
  <c r="I403" i="3"/>
  <c r="J403" i="3"/>
  <c r="B404" i="3"/>
  <c r="C404" i="3"/>
  <c r="D404" i="3"/>
  <c r="E404" i="3"/>
  <c r="F404" i="3"/>
  <c r="G404" i="3"/>
  <c r="H404" i="3"/>
  <c r="I404" i="3"/>
  <c r="J404" i="3"/>
  <c r="B405" i="3"/>
  <c r="C405" i="3"/>
  <c r="D405" i="3"/>
  <c r="E405" i="3"/>
  <c r="F405" i="3"/>
  <c r="G405" i="3"/>
  <c r="H405" i="3"/>
  <c r="I405" i="3"/>
  <c r="J405" i="3"/>
  <c r="B406" i="3"/>
  <c r="C406" i="3"/>
  <c r="D406" i="3"/>
  <c r="E406" i="3"/>
  <c r="F406" i="3"/>
  <c r="G406" i="3"/>
  <c r="H406" i="3"/>
  <c r="I406" i="3"/>
  <c r="J406" i="3"/>
  <c r="B407" i="3"/>
  <c r="C407" i="3"/>
  <c r="D407" i="3"/>
  <c r="E407" i="3"/>
  <c r="F407" i="3"/>
  <c r="G407" i="3"/>
  <c r="H407" i="3"/>
  <c r="I407" i="3"/>
  <c r="J407" i="3"/>
  <c r="B408" i="3"/>
  <c r="C408" i="3"/>
  <c r="D408" i="3"/>
  <c r="E408" i="3"/>
  <c r="F408" i="3"/>
  <c r="G408" i="3"/>
  <c r="H408" i="3"/>
  <c r="I408" i="3"/>
  <c r="J408" i="3"/>
  <c r="B409" i="3"/>
  <c r="C409" i="3"/>
  <c r="D409" i="3"/>
  <c r="E409" i="3"/>
  <c r="F409" i="3"/>
  <c r="G409" i="3"/>
  <c r="H409" i="3"/>
  <c r="I409" i="3"/>
  <c r="J409" i="3"/>
  <c r="B410" i="3"/>
  <c r="C410" i="3"/>
  <c r="D410" i="3"/>
  <c r="E410" i="3"/>
  <c r="F410" i="3"/>
  <c r="G410" i="3"/>
  <c r="H410" i="3"/>
  <c r="I410" i="3"/>
  <c r="J410" i="3"/>
  <c r="B411" i="3"/>
  <c r="C411" i="3"/>
  <c r="D411" i="3"/>
  <c r="E411" i="3"/>
  <c r="F411" i="3"/>
  <c r="G411" i="3"/>
  <c r="H411" i="3"/>
  <c r="I411" i="3"/>
  <c r="J411" i="3"/>
  <c r="B412" i="3"/>
  <c r="C412" i="3"/>
  <c r="D412" i="3"/>
  <c r="E412" i="3"/>
  <c r="F412" i="3"/>
  <c r="G412" i="3"/>
  <c r="H412" i="3"/>
  <c r="I412" i="3"/>
  <c r="J412" i="3"/>
  <c r="B413" i="3"/>
  <c r="C413" i="3"/>
  <c r="D413" i="3"/>
  <c r="E413" i="3"/>
  <c r="F413" i="3"/>
  <c r="G413" i="3"/>
  <c r="H413" i="3"/>
  <c r="I413" i="3"/>
  <c r="J413" i="3"/>
  <c r="B414" i="3"/>
  <c r="C414" i="3"/>
  <c r="D414" i="3"/>
  <c r="E414" i="3"/>
  <c r="F414" i="3"/>
  <c r="G414" i="3"/>
  <c r="H414" i="3"/>
  <c r="I414" i="3"/>
  <c r="J414" i="3"/>
  <c r="B415" i="3"/>
  <c r="C415" i="3"/>
  <c r="D415" i="3"/>
  <c r="E415" i="3"/>
  <c r="F415" i="3"/>
  <c r="G415" i="3"/>
  <c r="H415" i="3"/>
  <c r="I415" i="3"/>
  <c r="J415" i="3"/>
  <c r="B416" i="3"/>
  <c r="C416" i="3"/>
  <c r="D416" i="3"/>
  <c r="E416" i="3"/>
  <c r="F416" i="3"/>
  <c r="G416" i="3"/>
  <c r="H416" i="3"/>
  <c r="I416" i="3"/>
  <c r="J416" i="3"/>
  <c r="B417" i="3"/>
  <c r="C417" i="3"/>
  <c r="D417" i="3"/>
  <c r="E417" i="3"/>
  <c r="F417" i="3"/>
  <c r="G417" i="3"/>
  <c r="H417" i="3"/>
  <c r="I417" i="3"/>
  <c r="J417" i="3"/>
  <c r="B418" i="3"/>
  <c r="C418" i="3"/>
  <c r="D418" i="3"/>
  <c r="E418" i="3"/>
  <c r="F418" i="3"/>
  <c r="G418" i="3"/>
  <c r="H418" i="3"/>
  <c r="I418" i="3"/>
  <c r="J418" i="3"/>
  <c r="B419" i="3"/>
  <c r="C419" i="3"/>
  <c r="D419" i="3"/>
  <c r="E419" i="3"/>
  <c r="F419" i="3"/>
  <c r="G419" i="3"/>
  <c r="H419" i="3"/>
  <c r="I419" i="3"/>
  <c r="J419" i="3"/>
  <c r="B420" i="3"/>
  <c r="C420" i="3"/>
  <c r="D420" i="3"/>
  <c r="E420" i="3"/>
  <c r="F420" i="3"/>
  <c r="G420" i="3"/>
  <c r="H420" i="3"/>
  <c r="I420" i="3"/>
  <c r="J420" i="3"/>
  <c r="B421" i="3"/>
  <c r="C421" i="3"/>
  <c r="D421" i="3"/>
  <c r="E421" i="3"/>
  <c r="F421" i="3"/>
  <c r="G421" i="3"/>
  <c r="H421" i="3"/>
  <c r="I421" i="3"/>
  <c r="J421" i="3"/>
  <c r="B422" i="3"/>
  <c r="C422" i="3"/>
  <c r="D422" i="3"/>
  <c r="E422" i="3"/>
  <c r="F422" i="3"/>
  <c r="G422" i="3"/>
  <c r="H422" i="3"/>
  <c r="I422" i="3"/>
  <c r="J422" i="3"/>
  <c r="B423" i="3"/>
  <c r="C423" i="3"/>
  <c r="D423" i="3"/>
  <c r="E423" i="3"/>
  <c r="F423" i="3"/>
  <c r="G423" i="3"/>
  <c r="H423" i="3"/>
  <c r="I423" i="3"/>
  <c r="J423" i="3"/>
  <c r="B424" i="3"/>
  <c r="C424" i="3"/>
  <c r="D424" i="3"/>
  <c r="E424" i="3"/>
  <c r="F424" i="3"/>
  <c r="G424" i="3"/>
  <c r="H424" i="3"/>
  <c r="I424" i="3"/>
  <c r="J424" i="3"/>
  <c r="B425" i="3"/>
  <c r="C425" i="3"/>
  <c r="D425" i="3"/>
  <c r="E425" i="3"/>
  <c r="F425" i="3"/>
  <c r="G425" i="3"/>
  <c r="H425" i="3"/>
  <c r="I425" i="3"/>
  <c r="J425" i="3"/>
  <c r="B426" i="3"/>
  <c r="C426" i="3"/>
  <c r="D426" i="3"/>
  <c r="E426" i="3"/>
  <c r="F426" i="3"/>
  <c r="G426" i="3"/>
  <c r="H426" i="3"/>
  <c r="I426" i="3"/>
  <c r="J426" i="3"/>
  <c r="B427" i="3"/>
  <c r="C427" i="3"/>
  <c r="D427" i="3"/>
  <c r="E427" i="3"/>
  <c r="F427" i="3"/>
  <c r="G427" i="3"/>
  <c r="H427" i="3"/>
  <c r="I427" i="3"/>
  <c r="J427" i="3"/>
  <c r="B428" i="3"/>
  <c r="C428" i="3"/>
  <c r="D428" i="3"/>
  <c r="E428" i="3"/>
  <c r="F428" i="3"/>
  <c r="G428" i="3"/>
  <c r="H428" i="3"/>
  <c r="I428" i="3"/>
  <c r="J428" i="3"/>
  <c r="B429" i="3"/>
  <c r="C429" i="3"/>
  <c r="D429" i="3"/>
  <c r="E429" i="3"/>
  <c r="F429" i="3"/>
  <c r="G429" i="3"/>
  <c r="H429" i="3"/>
  <c r="I429" i="3"/>
  <c r="J429" i="3"/>
  <c r="B430" i="3"/>
  <c r="C430" i="3"/>
  <c r="D430" i="3"/>
  <c r="E430" i="3"/>
  <c r="F430" i="3"/>
  <c r="G430" i="3"/>
  <c r="H430" i="3"/>
  <c r="I430" i="3"/>
  <c r="J430" i="3"/>
  <c r="B431" i="3"/>
  <c r="C431" i="3"/>
  <c r="D431" i="3"/>
  <c r="E431" i="3"/>
  <c r="F431" i="3"/>
  <c r="G431" i="3"/>
  <c r="H431" i="3"/>
  <c r="I431" i="3"/>
  <c r="J431" i="3"/>
  <c r="B432" i="3"/>
  <c r="C432" i="3"/>
  <c r="D432" i="3"/>
  <c r="E432" i="3"/>
  <c r="F432" i="3"/>
  <c r="G432" i="3"/>
  <c r="H432" i="3"/>
  <c r="I432" i="3"/>
  <c r="J432" i="3"/>
  <c r="B433" i="3"/>
  <c r="C433" i="3"/>
  <c r="D433" i="3"/>
  <c r="E433" i="3"/>
  <c r="F433" i="3"/>
  <c r="G433" i="3"/>
  <c r="H433" i="3"/>
  <c r="I433" i="3"/>
  <c r="J433" i="3"/>
  <c r="B434" i="3"/>
  <c r="C434" i="3"/>
  <c r="D434" i="3"/>
  <c r="E434" i="3"/>
  <c r="F434" i="3"/>
  <c r="G434" i="3"/>
  <c r="H434" i="3"/>
  <c r="I434" i="3"/>
  <c r="J434" i="3"/>
  <c r="B435" i="3"/>
  <c r="C435" i="3"/>
  <c r="D435" i="3"/>
  <c r="E435" i="3"/>
  <c r="F435" i="3"/>
  <c r="G435" i="3"/>
  <c r="H435" i="3"/>
  <c r="I435" i="3"/>
  <c r="J435" i="3"/>
  <c r="B436" i="3"/>
  <c r="C436" i="3"/>
  <c r="D436" i="3"/>
  <c r="E436" i="3"/>
  <c r="F436" i="3"/>
  <c r="G436" i="3"/>
  <c r="H436" i="3"/>
  <c r="I436" i="3"/>
  <c r="J436" i="3"/>
  <c r="B437" i="3"/>
  <c r="C437" i="3"/>
  <c r="D437" i="3"/>
  <c r="E437" i="3"/>
  <c r="F437" i="3"/>
  <c r="G437" i="3"/>
  <c r="H437" i="3"/>
  <c r="I437" i="3"/>
  <c r="J437" i="3"/>
  <c r="B438" i="3"/>
  <c r="C438" i="3"/>
  <c r="D438" i="3"/>
  <c r="E438" i="3"/>
  <c r="F438" i="3"/>
  <c r="G438" i="3"/>
  <c r="H438" i="3"/>
  <c r="I438" i="3"/>
  <c r="J438" i="3"/>
  <c r="B439" i="3"/>
  <c r="C439" i="3"/>
  <c r="D439" i="3"/>
  <c r="E439" i="3"/>
  <c r="F439" i="3"/>
  <c r="G439" i="3"/>
  <c r="H439" i="3"/>
  <c r="I439" i="3"/>
  <c r="J439" i="3"/>
  <c r="B440" i="3"/>
  <c r="C440" i="3"/>
  <c r="D440" i="3"/>
  <c r="E440" i="3"/>
  <c r="F440" i="3"/>
  <c r="G440" i="3"/>
  <c r="H440" i="3"/>
  <c r="I440" i="3"/>
  <c r="J440" i="3"/>
  <c r="B441" i="3"/>
  <c r="C441" i="3"/>
  <c r="D441" i="3"/>
  <c r="E441" i="3"/>
  <c r="F441" i="3"/>
  <c r="G441" i="3"/>
  <c r="H441" i="3"/>
  <c r="I441" i="3"/>
  <c r="J441" i="3"/>
  <c r="B442" i="3"/>
  <c r="C442" i="3"/>
  <c r="D442" i="3"/>
  <c r="E442" i="3"/>
  <c r="F442" i="3"/>
  <c r="G442" i="3"/>
  <c r="H442" i="3"/>
  <c r="I442" i="3"/>
  <c r="J442" i="3"/>
  <c r="B443" i="3"/>
  <c r="C443" i="3"/>
  <c r="D443" i="3"/>
  <c r="E443" i="3"/>
  <c r="F443" i="3"/>
  <c r="G443" i="3"/>
  <c r="H443" i="3"/>
  <c r="I443" i="3"/>
  <c r="J443" i="3"/>
  <c r="B444" i="3"/>
  <c r="C444" i="3"/>
  <c r="D444" i="3"/>
  <c r="E444" i="3"/>
  <c r="F444" i="3"/>
  <c r="G444" i="3"/>
  <c r="H444" i="3"/>
  <c r="I444" i="3"/>
  <c r="J444" i="3"/>
  <c r="B445" i="3"/>
  <c r="C445" i="3"/>
  <c r="D445" i="3"/>
  <c r="E445" i="3"/>
  <c r="F445" i="3"/>
  <c r="G445" i="3"/>
  <c r="H445" i="3"/>
  <c r="I445" i="3"/>
  <c r="J445" i="3"/>
  <c r="B446" i="3"/>
  <c r="C446" i="3"/>
  <c r="D446" i="3"/>
  <c r="E446" i="3"/>
  <c r="F446" i="3"/>
  <c r="G446" i="3"/>
  <c r="H446" i="3"/>
  <c r="I446" i="3"/>
  <c r="J446" i="3"/>
  <c r="B447" i="3"/>
  <c r="C447" i="3"/>
  <c r="D447" i="3"/>
  <c r="E447" i="3"/>
  <c r="F447" i="3"/>
  <c r="G447" i="3"/>
  <c r="H447" i="3"/>
  <c r="I447" i="3"/>
  <c r="J447" i="3"/>
  <c r="B448" i="3"/>
  <c r="C448" i="3"/>
  <c r="D448" i="3"/>
  <c r="E448" i="3"/>
  <c r="F448" i="3"/>
  <c r="G448" i="3"/>
  <c r="H448" i="3"/>
  <c r="I448" i="3"/>
  <c r="J448" i="3"/>
  <c r="B449" i="3"/>
  <c r="C449" i="3"/>
  <c r="D449" i="3"/>
  <c r="E449" i="3"/>
  <c r="F449" i="3"/>
  <c r="G449" i="3"/>
  <c r="H449" i="3"/>
  <c r="I449" i="3"/>
  <c r="J449" i="3"/>
  <c r="B450" i="3"/>
  <c r="C450" i="3"/>
  <c r="D450" i="3"/>
  <c r="E450" i="3"/>
  <c r="F450" i="3"/>
  <c r="G450" i="3"/>
  <c r="H450" i="3"/>
  <c r="I450" i="3"/>
  <c r="J450" i="3"/>
  <c r="B451" i="3"/>
  <c r="C451" i="3"/>
  <c r="D451" i="3"/>
  <c r="E451" i="3"/>
  <c r="F451" i="3"/>
  <c r="G451" i="3"/>
  <c r="H451" i="3"/>
  <c r="I451" i="3"/>
  <c r="J451" i="3"/>
  <c r="B452" i="3"/>
  <c r="C452" i="3"/>
  <c r="D452" i="3"/>
  <c r="E452" i="3"/>
  <c r="F452" i="3"/>
  <c r="G452" i="3"/>
  <c r="H452" i="3"/>
  <c r="I452" i="3"/>
  <c r="J452" i="3"/>
  <c r="B453" i="3"/>
  <c r="C453" i="3"/>
  <c r="D453" i="3"/>
  <c r="E453" i="3"/>
  <c r="F453" i="3"/>
  <c r="G453" i="3"/>
  <c r="H453" i="3"/>
  <c r="I453" i="3"/>
  <c r="J453" i="3"/>
  <c r="B454" i="3"/>
  <c r="C454" i="3"/>
  <c r="D454" i="3"/>
  <c r="E454" i="3"/>
  <c r="F454" i="3"/>
  <c r="G454" i="3"/>
  <c r="H454" i="3"/>
  <c r="I454" i="3"/>
  <c r="J454" i="3"/>
  <c r="B455" i="3"/>
  <c r="C455" i="3"/>
  <c r="D455" i="3"/>
  <c r="E455" i="3"/>
  <c r="F455" i="3"/>
  <c r="G455" i="3"/>
  <c r="H455" i="3"/>
  <c r="I455" i="3"/>
  <c r="J455" i="3"/>
  <c r="B456" i="3"/>
  <c r="C456" i="3"/>
  <c r="D456" i="3"/>
  <c r="E456" i="3"/>
  <c r="F456" i="3"/>
  <c r="G456" i="3"/>
  <c r="H456" i="3"/>
  <c r="I456" i="3"/>
  <c r="J456" i="3"/>
  <c r="B457" i="3"/>
  <c r="C457" i="3"/>
  <c r="D457" i="3"/>
  <c r="E457" i="3"/>
  <c r="F457" i="3"/>
  <c r="G457" i="3"/>
  <c r="H457" i="3"/>
  <c r="I457" i="3"/>
  <c r="J457" i="3"/>
  <c r="B458" i="3"/>
  <c r="C458" i="3"/>
  <c r="D458" i="3"/>
  <c r="E458" i="3"/>
  <c r="F458" i="3"/>
  <c r="G458" i="3"/>
  <c r="H458" i="3"/>
  <c r="I458" i="3"/>
  <c r="J458" i="3"/>
  <c r="B459" i="3"/>
  <c r="C459" i="3"/>
  <c r="D459" i="3"/>
  <c r="E459" i="3"/>
  <c r="F459" i="3"/>
  <c r="G459" i="3"/>
  <c r="H459" i="3"/>
  <c r="I459" i="3"/>
  <c r="J459" i="3"/>
  <c r="B460" i="3"/>
  <c r="C460" i="3"/>
  <c r="D460" i="3"/>
  <c r="E460" i="3"/>
  <c r="F460" i="3"/>
  <c r="G460" i="3"/>
  <c r="H460" i="3"/>
  <c r="I460" i="3"/>
  <c r="J460" i="3"/>
  <c r="B461" i="3"/>
  <c r="C461" i="3"/>
  <c r="D461" i="3"/>
  <c r="E461" i="3"/>
  <c r="F461" i="3"/>
  <c r="G461" i="3"/>
  <c r="H461" i="3"/>
  <c r="I461" i="3"/>
  <c r="J461" i="3"/>
  <c r="B462" i="3"/>
  <c r="C462" i="3"/>
  <c r="D462" i="3"/>
  <c r="E462" i="3"/>
  <c r="F462" i="3"/>
  <c r="G462" i="3"/>
  <c r="H462" i="3"/>
  <c r="I462" i="3"/>
  <c r="J462" i="3"/>
  <c r="B463" i="3"/>
  <c r="C463" i="3"/>
  <c r="D463" i="3"/>
  <c r="E463" i="3"/>
  <c r="F463" i="3"/>
  <c r="G463" i="3"/>
  <c r="H463" i="3"/>
  <c r="I463" i="3"/>
  <c r="J463" i="3"/>
  <c r="B464" i="3"/>
  <c r="C464" i="3"/>
  <c r="D464" i="3"/>
  <c r="E464" i="3"/>
  <c r="F464" i="3"/>
  <c r="G464" i="3"/>
  <c r="H464" i="3"/>
  <c r="I464" i="3"/>
  <c r="J464" i="3"/>
  <c r="B465" i="3"/>
  <c r="C465" i="3"/>
  <c r="D465" i="3"/>
  <c r="E465" i="3"/>
  <c r="F465" i="3"/>
  <c r="G465" i="3"/>
  <c r="H465" i="3"/>
  <c r="I465" i="3"/>
  <c r="J465" i="3"/>
  <c r="B466" i="3"/>
  <c r="C466" i="3"/>
  <c r="D466" i="3"/>
  <c r="E466" i="3"/>
  <c r="F466" i="3"/>
  <c r="G466" i="3"/>
  <c r="H466" i="3"/>
  <c r="I466" i="3"/>
  <c r="J466" i="3"/>
  <c r="B467" i="3"/>
  <c r="C467" i="3"/>
  <c r="D467" i="3"/>
  <c r="E467" i="3"/>
  <c r="F467" i="3"/>
  <c r="G467" i="3"/>
  <c r="H467" i="3"/>
  <c r="I467" i="3"/>
  <c r="J467" i="3"/>
  <c r="B468" i="3"/>
  <c r="C468" i="3"/>
  <c r="D468" i="3"/>
  <c r="E468" i="3"/>
  <c r="F468" i="3"/>
  <c r="G468" i="3"/>
  <c r="H468" i="3"/>
  <c r="I468" i="3"/>
  <c r="J468" i="3"/>
  <c r="B469" i="3"/>
  <c r="C469" i="3"/>
  <c r="D469" i="3"/>
  <c r="E469" i="3"/>
  <c r="F469" i="3"/>
  <c r="G469" i="3"/>
  <c r="H469" i="3"/>
  <c r="I469" i="3"/>
  <c r="J469" i="3"/>
  <c r="B470" i="3"/>
  <c r="C470" i="3"/>
  <c r="D470" i="3"/>
  <c r="E470" i="3"/>
  <c r="F470" i="3"/>
  <c r="G470" i="3"/>
  <c r="H470" i="3"/>
  <c r="I470" i="3"/>
  <c r="J470" i="3"/>
  <c r="B471" i="3"/>
  <c r="C471" i="3"/>
  <c r="D471" i="3"/>
  <c r="E471" i="3"/>
  <c r="F471" i="3"/>
  <c r="G471" i="3"/>
  <c r="H471" i="3"/>
  <c r="I471" i="3"/>
  <c r="J471" i="3"/>
  <c r="B472" i="3"/>
  <c r="C472" i="3"/>
  <c r="D472" i="3"/>
  <c r="E472" i="3"/>
  <c r="F472" i="3"/>
  <c r="G472" i="3"/>
  <c r="H472" i="3"/>
  <c r="I472" i="3"/>
  <c r="J472" i="3"/>
  <c r="B473" i="3"/>
  <c r="C473" i="3"/>
  <c r="D473" i="3"/>
  <c r="E473" i="3"/>
  <c r="F473" i="3"/>
  <c r="G473" i="3"/>
  <c r="H473" i="3"/>
  <c r="I473" i="3"/>
  <c r="J473" i="3"/>
  <c r="B474" i="3"/>
  <c r="C474" i="3"/>
  <c r="D474" i="3"/>
  <c r="E474" i="3"/>
  <c r="F474" i="3"/>
  <c r="G474" i="3"/>
  <c r="H474" i="3"/>
  <c r="I474" i="3"/>
  <c r="J474" i="3"/>
  <c r="B475" i="3"/>
  <c r="C475" i="3"/>
  <c r="D475" i="3"/>
  <c r="E475" i="3"/>
  <c r="F475" i="3"/>
  <c r="G475" i="3"/>
  <c r="H475" i="3"/>
  <c r="I475" i="3"/>
  <c r="J475" i="3"/>
  <c r="B476" i="3"/>
  <c r="C476" i="3"/>
  <c r="D476" i="3"/>
  <c r="E476" i="3"/>
  <c r="F476" i="3"/>
  <c r="G476" i="3"/>
  <c r="H476" i="3"/>
  <c r="I476" i="3"/>
  <c r="J476" i="3"/>
  <c r="B477" i="3"/>
  <c r="C477" i="3"/>
  <c r="D477" i="3"/>
  <c r="E477" i="3"/>
  <c r="F477" i="3"/>
  <c r="G477" i="3"/>
  <c r="H477" i="3"/>
  <c r="I477" i="3"/>
  <c r="J477" i="3"/>
  <c r="B478" i="3"/>
  <c r="C478" i="3"/>
  <c r="D478" i="3"/>
  <c r="E478" i="3"/>
  <c r="F478" i="3"/>
  <c r="G478" i="3"/>
  <c r="H478" i="3"/>
  <c r="I478" i="3"/>
  <c r="J478" i="3"/>
  <c r="B479" i="3"/>
  <c r="C479" i="3"/>
  <c r="D479" i="3"/>
  <c r="E479" i="3"/>
  <c r="F479" i="3"/>
  <c r="G479" i="3"/>
  <c r="H479" i="3"/>
  <c r="I479" i="3"/>
  <c r="J479" i="3"/>
  <c r="B480" i="3"/>
  <c r="C480" i="3"/>
  <c r="D480" i="3"/>
  <c r="E480" i="3"/>
  <c r="F480" i="3"/>
  <c r="G480" i="3"/>
  <c r="H480" i="3"/>
  <c r="I480" i="3"/>
  <c r="J480" i="3"/>
  <c r="B481" i="3"/>
  <c r="C481" i="3"/>
  <c r="D481" i="3"/>
  <c r="E481" i="3"/>
  <c r="F481" i="3"/>
  <c r="G481" i="3"/>
  <c r="H481" i="3"/>
  <c r="I481" i="3"/>
  <c r="J481" i="3"/>
  <c r="B482" i="3"/>
  <c r="C482" i="3"/>
  <c r="D482" i="3"/>
  <c r="E482" i="3"/>
  <c r="F482" i="3"/>
  <c r="G482" i="3"/>
  <c r="H482" i="3"/>
  <c r="I482" i="3"/>
  <c r="J482" i="3"/>
  <c r="B483" i="3"/>
  <c r="C483" i="3"/>
  <c r="D483" i="3"/>
  <c r="E483" i="3"/>
  <c r="F483" i="3"/>
  <c r="G483" i="3"/>
  <c r="H483" i="3"/>
  <c r="I483" i="3"/>
  <c r="J483" i="3"/>
  <c r="B484" i="3"/>
  <c r="C484" i="3"/>
  <c r="D484" i="3"/>
  <c r="E484" i="3"/>
  <c r="F484" i="3"/>
  <c r="G484" i="3"/>
  <c r="H484" i="3"/>
  <c r="I484" i="3"/>
  <c r="J484" i="3"/>
  <c r="B485" i="3"/>
  <c r="C485" i="3"/>
  <c r="D485" i="3"/>
  <c r="E485" i="3"/>
  <c r="F485" i="3"/>
  <c r="G485" i="3"/>
  <c r="H485" i="3"/>
  <c r="I485" i="3"/>
  <c r="J485" i="3"/>
  <c r="B486" i="3"/>
  <c r="C486" i="3"/>
  <c r="D486" i="3"/>
  <c r="E486" i="3"/>
  <c r="F486" i="3"/>
  <c r="G486" i="3"/>
  <c r="H486" i="3"/>
  <c r="I486" i="3"/>
  <c r="J486" i="3"/>
  <c r="B487" i="3"/>
  <c r="C487" i="3"/>
  <c r="D487" i="3"/>
  <c r="E487" i="3"/>
  <c r="F487" i="3"/>
  <c r="G487" i="3"/>
  <c r="H487" i="3"/>
  <c r="I487" i="3"/>
  <c r="J487" i="3"/>
  <c r="B488" i="3"/>
  <c r="C488" i="3"/>
  <c r="D488" i="3"/>
  <c r="E488" i="3"/>
  <c r="F488" i="3"/>
  <c r="G488" i="3"/>
  <c r="H488" i="3"/>
  <c r="I488" i="3"/>
  <c r="J488" i="3"/>
  <c r="B489" i="3"/>
  <c r="C489" i="3"/>
  <c r="D489" i="3"/>
  <c r="E489" i="3"/>
  <c r="F489" i="3"/>
  <c r="G489" i="3"/>
  <c r="H489" i="3"/>
  <c r="I489" i="3"/>
  <c r="J489" i="3"/>
  <c r="B490" i="3"/>
  <c r="C490" i="3"/>
  <c r="D490" i="3"/>
  <c r="E490" i="3"/>
  <c r="F490" i="3"/>
  <c r="G490" i="3"/>
  <c r="H490" i="3"/>
  <c r="I490" i="3"/>
  <c r="J490" i="3"/>
  <c r="B491" i="3"/>
  <c r="C491" i="3"/>
  <c r="D491" i="3"/>
  <c r="E491" i="3"/>
  <c r="F491" i="3"/>
  <c r="G491" i="3"/>
  <c r="H491" i="3"/>
  <c r="I491" i="3"/>
  <c r="J491" i="3"/>
  <c r="B492" i="3"/>
  <c r="C492" i="3"/>
  <c r="D492" i="3"/>
  <c r="E492" i="3"/>
  <c r="F492" i="3"/>
  <c r="G492" i="3"/>
  <c r="H492" i="3"/>
  <c r="I492" i="3"/>
  <c r="J492" i="3"/>
  <c r="B493" i="3"/>
  <c r="C493" i="3"/>
  <c r="D493" i="3"/>
  <c r="E493" i="3"/>
  <c r="F493" i="3"/>
  <c r="G493" i="3"/>
  <c r="H493" i="3"/>
  <c r="I493" i="3"/>
  <c r="J493" i="3"/>
  <c r="B494" i="3"/>
  <c r="C494" i="3"/>
  <c r="D494" i="3"/>
  <c r="E494" i="3"/>
  <c r="F494" i="3"/>
  <c r="G494" i="3"/>
  <c r="H494" i="3"/>
  <c r="I494" i="3"/>
  <c r="J494" i="3"/>
  <c r="B495" i="3"/>
  <c r="C495" i="3"/>
  <c r="D495" i="3"/>
  <c r="E495" i="3"/>
  <c r="F495" i="3"/>
  <c r="G495" i="3"/>
  <c r="H495" i="3"/>
  <c r="I495" i="3"/>
  <c r="J495" i="3"/>
  <c r="B496" i="3"/>
  <c r="C496" i="3"/>
  <c r="D496" i="3"/>
  <c r="E496" i="3"/>
  <c r="F496" i="3"/>
  <c r="G496" i="3"/>
  <c r="H496" i="3"/>
  <c r="I496" i="3"/>
  <c r="J496" i="3"/>
  <c r="B497" i="3"/>
  <c r="C497" i="3"/>
  <c r="D497" i="3"/>
  <c r="E497" i="3"/>
  <c r="F497" i="3"/>
  <c r="G497" i="3"/>
  <c r="H497" i="3"/>
  <c r="I497" i="3"/>
  <c r="J497" i="3"/>
  <c r="B498" i="3"/>
  <c r="C498" i="3"/>
  <c r="D498" i="3"/>
  <c r="E498" i="3"/>
  <c r="F498" i="3"/>
  <c r="G498" i="3"/>
  <c r="H498" i="3"/>
  <c r="I498" i="3"/>
  <c r="J498" i="3"/>
  <c r="B499" i="3"/>
  <c r="C499" i="3"/>
  <c r="D499" i="3"/>
  <c r="E499" i="3"/>
  <c r="F499" i="3"/>
  <c r="G499" i="3"/>
  <c r="H499" i="3"/>
  <c r="I499" i="3"/>
  <c r="J499" i="3"/>
  <c r="B500" i="3"/>
  <c r="C500" i="3"/>
  <c r="D500" i="3"/>
  <c r="E500" i="3"/>
  <c r="F500" i="3"/>
  <c r="G500" i="3"/>
  <c r="H500" i="3"/>
  <c r="I500" i="3"/>
  <c r="J500" i="3"/>
  <c r="D2" i="3"/>
  <c r="E2" i="3"/>
  <c r="F2" i="3"/>
  <c r="G2" i="3"/>
  <c r="H2" i="3"/>
  <c r="I2" i="3"/>
  <c r="J2" i="3"/>
  <c r="D3" i="3"/>
  <c r="E3" i="3"/>
  <c r="F3" i="3"/>
  <c r="G3" i="3"/>
  <c r="H3" i="3"/>
  <c r="I3" i="3"/>
  <c r="J3" i="3"/>
  <c r="C2" i="3"/>
  <c r="C3" i="3"/>
  <c r="B3" i="3"/>
  <c r="B2" i="3"/>
  <c r="B4" i="1"/>
  <c r="C4" i="1"/>
  <c r="D4" i="1"/>
  <c r="E4" i="1"/>
  <c r="F4" i="1"/>
  <c r="G4" i="1"/>
  <c r="H4" i="1"/>
  <c r="I4" i="1"/>
  <c r="J4" i="1"/>
  <c r="B5" i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B11" i="1"/>
  <c r="C11" i="1"/>
  <c r="D11" i="1"/>
  <c r="E11" i="1"/>
  <c r="F11" i="1"/>
  <c r="G11" i="1"/>
  <c r="H11" i="1"/>
  <c r="I11" i="1"/>
  <c r="J11" i="1"/>
  <c r="B12" i="1"/>
  <c r="C12" i="1"/>
  <c r="D12" i="1"/>
  <c r="E12" i="1"/>
  <c r="F12" i="1"/>
  <c r="G12" i="1"/>
  <c r="H12" i="1"/>
  <c r="I12" i="1"/>
  <c r="J12" i="1"/>
  <c r="B13" i="1"/>
  <c r="C13" i="1"/>
  <c r="D13" i="1"/>
  <c r="E13" i="1"/>
  <c r="F13" i="1"/>
  <c r="G13" i="1"/>
  <c r="H13" i="1"/>
  <c r="I13" i="1"/>
  <c r="J13" i="1"/>
  <c r="B14" i="1"/>
  <c r="C14" i="1"/>
  <c r="D14" i="1"/>
  <c r="E14" i="1"/>
  <c r="F14" i="1"/>
  <c r="G14" i="1"/>
  <c r="H14" i="1"/>
  <c r="I14" i="1"/>
  <c r="J14" i="1"/>
  <c r="B15" i="1"/>
  <c r="C15" i="1"/>
  <c r="D15" i="1"/>
  <c r="E15" i="1"/>
  <c r="F15" i="1"/>
  <c r="G15" i="1"/>
  <c r="H15" i="1"/>
  <c r="I15" i="1"/>
  <c r="J15" i="1"/>
  <c r="B16" i="1"/>
  <c r="C16" i="1"/>
  <c r="D16" i="1"/>
  <c r="E16" i="1"/>
  <c r="F16" i="1"/>
  <c r="G16" i="1"/>
  <c r="H16" i="1"/>
  <c r="I16" i="1"/>
  <c r="J16" i="1"/>
  <c r="B17" i="1"/>
  <c r="C17" i="1"/>
  <c r="D17" i="1"/>
  <c r="E17" i="1"/>
  <c r="F17" i="1"/>
  <c r="G17" i="1"/>
  <c r="H17" i="1"/>
  <c r="I17" i="1"/>
  <c r="J17" i="1"/>
  <c r="B18" i="1"/>
  <c r="C18" i="1"/>
  <c r="D18" i="1"/>
  <c r="E18" i="1"/>
  <c r="F18" i="1"/>
  <c r="G18" i="1"/>
  <c r="H18" i="1"/>
  <c r="I18" i="1"/>
  <c r="J18" i="1"/>
  <c r="B19" i="1"/>
  <c r="C19" i="1"/>
  <c r="D19" i="1"/>
  <c r="E19" i="1"/>
  <c r="F19" i="1"/>
  <c r="G19" i="1"/>
  <c r="H19" i="1"/>
  <c r="I19" i="1"/>
  <c r="J19" i="1"/>
  <c r="B20" i="1"/>
  <c r="C20" i="1"/>
  <c r="D20" i="1"/>
  <c r="E20" i="1"/>
  <c r="F20" i="1"/>
  <c r="G20" i="1"/>
  <c r="H20" i="1"/>
  <c r="I20" i="1"/>
  <c r="J20" i="1"/>
  <c r="B21" i="1"/>
  <c r="C21" i="1"/>
  <c r="D21" i="1"/>
  <c r="E21" i="1"/>
  <c r="F21" i="1"/>
  <c r="G21" i="1"/>
  <c r="H21" i="1"/>
  <c r="I21" i="1"/>
  <c r="J21" i="1"/>
  <c r="B22" i="1"/>
  <c r="C22" i="1"/>
  <c r="D22" i="1"/>
  <c r="E22" i="1"/>
  <c r="F22" i="1"/>
  <c r="G22" i="1"/>
  <c r="H22" i="1"/>
  <c r="I22" i="1"/>
  <c r="J22" i="1"/>
  <c r="B23" i="1"/>
  <c r="C23" i="1"/>
  <c r="D23" i="1"/>
  <c r="E23" i="1"/>
  <c r="F23" i="1"/>
  <c r="G23" i="1"/>
  <c r="H23" i="1"/>
  <c r="I23" i="1"/>
  <c r="J23" i="1"/>
  <c r="B24" i="1"/>
  <c r="C24" i="1"/>
  <c r="D24" i="1"/>
  <c r="E24" i="1"/>
  <c r="F24" i="1"/>
  <c r="G24" i="1"/>
  <c r="H24" i="1"/>
  <c r="I24" i="1"/>
  <c r="J24" i="1"/>
  <c r="B25" i="1"/>
  <c r="C25" i="1"/>
  <c r="D25" i="1"/>
  <c r="E25" i="1"/>
  <c r="F25" i="1"/>
  <c r="G25" i="1"/>
  <c r="H25" i="1"/>
  <c r="I25" i="1"/>
  <c r="J25" i="1"/>
  <c r="B26" i="1"/>
  <c r="C26" i="1"/>
  <c r="D26" i="1"/>
  <c r="E26" i="1"/>
  <c r="F26" i="1"/>
  <c r="G26" i="1"/>
  <c r="H26" i="1"/>
  <c r="I26" i="1"/>
  <c r="J26" i="1"/>
  <c r="B27" i="1"/>
  <c r="C27" i="1"/>
  <c r="D27" i="1"/>
  <c r="E27" i="1"/>
  <c r="F27" i="1"/>
  <c r="G27" i="1"/>
  <c r="H27" i="1"/>
  <c r="I27" i="1"/>
  <c r="J27" i="1"/>
  <c r="B28" i="1"/>
  <c r="C28" i="1"/>
  <c r="D28" i="1"/>
  <c r="E28" i="1"/>
  <c r="F28" i="1"/>
  <c r="G28" i="1"/>
  <c r="H28" i="1"/>
  <c r="I28" i="1"/>
  <c r="J28" i="1"/>
  <c r="B29" i="1"/>
  <c r="C29" i="1"/>
  <c r="D29" i="1"/>
  <c r="E29" i="1"/>
  <c r="F29" i="1"/>
  <c r="G29" i="1"/>
  <c r="H29" i="1"/>
  <c r="I29" i="1"/>
  <c r="J29" i="1"/>
  <c r="B30" i="1"/>
  <c r="C30" i="1"/>
  <c r="D30" i="1"/>
  <c r="E30" i="1"/>
  <c r="F30" i="1"/>
  <c r="G30" i="1"/>
  <c r="H30" i="1"/>
  <c r="I30" i="1"/>
  <c r="J30" i="1"/>
  <c r="B31" i="1"/>
  <c r="C31" i="1"/>
  <c r="D31" i="1"/>
  <c r="E31" i="1"/>
  <c r="F31" i="1"/>
  <c r="G31" i="1"/>
  <c r="H31" i="1"/>
  <c r="I31" i="1"/>
  <c r="J31" i="1"/>
  <c r="B32" i="1"/>
  <c r="C32" i="1"/>
  <c r="D32" i="1"/>
  <c r="E32" i="1"/>
  <c r="F32" i="1"/>
  <c r="G32" i="1"/>
  <c r="H32" i="1"/>
  <c r="I32" i="1"/>
  <c r="J32" i="1"/>
  <c r="B33" i="1"/>
  <c r="C33" i="1"/>
  <c r="D33" i="1"/>
  <c r="E33" i="1"/>
  <c r="F33" i="1"/>
  <c r="G33" i="1"/>
  <c r="H33" i="1"/>
  <c r="I33" i="1"/>
  <c r="J33" i="1"/>
  <c r="B34" i="1"/>
  <c r="C34" i="1"/>
  <c r="D34" i="1"/>
  <c r="E34" i="1"/>
  <c r="F34" i="1"/>
  <c r="G34" i="1"/>
  <c r="H34" i="1"/>
  <c r="I34" i="1"/>
  <c r="J34" i="1"/>
  <c r="B35" i="1"/>
  <c r="C35" i="1"/>
  <c r="D35" i="1"/>
  <c r="E35" i="1"/>
  <c r="F35" i="1"/>
  <c r="G35" i="1"/>
  <c r="H35" i="1"/>
  <c r="I35" i="1"/>
  <c r="J35" i="1"/>
  <c r="B36" i="1"/>
  <c r="C36" i="1"/>
  <c r="D36" i="1"/>
  <c r="E36" i="1"/>
  <c r="F36" i="1"/>
  <c r="G36" i="1"/>
  <c r="H36" i="1"/>
  <c r="I36" i="1"/>
  <c r="J36" i="1"/>
  <c r="B37" i="1"/>
  <c r="C37" i="1"/>
  <c r="D37" i="1"/>
  <c r="E37" i="1"/>
  <c r="F37" i="1"/>
  <c r="G37" i="1"/>
  <c r="H37" i="1"/>
  <c r="I37" i="1"/>
  <c r="J37" i="1"/>
  <c r="B38" i="1"/>
  <c r="C38" i="1"/>
  <c r="D38" i="1"/>
  <c r="E38" i="1"/>
  <c r="F38" i="1"/>
  <c r="G38" i="1"/>
  <c r="H38" i="1"/>
  <c r="I38" i="1"/>
  <c r="J38" i="1"/>
  <c r="B39" i="1"/>
  <c r="C39" i="1"/>
  <c r="D39" i="1"/>
  <c r="E39" i="1"/>
  <c r="F39" i="1"/>
  <c r="G39" i="1"/>
  <c r="H39" i="1"/>
  <c r="I39" i="1"/>
  <c r="J39" i="1"/>
  <c r="B40" i="1"/>
  <c r="C40" i="1"/>
  <c r="D40" i="1"/>
  <c r="E40" i="1"/>
  <c r="F40" i="1"/>
  <c r="G40" i="1"/>
  <c r="H40" i="1"/>
  <c r="I40" i="1"/>
  <c r="J40" i="1"/>
  <c r="B41" i="1"/>
  <c r="C41" i="1"/>
  <c r="D41" i="1"/>
  <c r="E41" i="1"/>
  <c r="F41" i="1"/>
  <c r="G41" i="1"/>
  <c r="H41" i="1"/>
  <c r="I41" i="1"/>
  <c r="J41" i="1"/>
  <c r="B42" i="1"/>
  <c r="C42" i="1"/>
  <c r="D42" i="1"/>
  <c r="E42" i="1"/>
  <c r="F42" i="1"/>
  <c r="G42" i="1"/>
  <c r="H42" i="1"/>
  <c r="I42" i="1"/>
  <c r="J42" i="1"/>
  <c r="B43" i="1"/>
  <c r="C43" i="1"/>
  <c r="D43" i="1"/>
  <c r="E43" i="1"/>
  <c r="F43" i="1"/>
  <c r="G43" i="1"/>
  <c r="H43" i="1"/>
  <c r="I43" i="1"/>
  <c r="J43" i="1"/>
  <c r="B44" i="1"/>
  <c r="C44" i="1"/>
  <c r="D44" i="1"/>
  <c r="E44" i="1"/>
  <c r="F44" i="1"/>
  <c r="G44" i="1"/>
  <c r="H44" i="1"/>
  <c r="I44" i="1"/>
  <c r="J44" i="1"/>
  <c r="B45" i="1"/>
  <c r="C45" i="1"/>
  <c r="D45" i="1"/>
  <c r="E45" i="1"/>
  <c r="F45" i="1"/>
  <c r="G45" i="1"/>
  <c r="H45" i="1"/>
  <c r="I45" i="1"/>
  <c r="J45" i="1"/>
  <c r="B46" i="1"/>
  <c r="C46" i="1"/>
  <c r="D46" i="1"/>
  <c r="E46" i="1"/>
  <c r="F46" i="1"/>
  <c r="G46" i="1"/>
  <c r="H46" i="1"/>
  <c r="I46" i="1"/>
  <c r="J46" i="1"/>
  <c r="B47" i="1"/>
  <c r="C47" i="1"/>
  <c r="D47" i="1"/>
  <c r="E47" i="1"/>
  <c r="F47" i="1"/>
  <c r="G47" i="1"/>
  <c r="H47" i="1"/>
  <c r="I47" i="1"/>
  <c r="J47" i="1"/>
  <c r="B48" i="1"/>
  <c r="C48" i="1"/>
  <c r="D48" i="1"/>
  <c r="E48" i="1"/>
  <c r="F48" i="1"/>
  <c r="G48" i="1"/>
  <c r="H48" i="1"/>
  <c r="I48" i="1"/>
  <c r="J48" i="1"/>
  <c r="B49" i="1"/>
  <c r="C49" i="1"/>
  <c r="D49" i="1"/>
  <c r="E49" i="1"/>
  <c r="F49" i="1"/>
  <c r="G49" i="1"/>
  <c r="H49" i="1"/>
  <c r="I49" i="1"/>
  <c r="J49" i="1"/>
  <c r="B50" i="1"/>
  <c r="C50" i="1"/>
  <c r="D50" i="1"/>
  <c r="E50" i="1"/>
  <c r="F50" i="1"/>
  <c r="G50" i="1"/>
  <c r="H50" i="1"/>
  <c r="I50" i="1"/>
  <c r="J50" i="1"/>
  <c r="B51" i="1"/>
  <c r="C51" i="1"/>
  <c r="D51" i="1"/>
  <c r="E51" i="1"/>
  <c r="F51" i="1"/>
  <c r="G51" i="1"/>
  <c r="H51" i="1"/>
  <c r="I51" i="1"/>
  <c r="J51" i="1"/>
  <c r="B52" i="1"/>
  <c r="C52" i="1"/>
  <c r="D52" i="1"/>
  <c r="E52" i="1"/>
  <c r="F52" i="1"/>
  <c r="G52" i="1"/>
  <c r="H52" i="1"/>
  <c r="I52" i="1"/>
  <c r="J52" i="1"/>
  <c r="B53" i="1"/>
  <c r="C53" i="1"/>
  <c r="D53" i="1"/>
  <c r="E53" i="1"/>
  <c r="F53" i="1"/>
  <c r="G53" i="1"/>
  <c r="H53" i="1"/>
  <c r="I53" i="1"/>
  <c r="J53" i="1"/>
  <c r="B54" i="1"/>
  <c r="C54" i="1"/>
  <c r="D54" i="1"/>
  <c r="E54" i="1"/>
  <c r="F54" i="1"/>
  <c r="G54" i="1"/>
  <c r="H54" i="1"/>
  <c r="I54" i="1"/>
  <c r="J54" i="1"/>
  <c r="B55" i="1"/>
  <c r="C55" i="1"/>
  <c r="D55" i="1"/>
  <c r="E55" i="1"/>
  <c r="F55" i="1"/>
  <c r="G55" i="1"/>
  <c r="H55" i="1"/>
  <c r="I55" i="1"/>
  <c r="J55" i="1"/>
  <c r="B56" i="1"/>
  <c r="C56" i="1"/>
  <c r="D56" i="1"/>
  <c r="E56" i="1"/>
  <c r="F56" i="1"/>
  <c r="G56" i="1"/>
  <c r="H56" i="1"/>
  <c r="I56" i="1"/>
  <c r="J56" i="1"/>
  <c r="B57" i="1"/>
  <c r="C57" i="1"/>
  <c r="D57" i="1"/>
  <c r="E57" i="1"/>
  <c r="F57" i="1"/>
  <c r="G57" i="1"/>
  <c r="H57" i="1"/>
  <c r="I57" i="1"/>
  <c r="J57" i="1"/>
  <c r="B58" i="1"/>
  <c r="C58" i="1"/>
  <c r="D58" i="1"/>
  <c r="E58" i="1"/>
  <c r="F58" i="1"/>
  <c r="G58" i="1"/>
  <c r="H58" i="1"/>
  <c r="I58" i="1"/>
  <c r="J58" i="1"/>
  <c r="B59" i="1"/>
  <c r="C59" i="1"/>
  <c r="D59" i="1"/>
  <c r="E59" i="1"/>
  <c r="F59" i="1"/>
  <c r="G59" i="1"/>
  <c r="H59" i="1"/>
  <c r="I59" i="1"/>
  <c r="J59" i="1"/>
  <c r="B60" i="1"/>
  <c r="C60" i="1"/>
  <c r="D60" i="1"/>
  <c r="E60" i="1"/>
  <c r="F60" i="1"/>
  <c r="G60" i="1"/>
  <c r="H60" i="1"/>
  <c r="I60" i="1"/>
  <c r="J60" i="1"/>
  <c r="B61" i="1"/>
  <c r="C61" i="1"/>
  <c r="D61" i="1"/>
  <c r="E61" i="1"/>
  <c r="F61" i="1"/>
  <c r="G61" i="1"/>
  <c r="H61" i="1"/>
  <c r="I61" i="1"/>
  <c r="J61" i="1"/>
  <c r="B62" i="1"/>
  <c r="C62" i="1"/>
  <c r="D62" i="1"/>
  <c r="E62" i="1"/>
  <c r="F62" i="1"/>
  <c r="G62" i="1"/>
  <c r="H62" i="1"/>
  <c r="I62" i="1"/>
  <c r="J62" i="1"/>
  <c r="B63" i="1"/>
  <c r="C63" i="1"/>
  <c r="D63" i="1"/>
  <c r="E63" i="1"/>
  <c r="F63" i="1"/>
  <c r="G63" i="1"/>
  <c r="H63" i="1"/>
  <c r="I63" i="1"/>
  <c r="J63" i="1"/>
  <c r="B64" i="1"/>
  <c r="C64" i="1"/>
  <c r="D64" i="1"/>
  <c r="E64" i="1"/>
  <c r="F64" i="1"/>
  <c r="G64" i="1"/>
  <c r="H64" i="1"/>
  <c r="I64" i="1"/>
  <c r="J64" i="1"/>
  <c r="B65" i="1"/>
  <c r="C65" i="1"/>
  <c r="D65" i="1"/>
  <c r="E65" i="1"/>
  <c r="F65" i="1"/>
  <c r="G65" i="1"/>
  <c r="H65" i="1"/>
  <c r="I65" i="1"/>
  <c r="J65" i="1"/>
  <c r="B66" i="1"/>
  <c r="C66" i="1"/>
  <c r="D66" i="1"/>
  <c r="E66" i="1"/>
  <c r="F66" i="1"/>
  <c r="G66" i="1"/>
  <c r="H66" i="1"/>
  <c r="I66" i="1"/>
  <c r="J66" i="1"/>
  <c r="B67" i="1"/>
  <c r="C67" i="1"/>
  <c r="D67" i="1"/>
  <c r="E67" i="1"/>
  <c r="F67" i="1"/>
  <c r="G67" i="1"/>
  <c r="H67" i="1"/>
  <c r="I67" i="1"/>
  <c r="J67" i="1"/>
  <c r="B68" i="1"/>
  <c r="C68" i="1"/>
  <c r="D68" i="1"/>
  <c r="E68" i="1"/>
  <c r="F68" i="1"/>
  <c r="G68" i="1"/>
  <c r="H68" i="1"/>
  <c r="I68" i="1"/>
  <c r="J68" i="1"/>
  <c r="B69" i="1"/>
  <c r="C69" i="1"/>
  <c r="D69" i="1"/>
  <c r="E69" i="1"/>
  <c r="F69" i="1"/>
  <c r="G69" i="1"/>
  <c r="H69" i="1"/>
  <c r="I69" i="1"/>
  <c r="J69" i="1"/>
  <c r="B70" i="1"/>
  <c r="C70" i="1"/>
  <c r="D70" i="1"/>
  <c r="E70" i="1"/>
  <c r="F70" i="1"/>
  <c r="G70" i="1"/>
  <c r="H70" i="1"/>
  <c r="I70" i="1"/>
  <c r="J70" i="1"/>
  <c r="B71" i="1"/>
  <c r="C71" i="1"/>
  <c r="D71" i="1"/>
  <c r="E71" i="1"/>
  <c r="F71" i="1"/>
  <c r="G71" i="1"/>
  <c r="H71" i="1"/>
  <c r="I71" i="1"/>
  <c r="J71" i="1"/>
  <c r="B72" i="1"/>
  <c r="C72" i="1"/>
  <c r="D72" i="1"/>
  <c r="E72" i="1"/>
  <c r="F72" i="1"/>
  <c r="G72" i="1"/>
  <c r="H72" i="1"/>
  <c r="I72" i="1"/>
  <c r="J72" i="1"/>
  <c r="B73" i="1"/>
  <c r="C73" i="1"/>
  <c r="D73" i="1"/>
  <c r="E73" i="1"/>
  <c r="F73" i="1"/>
  <c r="G73" i="1"/>
  <c r="H73" i="1"/>
  <c r="I73" i="1"/>
  <c r="J73" i="1"/>
  <c r="B74" i="1"/>
  <c r="C74" i="1"/>
  <c r="D74" i="1"/>
  <c r="E74" i="1"/>
  <c r="F74" i="1"/>
  <c r="G74" i="1"/>
  <c r="H74" i="1"/>
  <c r="I74" i="1"/>
  <c r="J74" i="1"/>
  <c r="B75" i="1"/>
  <c r="C75" i="1"/>
  <c r="D75" i="1"/>
  <c r="E75" i="1"/>
  <c r="F75" i="1"/>
  <c r="G75" i="1"/>
  <c r="H75" i="1"/>
  <c r="I75" i="1"/>
  <c r="J75" i="1"/>
  <c r="B76" i="1"/>
  <c r="C76" i="1"/>
  <c r="D76" i="1"/>
  <c r="E76" i="1"/>
  <c r="F76" i="1"/>
  <c r="G76" i="1"/>
  <c r="H76" i="1"/>
  <c r="I76" i="1"/>
  <c r="J76" i="1"/>
  <c r="B77" i="1"/>
  <c r="C77" i="1"/>
  <c r="D77" i="1"/>
  <c r="E77" i="1"/>
  <c r="F77" i="1"/>
  <c r="G77" i="1"/>
  <c r="H77" i="1"/>
  <c r="I77" i="1"/>
  <c r="J77" i="1"/>
  <c r="B78" i="1"/>
  <c r="C78" i="1"/>
  <c r="D78" i="1"/>
  <c r="E78" i="1"/>
  <c r="F78" i="1"/>
  <c r="G78" i="1"/>
  <c r="H78" i="1"/>
  <c r="I78" i="1"/>
  <c r="J78" i="1"/>
  <c r="B79" i="1"/>
  <c r="C79" i="1"/>
  <c r="D79" i="1"/>
  <c r="E79" i="1"/>
  <c r="F79" i="1"/>
  <c r="G79" i="1"/>
  <c r="H79" i="1"/>
  <c r="I79" i="1"/>
  <c r="J79" i="1"/>
  <c r="B80" i="1"/>
  <c r="C80" i="1"/>
  <c r="D80" i="1"/>
  <c r="E80" i="1"/>
  <c r="F80" i="1"/>
  <c r="G80" i="1"/>
  <c r="H80" i="1"/>
  <c r="I80" i="1"/>
  <c r="J80" i="1"/>
  <c r="B81" i="1"/>
  <c r="C81" i="1"/>
  <c r="D81" i="1"/>
  <c r="E81" i="1"/>
  <c r="F81" i="1"/>
  <c r="G81" i="1"/>
  <c r="H81" i="1"/>
  <c r="I81" i="1"/>
  <c r="J81" i="1"/>
  <c r="B82" i="1"/>
  <c r="C82" i="1"/>
  <c r="D82" i="1"/>
  <c r="E82" i="1"/>
  <c r="F82" i="1"/>
  <c r="G82" i="1"/>
  <c r="H82" i="1"/>
  <c r="I82" i="1"/>
  <c r="J82" i="1"/>
  <c r="B83" i="1"/>
  <c r="C83" i="1"/>
  <c r="D83" i="1"/>
  <c r="E83" i="1"/>
  <c r="F83" i="1"/>
  <c r="G83" i="1"/>
  <c r="H83" i="1"/>
  <c r="I83" i="1"/>
  <c r="J83" i="1"/>
  <c r="B84" i="1"/>
  <c r="C84" i="1"/>
  <c r="D84" i="1"/>
  <c r="E84" i="1"/>
  <c r="F84" i="1"/>
  <c r="G84" i="1"/>
  <c r="H84" i="1"/>
  <c r="I84" i="1"/>
  <c r="J84" i="1"/>
  <c r="B85" i="1"/>
  <c r="C85" i="1"/>
  <c r="D85" i="1"/>
  <c r="E85" i="1"/>
  <c r="F85" i="1"/>
  <c r="G85" i="1"/>
  <c r="H85" i="1"/>
  <c r="I85" i="1"/>
  <c r="J85" i="1"/>
  <c r="B86" i="1"/>
  <c r="C86" i="1"/>
  <c r="D86" i="1"/>
  <c r="E86" i="1"/>
  <c r="F86" i="1"/>
  <c r="G86" i="1"/>
  <c r="H86" i="1"/>
  <c r="I86" i="1"/>
  <c r="J86" i="1"/>
  <c r="B87" i="1"/>
  <c r="C87" i="1"/>
  <c r="D87" i="1"/>
  <c r="E87" i="1"/>
  <c r="F87" i="1"/>
  <c r="G87" i="1"/>
  <c r="H87" i="1"/>
  <c r="I87" i="1"/>
  <c r="J87" i="1"/>
  <c r="B88" i="1"/>
  <c r="C88" i="1"/>
  <c r="D88" i="1"/>
  <c r="E88" i="1"/>
  <c r="F88" i="1"/>
  <c r="G88" i="1"/>
  <c r="H88" i="1"/>
  <c r="I88" i="1"/>
  <c r="J88" i="1"/>
  <c r="B89" i="1"/>
  <c r="C89" i="1"/>
  <c r="D89" i="1"/>
  <c r="E89" i="1"/>
  <c r="F89" i="1"/>
  <c r="G89" i="1"/>
  <c r="H89" i="1"/>
  <c r="I89" i="1"/>
  <c r="J89" i="1"/>
  <c r="B90" i="1"/>
  <c r="C90" i="1"/>
  <c r="D90" i="1"/>
  <c r="E90" i="1"/>
  <c r="F90" i="1"/>
  <c r="G90" i="1"/>
  <c r="H90" i="1"/>
  <c r="I90" i="1"/>
  <c r="J90" i="1"/>
  <c r="B91" i="1"/>
  <c r="C91" i="1"/>
  <c r="D91" i="1"/>
  <c r="E91" i="1"/>
  <c r="F91" i="1"/>
  <c r="G91" i="1"/>
  <c r="H91" i="1"/>
  <c r="I91" i="1"/>
  <c r="J91" i="1"/>
  <c r="B92" i="1"/>
  <c r="C92" i="1"/>
  <c r="D92" i="1"/>
  <c r="E92" i="1"/>
  <c r="F92" i="1"/>
  <c r="G92" i="1"/>
  <c r="H92" i="1"/>
  <c r="I92" i="1"/>
  <c r="J92" i="1"/>
  <c r="B93" i="1"/>
  <c r="C93" i="1"/>
  <c r="D93" i="1"/>
  <c r="E93" i="1"/>
  <c r="F93" i="1"/>
  <c r="G93" i="1"/>
  <c r="H93" i="1"/>
  <c r="I93" i="1"/>
  <c r="J93" i="1"/>
  <c r="B94" i="1"/>
  <c r="C94" i="1"/>
  <c r="D94" i="1"/>
  <c r="E94" i="1"/>
  <c r="F94" i="1"/>
  <c r="G94" i="1"/>
  <c r="H94" i="1"/>
  <c r="I94" i="1"/>
  <c r="J94" i="1"/>
  <c r="B95" i="1"/>
  <c r="C95" i="1"/>
  <c r="D95" i="1"/>
  <c r="E95" i="1"/>
  <c r="F95" i="1"/>
  <c r="G95" i="1"/>
  <c r="H95" i="1"/>
  <c r="I95" i="1"/>
  <c r="J95" i="1"/>
  <c r="B96" i="1"/>
  <c r="C96" i="1"/>
  <c r="D96" i="1"/>
  <c r="E96" i="1"/>
  <c r="F96" i="1"/>
  <c r="G96" i="1"/>
  <c r="H96" i="1"/>
  <c r="I96" i="1"/>
  <c r="J96" i="1"/>
  <c r="B97" i="1"/>
  <c r="C97" i="1"/>
  <c r="D97" i="1"/>
  <c r="E97" i="1"/>
  <c r="F97" i="1"/>
  <c r="G97" i="1"/>
  <c r="H97" i="1"/>
  <c r="I97" i="1"/>
  <c r="J97" i="1"/>
  <c r="B98" i="1"/>
  <c r="C98" i="1"/>
  <c r="D98" i="1"/>
  <c r="E98" i="1"/>
  <c r="F98" i="1"/>
  <c r="G98" i="1"/>
  <c r="H98" i="1"/>
  <c r="I98" i="1"/>
  <c r="J98" i="1"/>
  <c r="B99" i="1"/>
  <c r="C99" i="1"/>
  <c r="D99" i="1"/>
  <c r="E99" i="1"/>
  <c r="F99" i="1"/>
  <c r="G99" i="1"/>
  <c r="H99" i="1"/>
  <c r="I99" i="1"/>
  <c r="J99" i="1"/>
  <c r="B100" i="1"/>
  <c r="C100" i="1"/>
  <c r="D100" i="1"/>
  <c r="E100" i="1"/>
  <c r="F100" i="1"/>
  <c r="G100" i="1"/>
  <c r="H100" i="1"/>
  <c r="I100" i="1"/>
  <c r="J100" i="1"/>
  <c r="B101" i="1"/>
  <c r="C101" i="1"/>
  <c r="D101" i="1"/>
  <c r="E101" i="1"/>
  <c r="F101" i="1"/>
  <c r="G101" i="1"/>
  <c r="H101" i="1"/>
  <c r="I101" i="1"/>
  <c r="J101" i="1"/>
  <c r="B102" i="1"/>
  <c r="C102" i="1"/>
  <c r="D102" i="1"/>
  <c r="E102" i="1"/>
  <c r="F102" i="1"/>
  <c r="G102" i="1"/>
  <c r="H102" i="1"/>
  <c r="I102" i="1"/>
  <c r="J102" i="1"/>
  <c r="B103" i="1"/>
  <c r="C103" i="1"/>
  <c r="D103" i="1"/>
  <c r="E103" i="1"/>
  <c r="F103" i="1"/>
  <c r="G103" i="1"/>
  <c r="H103" i="1"/>
  <c r="I103" i="1"/>
  <c r="J103" i="1"/>
  <c r="B104" i="1"/>
  <c r="C104" i="1"/>
  <c r="D104" i="1"/>
  <c r="E104" i="1"/>
  <c r="F104" i="1"/>
  <c r="G104" i="1"/>
  <c r="H104" i="1"/>
  <c r="I104" i="1"/>
  <c r="J104" i="1"/>
  <c r="B105" i="1"/>
  <c r="C105" i="1"/>
  <c r="D105" i="1"/>
  <c r="E105" i="1"/>
  <c r="F105" i="1"/>
  <c r="G105" i="1"/>
  <c r="H105" i="1"/>
  <c r="I105" i="1"/>
  <c r="J105" i="1"/>
  <c r="B106" i="1"/>
  <c r="C106" i="1"/>
  <c r="D106" i="1"/>
  <c r="E106" i="1"/>
  <c r="F106" i="1"/>
  <c r="G106" i="1"/>
  <c r="H106" i="1"/>
  <c r="I106" i="1"/>
  <c r="J106" i="1"/>
  <c r="B107" i="1"/>
  <c r="C107" i="1"/>
  <c r="D107" i="1"/>
  <c r="E107" i="1"/>
  <c r="F107" i="1"/>
  <c r="G107" i="1"/>
  <c r="H107" i="1"/>
  <c r="I107" i="1"/>
  <c r="J107" i="1"/>
  <c r="B108" i="1"/>
  <c r="C108" i="1"/>
  <c r="D108" i="1"/>
  <c r="E108" i="1"/>
  <c r="F108" i="1"/>
  <c r="G108" i="1"/>
  <c r="H108" i="1"/>
  <c r="I108" i="1"/>
  <c r="J108" i="1"/>
  <c r="B109" i="1"/>
  <c r="C109" i="1"/>
  <c r="D109" i="1"/>
  <c r="E109" i="1"/>
  <c r="F109" i="1"/>
  <c r="G109" i="1"/>
  <c r="H109" i="1"/>
  <c r="I109" i="1"/>
  <c r="J109" i="1"/>
  <c r="B110" i="1"/>
  <c r="C110" i="1"/>
  <c r="D110" i="1"/>
  <c r="E110" i="1"/>
  <c r="F110" i="1"/>
  <c r="G110" i="1"/>
  <c r="H110" i="1"/>
  <c r="I110" i="1"/>
  <c r="J110" i="1"/>
  <c r="B111" i="1"/>
  <c r="C111" i="1"/>
  <c r="D111" i="1"/>
  <c r="E111" i="1"/>
  <c r="F111" i="1"/>
  <c r="G111" i="1"/>
  <c r="H111" i="1"/>
  <c r="I111" i="1"/>
  <c r="J111" i="1"/>
  <c r="B112" i="1"/>
  <c r="C112" i="1"/>
  <c r="D112" i="1"/>
  <c r="E112" i="1"/>
  <c r="F112" i="1"/>
  <c r="G112" i="1"/>
  <c r="H112" i="1"/>
  <c r="I112" i="1"/>
  <c r="J112" i="1"/>
  <c r="B113" i="1"/>
  <c r="C113" i="1"/>
  <c r="D113" i="1"/>
  <c r="E113" i="1"/>
  <c r="F113" i="1"/>
  <c r="G113" i="1"/>
  <c r="H113" i="1"/>
  <c r="I113" i="1"/>
  <c r="J113" i="1"/>
  <c r="B114" i="1"/>
  <c r="C114" i="1"/>
  <c r="D114" i="1"/>
  <c r="E114" i="1"/>
  <c r="F114" i="1"/>
  <c r="G114" i="1"/>
  <c r="H114" i="1"/>
  <c r="I114" i="1"/>
  <c r="J114" i="1"/>
  <c r="B115" i="1"/>
  <c r="C115" i="1"/>
  <c r="D115" i="1"/>
  <c r="E115" i="1"/>
  <c r="F115" i="1"/>
  <c r="G115" i="1"/>
  <c r="H115" i="1"/>
  <c r="I115" i="1"/>
  <c r="J115" i="1"/>
  <c r="B116" i="1"/>
  <c r="C116" i="1"/>
  <c r="D116" i="1"/>
  <c r="E116" i="1"/>
  <c r="F116" i="1"/>
  <c r="G116" i="1"/>
  <c r="H116" i="1"/>
  <c r="I116" i="1"/>
  <c r="J116" i="1"/>
  <c r="B117" i="1"/>
  <c r="C117" i="1"/>
  <c r="D117" i="1"/>
  <c r="E117" i="1"/>
  <c r="F117" i="1"/>
  <c r="G117" i="1"/>
  <c r="H117" i="1"/>
  <c r="I117" i="1"/>
  <c r="J117" i="1"/>
  <c r="B118" i="1"/>
  <c r="C118" i="1"/>
  <c r="D118" i="1"/>
  <c r="E118" i="1"/>
  <c r="F118" i="1"/>
  <c r="G118" i="1"/>
  <c r="H118" i="1"/>
  <c r="I118" i="1"/>
  <c r="J118" i="1"/>
  <c r="B119" i="1"/>
  <c r="C119" i="1"/>
  <c r="D119" i="1"/>
  <c r="E119" i="1"/>
  <c r="F119" i="1"/>
  <c r="G119" i="1"/>
  <c r="H119" i="1"/>
  <c r="I119" i="1"/>
  <c r="J119" i="1"/>
  <c r="B120" i="1"/>
  <c r="C120" i="1"/>
  <c r="D120" i="1"/>
  <c r="E120" i="1"/>
  <c r="F120" i="1"/>
  <c r="G120" i="1"/>
  <c r="H120" i="1"/>
  <c r="I120" i="1"/>
  <c r="J120" i="1"/>
  <c r="B121" i="1"/>
  <c r="C121" i="1"/>
  <c r="D121" i="1"/>
  <c r="E121" i="1"/>
  <c r="F121" i="1"/>
  <c r="G121" i="1"/>
  <c r="H121" i="1"/>
  <c r="I121" i="1"/>
  <c r="J121" i="1"/>
  <c r="B122" i="1"/>
  <c r="C122" i="1"/>
  <c r="D122" i="1"/>
  <c r="E122" i="1"/>
  <c r="F122" i="1"/>
  <c r="G122" i="1"/>
  <c r="H122" i="1"/>
  <c r="I122" i="1"/>
  <c r="J122" i="1"/>
  <c r="B123" i="1"/>
  <c r="C123" i="1"/>
  <c r="D123" i="1"/>
  <c r="E123" i="1"/>
  <c r="F123" i="1"/>
  <c r="G123" i="1"/>
  <c r="H123" i="1"/>
  <c r="I123" i="1"/>
  <c r="J123" i="1"/>
  <c r="B124" i="1"/>
  <c r="C124" i="1"/>
  <c r="D124" i="1"/>
  <c r="E124" i="1"/>
  <c r="F124" i="1"/>
  <c r="G124" i="1"/>
  <c r="H124" i="1"/>
  <c r="I124" i="1"/>
  <c r="J124" i="1"/>
  <c r="B125" i="1"/>
  <c r="C125" i="1"/>
  <c r="D125" i="1"/>
  <c r="E125" i="1"/>
  <c r="F125" i="1"/>
  <c r="G125" i="1"/>
  <c r="H125" i="1"/>
  <c r="I125" i="1"/>
  <c r="J125" i="1"/>
  <c r="B126" i="1"/>
  <c r="C126" i="1"/>
  <c r="D126" i="1"/>
  <c r="E126" i="1"/>
  <c r="F126" i="1"/>
  <c r="G126" i="1"/>
  <c r="H126" i="1"/>
  <c r="I126" i="1"/>
  <c r="J126" i="1"/>
  <c r="B127" i="1"/>
  <c r="C127" i="1"/>
  <c r="D127" i="1"/>
  <c r="E127" i="1"/>
  <c r="F127" i="1"/>
  <c r="G127" i="1"/>
  <c r="H127" i="1"/>
  <c r="I127" i="1"/>
  <c r="J127" i="1"/>
  <c r="B128" i="1"/>
  <c r="C128" i="1"/>
  <c r="D128" i="1"/>
  <c r="E128" i="1"/>
  <c r="F128" i="1"/>
  <c r="G128" i="1"/>
  <c r="H128" i="1"/>
  <c r="I128" i="1"/>
  <c r="J128" i="1"/>
  <c r="B129" i="1"/>
  <c r="C129" i="1"/>
  <c r="D129" i="1"/>
  <c r="E129" i="1"/>
  <c r="F129" i="1"/>
  <c r="G129" i="1"/>
  <c r="H129" i="1"/>
  <c r="I129" i="1"/>
  <c r="J129" i="1"/>
  <c r="B130" i="1"/>
  <c r="C130" i="1"/>
  <c r="D130" i="1"/>
  <c r="E130" i="1"/>
  <c r="F130" i="1"/>
  <c r="G130" i="1"/>
  <c r="H130" i="1"/>
  <c r="I130" i="1"/>
  <c r="J130" i="1"/>
  <c r="B131" i="1"/>
  <c r="C131" i="1"/>
  <c r="D131" i="1"/>
  <c r="E131" i="1"/>
  <c r="F131" i="1"/>
  <c r="G131" i="1"/>
  <c r="H131" i="1"/>
  <c r="I131" i="1"/>
  <c r="J131" i="1"/>
  <c r="B132" i="1"/>
  <c r="C132" i="1"/>
  <c r="D132" i="1"/>
  <c r="E132" i="1"/>
  <c r="F132" i="1"/>
  <c r="G132" i="1"/>
  <c r="H132" i="1"/>
  <c r="I132" i="1"/>
  <c r="J132" i="1"/>
  <c r="B133" i="1"/>
  <c r="C133" i="1"/>
  <c r="D133" i="1"/>
  <c r="E133" i="1"/>
  <c r="F133" i="1"/>
  <c r="G133" i="1"/>
  <c r="H133" i="1"/>
  <c r="I133" i="1"/>
  <c r="J133" i="1"/>
  <c r="B134" i="1"/>
  <c r="C134" i="1"/>
  <c r="D134" i="1"/>
  <c r="E134" i="1"/>
  <c r="F134" i="1"/>
  <c r="G134" i="1"/>
  <c r="H134" i="1"/>
  <c r="I134" i="1"/>
  <c r="J134" i="1"/>
  <c r="B135" i="1"/>
  <c r="C135" i="1"/>
  <c r="D135" i="1"/>
  <c r="E135" i="1"/>
  <c r="F135" i="1"/>
  <c r="G135" i="1"/>
  <c r="H135" i="1"/>
  <c r="I135" i="1"/>
  <c r="J135" i="1"/>
  <c r="B136" i="1"/>
  <c r="C136" i="1"/>
  <c r="D136" i="1"/>
  <c r="E136" i="1"/>
  <c r="F136" i="1"/>
  <c r="G136" i="1"/>
  <c r="H136" i="1"/>
  <c r="I136" i="1"/>
  <c r="J136" i="1"/>
  <c r="B137" i="1"/>
  <c r="C137" i="1"/>
  <c r="D137" i="1"/>
  <c r="E137" i="1"/>
  <c r="F137" i="1"/>
  <c r="G137" i="1"/>
  <c r="H137" i="1"/>
  <c r="I137" i="1"/>
  <c r="J137" i="1"/>
  <c r="B138" i="1"/>
  <c r="C138" i="1"/>
  <c r="D138" i="1"/>
  <c r="E138" i="1"/>
  <c r="F138" i="1"/>
  <c r="G138" i="1"/>
  <c r="H138" i="1"/>
  <c r="I138" i="1"/>
  <c r="J138" i="1"/>
  <c r="B139" i="1"/>
  <c r="C139" i="1"/>
  <c r="D139" i="1"/>
  <c r="E139" i="1"/>
  <c r="F139" i="1"/>
  <c r="G139" i="1"/>
  <c r="H139" i="1"/>
  <c r="I139" i="1"/>
  <c r="J139" i="1"/>
  <c r="B140" i="1"/>
  <c r="C140" i="1"/>
  <c r="D140" i="1"/>
  <c r="E140" i="1"/>
  <c r="F140" i="1"/>
  <c r="G140" i="1"/>
  <c r="H140" i="1"/>
  <c r="I140" i="1"/>
  <c r="J140" i="1"/>
  <c r="B141" i="1"/>
  <c r="C141" i="1"/>
  <c r="D141" i="1"/>
  <c r="E141" i="1"/>
  <c r="F141" i="1"/>
  <c r="G141" i="1"/>
  <c r="H141" i="1"/>
  <c r="I141" i="1"/>
  <c r="J141" i="1"/>
  <c r="B142" i="1"/>
  <c r="C142" i="1"/>
  <c r="D142" i="1"/>
  <c r="E142" i="1"/>
  <c r="F142" i="1"/>
  <c r="G142" i="1"/>
  <c r="H142" i="1"/>
  <c r="I142" i="1"/>
  <c r="J142" i="1"/>
  <c r="B143" i="1"/>
  <c r="C143" i="1"/>
  <c r="D143" i="1"/>
  <c r="E143" i="1"/>
  <c r="F143" i="1"/>
  <c r="G143" i="1"/>
  <c r="H143" i="1"/>
  <c r="I143" i="1"/>
  <c r="J143" i="1"/>
  <c r="B144" i="1"/>
  <c r="C144" i="1"/>
  <c r="D144" i="1"/>
  <c r="E144" i="1"/>
  <c r="F144" i="1"/>
  <c r="G144" i="1"/>
  <c r="H144" i="1"/>
  <c r="I144" i="1"/>
  <c r="J144" i="1"/>
  <c r="B145" i="1"/>
  <c r="C145" i="1"/>
  <c r="D145" i="1"/>
  <c r="E145" i="1"/>
  <c r="F145" i="1"/>
  <c r="G145" i="1"/>
  <c r="H145" i="1"/>
  <c r="I145" i="1"/>
  <c r="J145" i="1"/>
  <c r="B146" i="1"/>
  <c r="C146" i="1"/>
  <c r="D146" i="1"/>
  <c r="E146" i="1"/>
  <c r="F146" i="1"/>
  <c r="G146" i="1"/>
  <c r="H146" i="1"/>
  <c r="I146" i="1"/>
  <c r="J146" i="1"/>
  <c r="B147" i="1"/>
  <c r="C147" i="1"/>
  <c r="D147" i="1"/>
  <c r="E147" i="1"/>
  <c r="F147" i="1"/>
  <c r="G147" i="1"/>
  <c r="H147" i="1"/>
  <c r="I147" i="1"/>
  <c r="J147" i="1"/>
  <c r="B148" i="1"/>
  <c r="C148" i="1"/>
  <c r="D148" i="1"/>
  <c r="E148" i="1"/>
  <c r="F148" i="1"/>
  <c r="G148" i="1"/>
  <c r="H148" i="1"/>
  <c r="I148" i="1"/>
  <c r="J148" i="1"/>
  <c r="B149" i="1"/>
  <c r="C149" i="1"/>
  <c r="D149" i="1"/>
  <c r="E149" i="1"/>
  <c r="F149" i="1"/>
  <c r="G149" i="1"/>
  <c r="H149" i="1"/>
  <c r="I149" i="1"/>
  <c r="J149" i="1"/>
  <c r="B150" i="1"/>
  <c r="C150" i="1"/>
  <c r="D150" i="1"/>
  <c r="E150" i="1"/>
  <c r="F150" i="1"/>
  <c r="G150" i="1"/>
  <c r="H150" i="1"/>
  <c r="I150" i="1"/>
  <c r="J150" i="1"/>
  <c r="B151" i="1"/>
  <c r="C151" i="1"/>
  <c r="D151" i="1"/>
  <c r="E151" i="1"/>
  <c r="F151" i="1"/>
  <c r="G151" i="1"/>
  <c r="H151" i="1"/>
  <c r="I151" i="1"/>
  <c r="J151" i="1"/>
  <c r="B152" i="1"/>
  <c r="C152" i="1"/>
  <c r="D152" i="1"/>
  <c r="E152" i="1"/>
  <c r="F152" i="1"/>
  <c r="G152" i="1"/>
  <c r="H152" i="1"/>
  <c r="I152" i="1"/>
  <c r="J152" i="1"/>
  <c r="B153" i="1"/>
  <c r="C153" i="1"/>
  <c r="D153" i="1"/>
  <c r="E153" i="1"/>
  <c r="F153" i="1"/>
  <c r="G153" i="1"/>
  <c r="H153" i="1"/>
  <c r="I153" i="1"/>
  <c r="J153" i="1"/>
  <c r="B154" i="1"/>
  <c r="C154" i="1"/>
  <c r="D154" i="1"/>
  <c r="E154" i="1"/>
  <c r="F154" i="1"/>
  <c r="G154" i="1"/>
  <c r="H154" i="1"/>
  <c r="I154" i="1"/>
  <c r="J154" i="1"/>
  <c r="B155" i="1"/>
  <c r="C155" i="1"/>
  <c r="D155" i="1"/>
  <c r="E155" i="1"/>
  <c r="F155" i="1"/>
  <c r="G155" i="1"/>
  <c r="H155" i="1"/>
  <c r="I155" i="1"/>
  <c r="J155" i="1"/>
  <c r="B156" i="1"/>
  <c r="C156" i="1"/>
  <c r="D156" i="1"/>
  <c r="E156" i="1"/>
  <c r="F156" i="1"/>
  <c r="G156" i="1"/>
  <c r="H156" i="1"/>
  <c r="I156" i="1"/>
  <c r="J156" i="1"/>
  <c r="B157" i="1"/>
  <c r="C157" i="1"/>
  <c r="D157" i="1"/>
  <c r="E157" i="1"/>
  <c r="F157" i="1"/>
  <c r="G157" i="1"/>
  <c r="H157" i="1"/>
  <c r="I157" i="1"/>
  <c r="J157" i="1"/>
  <c r="B158" i="1"/>
  <c r="C158" i="1"/>
  <c r="D158" i="1"/>
  <c r="E158" i="1"/>
  <c r="F158" i="1"/>
  <c r="G158" i="1"/>
  <c r="H158" i="1"/>
  <c r="I158" i="1"/>
  <c r="J158" i="1"/>
  <c r="B159" i="1"/>
  <c r="C159" i="1"/>
  <c r="D159" i="1"/>
  <c r="E159" i="1"/>
  <c r="F159" i="1"/>
  <c r="G159" i="1"/>
  <c r="H159" i="1"/>
  <c r="I159" i="1"/>
  <c r="J159" i="1"/>
  <c r="B160" i="1"/>
  <c r="C160" i="1"/>
  <c r="D160" i="1"/>
  <c r="E160" i="1"/>
  <c r="F160" i="1"/>
  <c r="G160" i="1"/>
  <c r="H160" i="1"/>
  <c r="I160" i="1"/>
  <c r="J160" i="1"/>
  <c r="B161" i="1"/>
  <c r="C161" i="1"/>
  <c r="D161" i="1"/>
  <c r="E161" i="1"/>
  <c r="F161" i="1"/>
  <c r="G161" i="1"/>
  <c r="H161" i="1"/>
  <c r="I161" i="1"/>
  <c r="J161" i="1"/>
  <c r="B162" i="1"/>
  <c r="C162" i="1"/>
  <c r="D162" i="1"/>
  <c r="E162" i="1"/>
  <c r="F162" i="1"/>
  <c r="G162" i="1"/>
  <c r="H162" i="1"/>
  <c r="I162" i="1"/>
  <c r="J162" i="1"/>
  <c r="B163" i="1"/>
  <c r="C163" i="1"/>
  <c r="D163" i="1"/>
  <c r="E163" i="1"/>
  <c r="F163" i="1"/>
  <c r="G163" i="1"/>
  <c r="H163" i="1"/>
  <c r="I163" i="1"/>
  <c r="J163" i="1"/>
  <c r="B164" i="1"/>
  <c r="C164" i="1"/>
  <c r="D164" i="1"/>
  <c r="E164" i="1"/>
  <c r="F164" i="1"/>
  <c r="G164" i="1"/>
  <c r="H164" i="1"/>
  <c r="I164" i="1"/>
  <c r="J164" i="1"/>
  <c r="B165" i="1"/>
  <c r="C165" i="1"/>
  <c r="D165" i="1"/>
  <c r="E165" i="1"/>
  <c r="F165" i="1"/>
  <c r="G165" i="1"/>
  <c r="H165" i="1"/>
  <c r="I165" i="1"/>
  <c r="J165" i="1"/>
  <c r="B166" i="1"/>
  <c r="C166" i="1"/>
  <c r="D166" i="1"/>
  <c r="E166" i="1"/>
  <c r="F166" i="1"/>
  <c r="G166" i="1"/>
  <c r="H166" i="1"/>
  <c r="I166" i="1"/>
  <c r="J166" i="1"/>
  <c r="B167" i="1"/>
  <c r="C167" i="1"/>
  <c r="D167" i="1"/>
  <c r="E167" i="1"/>
  <c r="F167" i="1"/>
  <c r="G167" i="1"/>
  <c r="H167" i="1"/>
  <c r="I167" i="1"/>
  <c r="J167" i="1"/>
  <c r="B168" i="1"/>
  <c r="C168" i="1"/>
  <c r="D168" i="1"/>
  <c r="E168" i="1"/>
  <c r="F168" i="1"/>
  <c r="G168" i="1"/>
  <c r="H168" i="1"/>
  <c r="I168" i="1"/>
  <c r="J168" i="1"/>
  <c r="B169" i="1"/>
  <c r="C169" i="1"/>
  <c r="D169" i="1"/>
  <c r="E169" i="1"/>
  <c r="F169" i="1"/>
  <c r="G169" i="1"/>
  <c r="H169" i="1"/>
  <c r="I169" i="1"/>
  <c r="J169" i="1"/>
  <c r="B170" i="1"/>
  <c r="C170" i="1"/>
  <c r="D170" i="1"/>
  <c r="E170" i="1"/>
  <c r="F170" i="1"/>
  <c r="G170" i="1"/>
  <c r="H170" i="1"/>
  <c r="I170" i="1"/>
  <c r="J170" i="1"/>
  <c r="B171" i="1"/>
  <c r="C171" i="1"/>
  <c r="D171" i="1"/>
  <c r="E171" i="1"/>
  <c r="F171" i="1"/>
  <c r="G171" i="1"/>
  <c r="H171" i="1"/>
  <c r="I171" i="1"/>
  <c r="J171" i="1"/>
  <c r="B172" i="1"/>
  <c r="C172" i="1"/>
  <c r="D172" i="1"/>
  <c r="E172" i="1"/>
  <c r="F172" i="1"/>
  <c r="G172" i="1"/>
  <c r="H172" i="1"/>
  <c r="I172" i="1"/>
  <c r="J172" i="1"/>
  <c r="B173" i="1"/>
  <c r="C173" i="1"/>
  <c r="D173" i="1"/>
  <c r="E173" i="1"/>
  <c r="F173" i="1"/>
  <c r="G173" i="1"/>
  <c r="H173" i="1"/>
  <c r="I173" i="1"/>
  <c r="J173" i="1"/>
  <c r="B174" i="1"/>
  <c r="C174" i="1"/>
  <c r="D174" i="1"/>
  <c r="E174" i="1"/>
  <c r="F174" i="1"/>
  <c r="G174" i="1"/>
  <c r="H174" i="1"/>
  <c r="I174" i="1"/>
  <c r="J174" i="1"/>
  <c r="B175" i="1"/>
  <c r="C175" i="1"/>
  <c r="D175" i="1"/>
  <c r="E175" i="1"/>
  <c r="F175" i="1"/>
  <c r="G175" i="1"/>
  <c r="H175" i="1"/>
  <c r="I175" i="1"/>
  <c r="J175" i="1"/>
  <c r="B176" i="1"/>
  <c r="C176" i="1"/>
  <c r="D176" i="1"/>
  <c r="E176" i="1"/>
  <c r="F176" i="1"/>
  <c r="G176" i="1"/>
  <c r="H176" i="1"/>
  <c r="I176" i="1"/>
  <c r="J176" i="1"/>
  <c r="B177" i="1"/>
  <c r="C177" i="1"/>
  <c r="D177" i="1"/>
  <c r="E177" i="1"/>
  <c r="F177" i="1"/>
  <c r="G177" i="1"/>
  <c r="H177" i="1"/>
  <c r="I177" i="1"/>
  <c r="J177" i="1"/>
  <c r="B178" i="1"/>
  <c r="C178" i="1"/>
  <c r="D178" i="1"/>
  <c r="E178" i="1"/>
  <c r="F178" i="1"/>
  <c r="G178" i="1"/>
  <c r="H178" i="1"/>
  <c r="I178" i="1"/>
  <c r="J178" i="1"/>
  <c r="B179" i="1"/>
  <c r="C179" i="1"/>
  <c r="D179" i="1"/>
  <c r="E179" i="1"/>
  <c r="F179" i="1"/>
  <c r="G179" i="1"/>
  <c r="H179" i="1"/>
  <c r="I179" i="1"/>
  <c r="J179" i="1"/>
  <c r="B180" i="1"/>
  <c r="C180" i="1"/>
  <c r="D180" i="1"/>
  <c r="E180" i="1"/>
  <c r="F180" i="1"/>
  <c r="G180" i="1"/>
  <c r="H180" i="1"/>
  <c r="I180" i="1"/>
  <c r="J180" i="1"/>
  <c r="B181" i="1"/>
  <c r="C181" i="1"/>
  <c r="D181" i="1"/>
  <c r="E181" i="1"/>
  <c r="F181" i="1"/>
  <c r="G181" i="1"/>
  <c r="H181" i="1"/>
  <c r="I181" i="1"/>
  <c r="J181" i="1"/>
  <c r="B182" i="1"/>
  <c r="C182" i="1"/>
  <c r="D182" i="1"/>
  <c r="E182" i="1"/>
  <c r="F182" i="1"/>
  <c r="G182" i="1"/>
  <c r="H182" i="1"/>
  <c r="I182" i="1"/>
  <c r="J182" i="1"/>
  <c r="B183" i="1"/>
  <c r="C183" i="1"/>
  <c r="D183" i="1"/>
  <c r="E183" i="1"/>
  <c r="F183" i="1"/>
  <c r="G183" i="1"/>
  <c r="H183" i="1"/>
  <c r="I183" i="1"/>
  <c r="J183" i="1"/>
  <c r="B184" i="1"/>
  <c r="C184" i="1"/>
  <c r="D184" i="1"/>
  <c r="E184" i="1"/>
  <c r="F184" i="1"/>
  <c r="G184" i="1"/>
  <c r="H184" i="1"/>
  <c r="I184" i="1"/>
  <c r="J184" i="1"/>
  <c r="B185" i="1"/>
  <c r="C185" i="1"/>
  <c r="D185" i="1"/>
  <c r="E185" i="1"/>
  <c r="F185" i="1"/>
  <c r="G185" i="1"/>
  <c r="H185" i="1"/>
  <c r="I185" i="1"/>
  <c r="J185" i="1"/>
  <c r="B186" i="1"/>
  <c r="C186" i="1"/>
  <c r="D186" i="1"/>
  <c r="E186" i="1"/>
  <c r="F186" i="1"/>
  <c r="G186" i="1"/>
  <c r="H186" i="1"/>
  <c r="I186" i="1"/>
  <c r="J186" i="1"/>
  <c r="B187" i="1"/>
  <c r="C187" i="1"/>
  <c r="D187" i="1"/>
  <c r="E187" i="1"/>
  <c r="F187" i="1"/>
  <c r="G187" i="1"/>
  <c r="H187" i="1"/>
  <c r="I187" i="1"/>
  <c r="J187" i="1"/>
  <c r="B188" i="1"/>
  <c r="C188" i="1"/>
  <c r="D188" i="1"/>
  <c r="E188" i="1"/>
  <c r="F188" i="1"/>
  <c r="G188" i="1"/>
  <c r="H188" i="1"/>
  <c r="I188" i="1"/>
  <c r="J188" i="1"/>
  <c r="B189" i="1"/>
  <c r="C189" i="1"/>
  <c r="D189" i="1"/>
  <c r="E189" i="1"/>
  <c r="F189" i="1"/>
  <c r="G189" i="1"/>
  <c r="H189" i="1"/>
  <c r="I189" i="1"/>
  <c r="J189" i="1"/>
  <c r="B190" i="1"/>
  <c r="C190" i="1"/>
  <c r="D190" i="1"/>
  <c r="E190" i="1"/>
  <c r="F190" i="1"/>
  <c r="G190" i="1"/>
  <c r="H190" i="1"/>
  <c r="I190" i="1"/>
  <c r="J190" i="1"/>
  <c r="B191" i="1"/>
  <c r="C191" i="1"/>
  <c r="D191" i="1"/>
  <c r="E191" i="1"/>
  <c r="F191" i="1"/>
  <c r="G191" i="1"/>
  <c r="H191" i="1"/>
  <c r="I191" i="1"/>
  <c r="J191" i="1"/>
  <c r="B192" i="1"/>
  <c r="C192" i="1"/>
  <c r="D192" i="1"/>
  <c r="E192" i="1"/>
  <c r="F192" i="1"/>
  <c r="G192" i="1"/>
  <c r="H192" i="1"/>
  <c r="I192" i="1"/>
  <c r="J192" i="1"/>
  <c r="B193" i="1"/>
  <c r="C193" i="1"/>
  <c r="D193" i="1"/>
  <c r="E193" i="1"/>
  <c r="F193" i="1"/>
  <c r="G193" i="1"/>
  <c r="H193" i="1"/>
  <c r="I193" i="1"/>
  <c r="J193" i="1"/>
  <c r="B194" i="1"/>
  <c r="C194" i="1"/>
  <c r="D194" i="1"/>
  <c r="E194" i="1"/>
  <c r="F194" i="1"/>
  <c r="G194" i="1"/>
  <c r="H194" i="1"/>
  <c r="I194" i="1"/>
  <c r="J194" i="1"/>
  <c r="B195" i="1"/>
  <c r="C195" i="1"/>
  <c r="D195" i="1"/>
  <c r="E195" i="1"/>
  <c r="F195" i="1"/>
  <c r="G195" i="1"/>
  <c r="H195" i="1"/>
  <c r="I195" i="1"/>
  <c r="J195" i="1"/>
  <c r="B196" i="1"/>
  <c r="C196" i="1"/>
  <c r="D196" i="1"/>
  <c r="E196" i="1"/>
  <c r="F196" i="1"/>
  <c r="G196" i="1"/>
  <c r="H196" i="1"/>
  <c r="I196" i="1"/>
  <c r="J196" i="1"/>
  <c r="B197" i="1"/>
  <c r="C197" i="1"/>
  <c r="D197" i="1"/>
  <c r="E197" i="1"/>
  <c r="F197" i="1"/>
  <c r="G197" i="1"/>
  <c r="H197" i="1"/>
  <c r="I197" i="1"/>
  <c r="J197" i="1"/>
  <c r="B198" i="1"/>
  <c r="C198" i="1"/>
  <c r="D198" i="1"/>
  <c r="E198" i="1"/>
  <c r="F198" i="1"/>
  <c r="G198" i="1"/>
  <c r="H198" i="1"/>
  <c r="I198" i="1"/>
  <c r="J198" i="1"/>
  <c r="B199" i="1"/>
  <c r="C199" i="1"/>
  <c r="D199" i="1"/>
  <c r="E199" i="1"/>
  <c r="F199" i="1"/>
  <c r="G199" i="1"/>
  <c r="H199" i="1"/>
  <c r="I199" i="1"/>
  <c r="J199" i="1"/>
  <c r="B200" i="1"/>
  <c r="C200" i="1"/>
  <c r="D200" i="1"/>
  <c r="E200" i="1"/>
  <c r="F200" i="1"/>
  <c r="G200" i="1"/>
  <c r="H200" i="1"/>
  <c r="I200" i="1"/>
  <c r="J200" i="1"/>
  <c r="B201" i="1"/>
  <c r="C201" i="1"/>
  <c r="D201" i="1"/>
  <c r="E201" i="1"/>
  <c r="F201" i="1"/>
  <c r="G201" i="1"/>
  <c r="H201" i="1"/>
  <c r="I201" i="1"/>
  <c r="J201" i="1"/>
  <c r="B202" i="1"/>
  <c r="C202" i="1"/>
  <c r="D202" i="1"/>
  <c r="E202" i="1"/>
  <c r="F202" i="1"/>
  <c r="G202" i="1"/>
  <c r="H202" i="1"/>
  <c r="I202" i="1"/>
  <c r="J202" i="1"/>
  <c r="B203" i="1"/>
  <c r="C203" i="1"/>
  <c r="D203" i="1"/>
  <c r="E203" i="1"/>
  <c r="F203" i="1"/>
  <c r="G203" i="1"/>
  <c r="H203" i="1"/>
  <c r="I203" i="1"/>
  <c r="J203" i="1"/>
  <c r="B204" i="1"/>
  <c r="C204" i="1"/>
  <c r="D204" i="1"/>
  <c r="E204" i="1"/>
  <c r="F204" i="1"/>
  <c r="G204" i="1"/>
  <c r="H204" i="1"/>
  <c r="I204" i="1"/>
  <c r="J204" i="1"/>
  <c r="B205" i="1"/>
  <c r="C205" i="1"/>
  <c r="D205" i="1"/>
  <c r="E205" i="1"/>
  <c r="F205" i="1"/>
  <c r="G205" i="1"/>
  <c r="H205" i="1"/>
  <c r="I205" i="1"/>
  <c r="J205" i="1"/>
  <c r="B206" i="1"/>
  <c r="C206" i="1"/>
  <c r="D206" i="1"/>
  <c r="E206" i="1"/>
  <c r="F206" i="1"/>
  <c r="G206" i="1"/>
  <c r="H206" i="1"/>
  <c r="I206" i="1"/>
  <c r="J206" i="1"/>
  <c r="B207" i="1"/>
  <c r="C207" i="1"/>
  <c r="D207" i="1"/>
  <c r="E207" i="1"/>
  <c r="F207" i="1"/>
  <c r="G207" i="1"/>
  <c r="H207" i="1"/>
  <c r="I207" i="1"/>
  <c r="J207" i="1"/>
  <c r="B208" i="1"/>
  <c r="C208" i="1"/>
  <c r="D208" i="1"/>
  <c r="E208" i="1"/>
  <c r="F208" i="1"/>
  <c r="G208" i="1"/>
  <c r="H208" i="1"/>
  <c r="I208" i="1"/>
  <c r="J208" i="1"/>
  <c r="B209" i="1"/>
  <c r="C209" i="1"/>
  <c r="D209" i="1"/>
  <c r="E209" i="1"/>
  <c r="F209" i="1"/>
  <c r="G209" i="1"/>
  <c r="H209" i="1"/>
  <c r="I209" i="1"/>
  <c r="J209" i="1"/>
  <c r="B210" i="1"/>
  <c r="C210" i="1"/>
  <c r="D210" i="1"/>
  <c r="E210" i="1"/>
  <c r="F210" i="1"/>
  <c r="G210" i="1"/>
  <c r="H210" i="1"/>
  <c r="I210" i="1"/>
  <c r="J210" i="1"/>
  <c r="B211" i="1"/>
  <c r="C211" i="1"/>
  <c r="D211" i="1"/>
  <c r="E211" i="1"/>
  <c r="F211" i="1"/>
  <c r="G211" i="1"/>
  <c r="H211" i="1"/>
  <c r="I211" i="1"/>
  <c r="J211" i="1"/>
  <c r="B212" i="1"/>
  <c r="C212" i="1"/>
  <c r="D212" i="1"/>
  <c r="E212" i="1"/>
  <c r="F212" i="1"/>
  <c r="G212" i="1"/>
  <c r="H212" i="1"/>
  <c r="I212" i="1"/>
  <c r="J212" i="1"/>
  <c r="B213" i="1"/>
  <c r="C213" i="1"/>
  <c r="D213" i="1"/>
  <c r="E213" i="1"/>
  <c r="F213" i="1"/>
  <c r="G213" i="1"/>
  <c r="H213" i="1"/>
  <c r="I213" i="1"/>
  <c r="J213" i="1"/>
  <c r="B214" i="1"/>
  <c r="C214" i="1"/>
  <c r="D214" i="1"/>
  <c r="E214" i="1"/>
  <c r="F214" i="1"/>
  <c r="G214" i="1"/>
  <c r="H214" i="1"/>
  <c r="I214" i="1"/>
  <c r="J214" i="1"/>
  <c r="B215" i="1"/>
  <c r="C215" i="1"/>
  <c r="D215" i="1"/>
  <c r="E215" i="1"/>
  <c r="F215" i="1"/>
  <c r="G215" i="1"/>
  <c r="H215" i="1"/>
  <c r="I215" i="1"/>
  <c r="J215" i="1"/>
  <c r="B216" i="1"/>
  <c r="C216" i="1"/>
  <c r="D216" i="1"/>
  <c r="E216" i="1"/>
  <c r="F216" i="1"/>
  <c r="G216" i="1"/>
  <c r="H216" i="1"/>
  <c r="I216" i="1"/>
  <c r="J216" i="1"/>
  <c r="B217" i="1"/>
  <c r="C217" i="1"/>
  <c r="D217" i="1"/>
  <c r="E217" i="1"/>
  <c r="F217" i="1"/>
  <c r="G217" i="1"/>
  <c r="H217" i="1"/>
  <c r="I217" i="1"/>
  <c r="J217" i="1"/>
  <c r="B218" i="1"/>
  <c r="C218" i="1"/>
  <c r="D218" i="1"/>
  <c r="E218" i="1"/>
  <c r="F218" i="1"/>
  <c r="G218" i="1"/>
  <c r="H218" i="1"/>
  <c r="I218" i="1"/>
  <c r="J218" i="1"/>
  <c r="B219" i="1"/>
  <c r="C219" i="1"/>
  <c r="D219" i="1"/>
  <c r="E219" i="1"/>
  <c r="F219" i="1"/>
  <c r="G219" i="1"/>
  <c r="H219" i="1"/>
  <c r="I219" i="1"/>
  <c r="J219" i="1"/>
  <c r="B220" i="1"/>
  <c r="C220" i="1"/>
  <c r="D220" i="1"/>
  <c r="E220" i="1"/>
  <c r="F220" i="1"/>
  <c r="G220" i="1"/>
  <c r="H220" i="1"/>
  <c r="I220" i="1"/>
  <c r="J220" i="1"/>
  <c r="B221" i="1"/>
  <c r="C221" i="1"/>
  <c r="D221" i="1"/>
  <c r="E221" i="1"/>
  <c r="F221" i="1"/>
  <c r="G221" i="1"/>
  <c r="H221" i="1"/>
  <c r="I221" i="1"/>
  <c r="J221" i="1"/>
  <c r="B222" i="1"/>
  <c r="C222" i="1"/>
  <c r="D222" i="1"/>
  <c r="E222" i="1"/>
  <c r="F222" i="1"/>
  <c r="G222" i="1"/>
  <c r="H222" i="1"/>
  <c r="I222" i="1"/>
  <c r="J222" i="1"/>
  <c r="B223" i="1"/>
  <c r="C223" i="1"/>
  <c r="D223" i="1"/>
  <c r="E223" i="1"/>
  <c r="F223" i="1"/>
  <c r="G223" i="1"/>
  <c r="H223" i="1"/>
  <c r="I223" i="1"/>
  <c r="J223" i="1"/>
  <c r="B224" i="1"/>
  <c r="C224" i="1"/>
  <c r="D224" i="1"/>
  <c r="E224" i="1"/>
  <c r="F224" i="1"/>
  <c r="G224" i="1"/>
  <c r="H224" i="1"/>
  <c r="I224" i="1"/>
  <c r="J224" i="1"/>
  <c r="B225" i="1"/>
  <c r="C225" i="1"/>
  <c r="D225" i="1"/>
  <c r="E225" i="1"/>
  <c r="F225" i="1"/>
  <c r="G225" i="1"/>
  <c r="H225" i="1"/>
  <c r="I225" i="1"/>
  <c r="J225" i="1"/>
  <c r="B226" i="1"/>
  <c r="C226" i="1"/>
  <c r="D226" i="1"/>
  <c r="E226" i="1"/>
  <c r="F226" i="1"/>
  <c r="G226" i="1"/>
  <c r="H226" i="1"/>
  <c r="I226" i="1"/>
  <c r="J226" i="1"/>
  <c r="B227" i="1"/>
  <c r="C227" i="1"/>
  <c r="D227" i="1"/>
  <c r="E227" i="1"/>
  <c r="F227" i="1"/>
  <c r="G227" i="1"/>
  <c r="H227" i="1"/>
  <c r="I227" i="1"/>
  <c r="J227" i="1"/>
  <c r="B228" i="1"/>
  <c r="C228" i="1"/>
  <c r="D228" i="1"/>
  <c r="E228" i="1"/>
  <c r="F228" i="1"/>
  <c r="G228" i="1"/>
  <c r="H228" i="1"/>
  <c r="I228" i="1"/>
  <c r="J228" i="1"/>
  <c r="B229" i="1"/>
  <c r="C229" i="1"/>
  <c r="D229" i="1"/>
  <c r="E229" i="1"/>
  <c r="F229" i="1"/>
  <c r="G229" i="1"/>
  <c r="H229" i="1"/>
  <c r="I229" i="1"/>
  <c r="J229" i="1"/>
  <c r="B230" i="1"/>
  <c r="C230" i="1"/>
  <c r="D230" i="1"/>
  <c r="E230" i="1"/>
  <c r="F230" i="1"/>
  <c r="G230" i="1"/>
  <c r="H230" i="1"/>
  <c r="I230" i="1"/>
  <c r="J230" i="1"/>
  <c r="B231" i="1"/>
  <c r="C231" i="1"/>
  <c r="D231" i="1"/>
  <c r="E231" i="1"/>
  <c r="F231" i="1"/>
  <c r="G231" i="1"/>
  <c r="H231" i="1"/>
  <c r="I231" i="1"/>
  <c r="J231" i="1"/>
  <c r="B232" i="1"/>
  <c r="C232" i="1"/>
  <c r="D232" i="1"/>
  <c r="E232" i="1"/>
  <c r="F232" i="1"/>
  <c r="G232" i="1"/>
  <c r="H232" i="1"/>
  <c r="I232" i="1"/>
  <c r="J232" i="1"/>
  <c r="B233" i="1"/>
  <c r="C233" i="1"/>
  <c r="D233" i="1"/>
  <c r="E233" i="1"/>
  <c r="F233" i="1"/>
  <c r="G233" i="1"/>
  <c r="H233" i="1"/>
  <c r="I233" i="1"/>
  <c r="J233" i="1"/>
  <c r="B234" i="1"/>
  <c r="C234" i="1"/>
  <c r="D234" i="1"/>
  <c r="E234" i="1"/>
  <c r="F234" i="1"/>
  <c r="G234" i="1"/>
  <c r="H234" i="1"/>
  <c r="I234" i="1"/>
  <c r="J234" i="1"/>
  <c r="B235" i="1"/>
  <c r="C235" i="1"/>
  <c r="D235" i="1"/>
  <c r="E235" i="1"/>
  <c r="F235" i="1"/>
  <c r="G235" i="1"/>
  <c r="H235" i="1"/>
  <c r="I235" i="1"/>
  <c r="J235" i="1"/>
  <c r="B236" i="1"/>
  <c r="C236" i="1"/>
  <c r="D236" i="1"/>
  <c r="E236" i="1"/>
  <c r="F236" i="1"/>
  <c r="G236" i="1"/>
  <c r="H236" i="1"/>
  <c r="I236" i="1"/>
  <c r="J236" i="1"/>
  <c r="B237" i="1"/>
  <c r="C237" i="1"/>
  <c r="D237" i="1"/>
  <c r="E237" i="1"/>
  <c r="F237" i="1"/>
  <c r="G237" i="1"/>
  <c r="H237" i="1"/>
  <c r="I237" i="1"/>
  <c r="J237" i="1"/>
  <c r="B238" i="1"/>
  <c r="C238" i="1"/>
  <c r="D238" i="1"/>
  <c r="E238" i="1"/>
  <c r="F238" i="1"/>
  <c r="G238" i="1"/>
  <c r="H238" i="1"/>
  <c r="I238" i="1"/>
  <c r="J238" i="1"/>
  <c r="B239" i="1"/>
  <c r="C239" i="1"/>
  <c r="D239" i="1"/>
  <c r="E239" i="1"/>
  <c r="F239" i="1"/>
  <c r="G239" i="1"/>
  <c r="H239" i="1"/>
  <c r="I239" i="1"/>
  <c r="J239" i="1"/>
  <c r="B240" i="1"/>
  <c r="C240" i="1"/>
  <c r="D240" i="1"/>
  <c r="E240" i="1"/>
  <c r="F240" i="1"/>
  <c r="G240" i="1"/>
  <c r="H240" i="1"/>
  <c r="I240" i="1"/>
  <c r="J240" i="1"/>
  <c r="B241" i="1"/>
  <c r="C241" i="1"/>
  <c r="D241" i="1"/>
  <c r="E241" i="1"/>
  <c r="F241" i="1"/>
  <c r="G241" i="1"/>
  <c r="H241" i="1"/>
  <c r="I241" i="1"/>
  <c r="J241" i="1"/>
  <c r="B242" i="1"/>
  <c r="C242" i="1"/>
  <c r="D242" i="1"/>
  <c r="E242" i="1"/>
  <c r="F242" i="1"/>
  <c r="G242" i="1"/>
  <c r="H242" i="1"/>
  <c r="I242" i="1"/>
  <c r="J242" i="1"/>
  <c r="B243" i="1"/>
  <c r="C243" i="1"/>
  <c r="D243" i="1"/>
  <c r="E243" i="1"/>
  <c r="F243" i="1"/>
  <c r="G243" i="1"/>
  <c r="H243" i="1"/>
  <c r="I243" i="1"/>
  <c r="J243" i="1"/>
  <c r="B244" i="1"/>
  <c r="C244" i="1"/>
  <c r="D244" i="1"/>
  <c r="E244" i="1"/>
  <c r="F244" i="1"/>
  <c r="G244" i="1"/>
  <c r="H244" i="1"/>
  <c r="I244" i="1"/>
  <c r="J244" i="1"/>
  <c r="B245" i="1"/>
  <c r="C245" i="1"/>
  <c r="D245" i="1"/>
  <c r="E245" i="1"/>
  <c r="F245" i="1"/>
  <c r="G245" i="1"/>
  <c r="H245" i="1"/>
  <c r="I245" i="1"/>
  <c r="J245" i="1"/>
  <c r="B246" i="1"/>
  <c r="C246" i="1"/>
  <c r="D246" i="1"/>
  <c r="E246" i="1"/>
  <c r="F246" i="1"/>
  <c r="G246" i="1"/>
  <c r="H246" i="1"/>
  <c r="I246" i="1"/>
  <c r="J246" i="1"/>
  <c r="B247" i="1"/>
  <c r="C247" i="1"/>
  <c r="D247" i="1"/>
  <c r="E247" i="1"/>
  <c r="F247" i="1"/>
  <c r="G247" i="1"/>
  <c r="H247" i="1"/>
  <c r="I247" i="1"/>
  <c r="J247" i="1"/>
  <c r="B248" i="1"/>
  <c r="C248" i="1"/>
  <c r="D248" i="1"/>
  <c r="E248" i="1"/>
  <c r="F248" i="1"/>
  <c r="G248" i="1"/>
  <c r="H248" i="1"/>
  <c r="I248" i="1"/>
  <c r="J248" i="1"/>
  <c r="B249" i="1"/>
  <c r="C249" i="1"/>
  <c r="D249" i="1"/>
  <c r="E249" i="1"/>
  <c r="F249" i="1"/>
  <c r="G249" i="1"/>
  <c r="H249" i="1"/>
  <c r="I249" i="1"/>
  <c r="J249" i="1"/>
  <c r="B250" i="1"/>
  <c r="C250" i="1"/>
  <c r="D250" i="1"/>
  <c r="E250" i="1"/>
  <c r="F250" i="1"/>
  <c r="G250" i="1"/>
  <c r="H250" i="1"/>
  <c r="I250" i="1"/>
  <c r="J250" i="1"/>
  <c r="B251" i="1"/>
  <c r="C251" i="1"/>
  <c r="D251" i="1"/>
  <c r="E251" i="1"/>
  <c r="F251" i="1"/>
  <c r="G251" i="1"/>
  <c r="H251" i="1"/>
  <c r="I251" i="1"/>
  <c r="J251" i="1"/>
  <c r="B252" i="1"/>
  <c r="C252" i="1"/>
  <c r="D252" i="1"/>
  <c r="E252" i="1"/>
  <c r="F252" i="1"/>
  <c r="G252" i="1"/>
  <c r="H252" i="1"/>
  <c r="I252" i="1"/>
  <c r="J252" i="1"/>
  <c r="B253" i="1"/>
  <c r="C253" i="1"/>
  <c r="D253" i="1"/>
  <c r="E253" i="1"/>
  <c r="F253" i="1"/>
  <c r="G253" i="1"/>
  <c r="H253" i="1"/>
  <c r="I253" i="1"/>
  <c r="J253" i="1"/>
  <c r="B254" i="1"/>
  <c r="C254" i="1"/>
  <c r="D254" i="1"/>
  <c r="E254" i="1"/>
  <c r="F254" i="1"/>
  <c r="G254" i="1"/>
  <c r="H254" i="1"/>
  <c r="I254" i="1"/>
  <c r="J254" i="1"/>
  <c r="B255" i="1"/>
  <c r="C255" i="1"/>
  <c r="D255" i="1"/>
  <c r="E255" i="1"/>
  <c r="F255" i="1"/>
  <c r="G255" i="1"/>
  <c r="H255" i="1"/>
  <c r="I255" i="1"/>
  <c r="J255" i="1"/>
  <c r="B256" i="1"/>
  <c r="C256" i="1"/>
  <c r="D256" i="1"/>
  <c r="E256" i="1"/>
  <c r="F256" i="1"/>
  <c r="G256" i="1"/>
  <c r="H256" i="1"/>
  <c r="I256" i="1"/>
  <c r="J256" i="1"/>
  <c r="B257" i="1"/>
  <c r="C257" i="1"/>
  <c r="D257" i="1"/>
  <c r="E257" i="1"/>
  <c r="F257" i="1"/>
  <c r="G257" i="1"/>
  <c r="H257" i="1"/>
  <c r="I257" i="1"/>
  <c r="J257" i="1"/>
  <c r="B258" i="1"/>
  <c r="C258" i="1"/>
  <c r="D258" i="1"/>
  <c r="E258" i="1"/>
  <c r="F258" i="1"/>
  <c r="G258" i="1"/>
  <c r="H258" i="1"/>
  <c r="I258" i="1"/>
  <c r="J258" i="1"/>
  <c r="B259" i="1"/>
  <c r="C259" i="1"/>
  <c r="D259" i="1"/>
  <c r="E259" i="1"/>
  <c r="F259" i="1"/>
  <c r="G259" i="1"/>
  <c r="H259" i="1"/>
  <c r="I259" i="1"/>
  <c r="J259" i="1"/>
  <c r="B260" i="1"/>
  <c r="C260" i="1"/>
  <c r="D260" i="1"/>
  <c r="E260" i="1"/>
  <c r="F260" i="1"/>
  <c r="G260" i="1"/>
  <c r="H260" i="1"/>
  <c r="I260" i="1"/>
  <c r="J260" i="1"/>
  <c r="B261" i="1"/>
  <c r="C261" i="1"/>
  <c r="D261" i="1"/>
  <c r="E261" i="1"/>
  <c r="F261" i="1"/>
  <c r="G261" i="1"/>
  <c r="H261" i="1"/>
  <c r="I261" i="1"/>
  <c r="J261" i="1"/>
  <c r="B262" i="1"/>
  <c r="C262" i="1"/>
  <c r="D262" i="1"/>
  <c r="E262" i="1"/>
  <c r="F262" i="1"/>
  <c r="G262" i="1"/>
  <c r="H262" i="1"/>
  <c r="I262" i="1"/>
  <c r="J262" i="1"/>
  <c r="B263" i="1"/>
  <c r="C263" i="1"/>
  <c r="D263" i="1"/>
  <c r="E263" i="1"/>
  <c r="F263" i="1"/>
  <c r="G263" i="1"/>
  <c r="H263" i="1"/>
  <c r="I263" i="1"/>
  <c r="J263" i="1"/>
  <c r="B264" i="1"/>
  <c r="C264" i="1"/>
  <c r="D264" i="1"/>
  <c r="E264" i="1"/>
  <c r="F264" i="1"/>
  <c r="G264" i="1"/>
  <c r="H264" i="1"/>
  <c r="I264" i="1"/>
  <c r="J264" i="1"/>
  <c r="B265" i="1"/>
  <c r="C265" i="1"/>
  <c r="D265" i="1"/>
  <c r="E265" i="1"/>
  <c r="F265" i="1"/>
  <c r="G265" i="1"/>
  <c r="H265" i="1"/>
  <c r="I265" i="1"/>
  <c r="J265" i="1"/>
  <c r="B266" i="1"/>
  <c r="C266" i="1"/>
  <c r="D266" i="1"/>
  <c r="E266" i="1"/>
  <c r="F266" i="1"/>
  <c r="G266" i="1"/>
  <c r="H266" i="1"/>
  <c r="I266" i="1"/>
  <c r="J266" i="1"/>
  <c r="B267" i="1"/>
  <c r="C267" i="1"/>
  <c r="D267" i="1"/>
  <c r="E267" i="1"/>
  <c r="F267" i="1"/>
  <c r="G267" i="1"/>
  <c r="H267" i="1"/>
  <c r="I267" i="1"/>
  <c r="J267" i="1"/>
  <c r="B268" i="1"/>
  <c r="C268" i="1"/>
  <c r="D268" i="1"/>
  <c r="E268" i="1"/>
  <c r="F268" i="1"/>
  <c r="G268" i="1"/>
  <c r="H268" i="1"/>
  <c r="I268" i="1"/>
  <c r="J268" i="1"/>
  <c r="B269" i="1"/>
  <c r="C269" i="1"/>
  <c r="D269" i="1"/>
  <c r="E269" i="1"/>
  <c r="F269" i="1"/>
  <c r="G269" i="1"/>
  <c r="H269" i="1"/>
  <c r="I269" i="1"/>
  <c r="J269" i="1"/>
  <c r="B270" i="1"/>
  <c r="C270" i="1"/>
  <c r="D270" i="1"/>
  <c r="E270" i="1"/>
  <c r="F270" i="1"/>
  <c r="G270" i="1"/>
  <c r="H270" i="1"/>
  <c r="I270" i="1"/>
  <c r="J270" i="1"/>
  <c r="B271" i="1"/>
  <c r="C271" i="1"/>
  <c r="D271" i="1"/>
  <c r="E271" i="1"/>
  <c r="F271" i="1"/>
  <c r="G271" i="1"/>
  <c r="H271" i="1"/>
  <c r="I271" i="1"/>
  <c r="J271" i="1"/>
  <c r="B272" i="1"/>
  <c r="C272" i="1"/>
  <c r="D272" i="1"/>
  <c r="E272" i="1"/>
  <c r="F272" i="1"/>
  <c r="G272" i="1"/>
  <c r="H272" i="1"/>
  <c r="I272" i="1"/>
  <c r="J272" i="1"/>
  <c r="B273" i="1"/>
  <c r="C273" i="1"/>
  <c r="D273" i="1"/>
  <c r="E273" i="1"/>
  <c r="F273" i="1"/>
  <c r="G273" i="1"/>
  <c r="H273" i="1"/>
  <c r="I273" i="1"/>
  <c r="J273" i="1"/>
  <c r="B274" i="1"/>
  <c r="C274" i="1"/>
  <c r="D274" i="1"/>
  <c r="E274" i="1"/>
  <c r="F274" i="1"/>
  <c r="G274" i="1"/>
  <c r="H274" i="1"/>
  <c r="I274" i="1"/>
  <c r="J274" i="1"/>
  <c r="B275" i="1"/>
  <c r="C275" i="1"/>
  <c r="D275" i="1"/>
  <c r="E275" i="1"/>
  <c r="F275" i="1"/>
  <c r="G275" i="1"/>
  <c r="H275" i="1"/>
  <c r="I275" i="1"/>
  <c r="J275" i="1"/>
  <c r="B276" i="1"/>
  <c r="C276" i="1"/>
  <c r="D276" i="1"/>
  <c r="E276" i="1"/>
  <c r="F276" i="1"/>
  <c r="G276" i="1"/>
  <c r="H276" i="1"/>
  <c r="I276" i="1"/>
  <c r="J276" i="1"/>
  <c r="B277" i="1"/>
  <c r="C277" i="1"/>
  <c r="D277" i="1"/>
  <c r="E277" i="1"/>
  <c r="F277" i="1"/>
  <c r="G277" i="1"/>
  <c r="H277" i="1"/>
  <c r="I277" i="1"/>
  <c r="J277" i="1"/>
  <c r="B278" i="1"/>
  <c r="C278" i="1"/>
  <c r="D278" i="1"/>
  <c r="E278" i="1"/>
  <c r="F278" i="1"/>
  <c r="G278" i="1"/>
  <c r="H278" i="1"/>
  <c r="I278" i="1"/>
  <c r="J278" i="1"/>
  <c r="B279" i="1"/>
  <c r="C279" i="1"/>
  <c r="D279" i="1"/>
  <c r="E279" i="1"/>
  <c r="F279" i="1"/>
  <c r="G279" i="1"/>
  <c r="H279" i="1"/>
  <c r="I279" i="1"/>
  <c r="J279" i="1"/>
  <c r="B280" i="1"/>
  <c r="C280" i="1"/>
  <c r="D280" i="1"/>
  <c r="E280" i="1"/>
  <c r="F280" i="1"/>
  <c r="G280" i="1"/>
  <c r="H280" i="1"/>
  <c r="I280" i="1"/>
  <c r="J280" i="1"/>
  <c r="B281" i="1"/>
  <c r="C281" i="1"/>
  <c r="D281" i="1"/>
  <c r="E281" i="1"/>
  <c r="F281" i="1"/>
  <c r="G281" i="1"/>
  <c r="H281" i="1"/>
  <c r="I281" i="1"/>
  <c r="J281" i="1"/>
  <c r="B282" i="1"/>
  <c r="C282" i="1"/>
  <c r="D282" i="1"/>
  <c r="E282" i="1"/>
  <c r="F282" i="1"/>
  <c r="G282" i="1"/>
  <c r="H282" i="1"/>
  <c r="I282" i="1"/>
  <c r="J282" i="1"/>
  <c r="B283" i="1"/>
  <c r="C283" i="1"/>
  <c r="D283" i="1"/>
  <c r="E283" i="1"/>
  <c r="F283" i="1"/>
  <c r="G283" i="1"/>
  <c r="H283" i="1"/>
  <c r="I283" i="1"/>
  <c r="J283" i="1"/>
  <c r="B284" i="1"/>
  <c r="C284" i="1"/>
  <c r="D284" i="1"/>
  <c r="E284" i="1"/>
  <c r="F284" i="1"/>
  <c r="G284" i="1"/>
  <c r="H284" i="1"/>
  <c r="I284" i="1"/>
  <c r="J284" i="1"/>
  <c r="B285" i="1"/>
  <c r="C285" i="1"/>
  <c r="D285" i="1"/>
  <c r="E285" i="1"/>
  <c r="F285" i="1"/>
  <c r="G285" i="1"/>
  <c r="H285" i="1"/>
  <c r="I285" i="1"/>
  <c r="J285" i="1"/>
  <c r="B286" i="1"/>
  <c r="C286" i="1"/>
  <c r="D286" i="1"/>
  <c r="E286" i="1"/>
  <c r="F286" i="1"/>
  <c r="G286" i="1"/>
  <c r="H286" i="1"/>
  <c r="I286" i="1"/>
  <c r="J286" i="1"/>
  <c r="B287" i="1"/>
  <c r="C287" i="1"/>
  <c r="D287" i="1"/>
  <c r="E287" i="1"/>
  <c r="F287" i="1"/>
  <c r="G287" i="1"/>
  <c r="H287" i="1"/>
  <c r="I287" i="1"/>
  <c r="J287" i="1"/>
  <c r="B288" i="1"/>
  <c r="C288" i="1"/>
  <c r="D288" i="1"/>
  <c r="E288" i="1"/>
  <c r="F288" i="1"/>
  <c r="G288" i="1"/>
  <c r="H288" i="1"/>
  <c r="I288" i="1"/>
  <c r="J288" i="1"/>
  <c r="B289" i="1"/>
  <c r="C289" i="1"/>
  <c r="D289" i="1"/>
  <c r="E289" i="1"/>
  <c r="F289" i="1"/>
  <c r="G289" i="1"/>
  <c r="H289" i="1"/>
  <c r="I289" i="1"/>
  <c r="J289" i="1"/>
  <c r="B290" i="1"/>
  <c r="C290" i="1"/>
  <c r="D290" i="1"/>
  <c r="E290" i="1"/>
  <c r="F290" i="1"/>
  <c r="G290" i="1"/>
  <c r="H290" i="1"/>
  <c r="I290" i="1"/>
  <c r="J290" i="1"/>
  <c r="B291" i="1"/>
  <c r="C291" i="1"/>
  <c r="D291" i="1"/>
  <c r="E291" i="1"/>
  <c r="F291" i="1"/>
  <c r="G291" i="1"/>
  <c r="H291" i="1"/>
  <c r="I291" i="1"/>
  <c r="J291" i="1"/>
  <c r="B292" i="1"/>
  <c r="C292" i="1"/>
  <c r="D292" i="1"/>
  <c r="E292" i="1"/>
  <c r="F292" i="1"/>
  <c r="G292" i="1"/>
  <c r="H292" i="1"/>
  <c r="I292" i="1"/>
  <c r="J292" i="1"/>
  <c r="B293" i="1"/>
  <c r="C293" i="1"/>
  <c r="D293" i="1"/>
  <c r="E293" i="1"/>
  <c r="F293" i="1"/>
  <c r="G293" i="1"/>
  <c r="H293" i="1"/>
  <c r="I293" i="1"/>
  <c r="J293" i="1"/>
  <c r="B294" i="1"/>
  <c r="C294" i="1"/>
  <c r="D294" i="1"/>
  <c r="E294" i="1"/>
  <c r="F294" i="1"/>
  <c r="G294" i="1"/>
  <c r="H294" i="1"/>
  <c r="I294" i="1"/>
  <c r="J294" i="1"/>
  <c r="B295" i="1"/>
  <c r="C295" i="1"/>
  <c r="D295" i="1"/>
  <c r="E295" i="1"/>
  <c r="F295" i="1"/>
  <c r="G295" i="1"/>
  <c r="H295" i="1"/>
  <c r="I295" i="1"/>
  <c r="J295" i="1"/>
  <c r="B296" i="1"/>
  <c r="C296" i="1"/>
  <c r="D296" i="1"/>
  <c r="E296" i="1"/>
  <c r="F296" i="1"/>
  <c r="G296" i="1"/>
  <c r="H296" i="1"/>
  <c r="I296" i="1"/>
  <c r="J296" i="1"/>
  <c r="B297" i="1"/>
  <c r="C297" i="1"/>
  <c r="D297" i="1"/>
  <c r="E297" i="1"/>
  <c r="F297" i="1"/>
  <c r="G297" i="1"/>
  <c r="H297" i="1"/>
  <c r="I297" i="1"/>
  <c r="J297" i="1"/>
  <c r="B298" i="1"/>
  <c r="C298" i="1"/>
  <c r="D298" i="1"/>
  <c r="E298" i="1"/>
  <c r="F298" i="1"/>
  <c r="G298" i="1"/>
  <c r="H298" i="1"/>
  <c r="I298" i="1"/>
  <c r="J298" i="1"/>
  <c r="B299" i="1"/>
  <c r="C299" i="1"/>
  <c r="D299" i="1"/>
  <c r="E299" i="1"/>
  <c r="F299" i="1"/>
  <c r="G299" i="1"/>
  <c r="H299" i="1"/>
  <c r="I299" i="1"/>
  <c r="J299" i="1"/>
  <c r="B300" i="1"/>
  <c r="C300" i="1"/>
  <c r="D300" i="1"/>
  <c r="E300" i="1"/>
  <c r="F300" i="1"/>
  <c r="G300" i="1"/>
  <c r="H300" i="1"/>
  <c r="I300" i="1"/>
  <c r="J300" i="1"/>
  <c r="B301" i="1"/>
  <c r="C301" i="1"/>
  <c r="D301" i="1"/>
  <c r="E301" i="1"/>
  <c r="F301" i="1"/>
  <c r="G301" i="1"/>
  <c r="H301" i="1"/>
  <c r="I301" i="1"/>
  <c r="J301" i="1"/>
  <c r="B302" i="1"/>
  <c r="C302" i="1"/>
  <c r="D302" i="1"/>
  <c r="E302" i="1"/>
  <c r="F302" i="1"/>
  <c r="G302" i="1"/>
  <c r="H302" i="1"/>
  <c r="I302" i="1"/>
  <c r="J302" i="1"/>
  <c r="B303" i="1"/>
  <c r="C303" i="1"/>
  <c r="D303" i="1"/>
  <c r="E303" i="1"/>
  <c r="F303" i="1"/>
  <c r="G303" i="1"/>
  <c r="H303" i="1"/>
  <c r="I303" i="1"/>
  <c r="J303" i="1"/>
  <c r="B304" i="1"/>
  <c r="C304" i="1"/>
  <c r="D304" i="1"/>
  <c r="E304" i="1"/>
  <c r="F304" i="1"/>
  <c r="G304" i="1"/>
  <c r="H304" i="1"/>
  <c r="I304" i="1"/>
  <c r="J304" i="1"/>
  <c r="B305" i="1"/>
  <c r="C305" i="1"/>
  <c r="D305" i="1"/>
  <c r="E305" i="1"/>
  <c r="F305" i="1"/>
  <c r="G305" i="1"/>
  <c r="H305" i="1"/>
  <c r="I305" i="1"/>
  <c r="J305" i="1"/>
  <c r="B306" i="1"/>
  <c r="C306" i="1"/>
  <c r="D306" i="1"/>
  <c r="E306" i="1"/>
  <c r="F306" i="1"/>
  <c r="G306" i="1"/>
  <c r="H306" i="1"/>
  <c r="I306" i="1"/>
  <c r="J306" i="1"/>
  <c r="B307" i="1"/>
  <c r="C307" i="1"/>
  <c r="D307" i="1"/>
  <c r="E307" i="1"/>
  <c r="F307" i="1"/>
  <c r="G307" i="1"/>
  <c r="H307" i="1"/>
  <c r="I307" i="1"/>
  <c r="J307" i="1"/>
  <c r="B308" i="1"/>
  <c r="C308" i="1"/>
  <c r="D308" i="1"/>
  <c r="E308" i="1"/>
  <c r="F308" i="1"/>
  <c r="G308" i="1"/>
  <c r="H308" i="1"/>
  <c r="I308" i="1"/>
  <c r="J308" i="1"/>
  <c r="B309" i="1"/>
  <c r="C309" i="1"/>
  <c r="D309" i="1"/>
  <c r="E309" i="1"/>
  <c r="F309" i="1"/>
  <c r="G309" i="1"/>
  <c r="H309" i="1"/>
  <c r="I309" i="1"/>
  <c r="J309" i="1"/>
  <c r="B310" i="1"/>
  <c r="C310" i="1"/>
  <c r="D310" i="1"/>
  <c r="E310" i="1"/>
  <c r="F310" i="1"/>
  <c r="G310" i="1"/>
  <c r="H310" i="1"/>
  <c r="I310" i="1"/>
  <c r="J310" i="1"/>
  <c r="B311" i="1"/>
  <c r="C311" i="1"/>
  <c r="D311" i="1"/>
  <c r="E311" i="1"/>
  <c r="F311" i="1"/>
  <c r="G311" i="1"/>
  <c r="H311" i="1"/>
  <c r="I311" i="1"/>
  <c r="J311" i="1"/>
  <c r="B312" i="1"/>
  <c r="C312" i="1"/>
  <c r="D312" i="1"/>
  <c r="E312" i="1"/>
  <c r="F312" i="1"/>
  <c r="G312" i="1"/>
  <c r="H312" i="1"/>
  <c r="I312" i="1"/>
  <c r="J312" i="1"/>
  <c r="B313" i="1"/>
  <c r="C313" i="1"/>
  <c r="D313" i="1"/>
  <c r="E313" i="1"/>
  <c r="F313" i="1"/>
  <c r="G313" i="1"/>
  <c r="H313" i="1"/>
  <c r="I313" i="1"/>
  <c r="J313" i="1"/>
  <c r="B314" i="1"/>
  <c r="C314" i="1"/>
  <c r="D314" i="1"/>
  <c r="E314" i="1"/>
  <c r="F314" i="1"/>
  <c r="G314" i="1"/>
  <c r="H314" i="1"/>
  <c r="I314" i="1"/>
  <c r="J314" i="1"/>
  <c r="B315" i="1"/>
  <c r="C315" i="1"/>
  <c r="D315" i="1"/>
  <c r="E315" i="1"/>
  <c r="F315" i="1"/>
  <c r="G315" i="1"/>
  <c r="H315" i="1"/>
  <c r="I315" i="1"/>
  <c r="J315" i="1"/>
  <c r="B316" i="1"/>
  <c r="C316" i="1"/>
  <c r="D316" i="1"/>
  <c r="E316" i="1"/>
  <c r="F316" i="1"/>
  <c r="G316" i="1"/>
  <c r="H316" i="1"/>
  <c r="I316" i="1"/>
  <c r="J316" i="1"/>
  <c r="B317" i="1"/>
  <c r="C317" i="1"/>
  <c r="D317" i="1"/>
  <c r="E317" i="1"/>
  <c r="F317" i="1"/>
  <c r="G317" i="1"/>
  <c r="H317" i="1"/>
  <c r="I317" i="1"/>
  <c r="J317" i="1"/>
  <c r="B318" i="1"/>
  <c r="C318" i="1"/>
  <c r="D318" i="1"/>
  <c r="E318" i="1"/>
  <c r="F318" i="1"/>
  <c r="G318" i="1"/>
  <c r="H318" i="1"/>
  <c r="I318" i="1"/>
  <c r="J318" i="1"/>
  <c r="B319" i="1"/>
  <c r="C319" i="1"/>
  <c r="D319" i="1"/>
  <c r="E319" i="1"/>
  <c r="F319" i="1"/>
  <c r="G319" i="1"/>
  <c r="H319" i="1"/>
  <c r="I319" i="1"/>
  <c r="J319" i="1"/>
  <c r="B320" i="1"/>
  <c r="C320" i="1"/>
  <c r="D320" i="1"/>
  <c r="E320" i="1"/>
  <c r="F320" i="1"/>
  <c r="G320" i="1"/>
  <c r="H320" i="1"/>
  <c r="I320" i="1"/>
  <c r="J320" i="1"/>
  <c r="B321" i="1"/>
  <c r="C321" i="1"/>
  <c r="D321" i="1"/>
  <c r="E321" i="1"/>
  <c r="F321" i="1"/>
  <c r="G321" i="1"/>
  <c r="H321" i="1"/>
  <c r="I321" i="1"/>
  <c r="J321" i="1"/>
  <c r="B322" i="1"/>
  <c r="C322" i="1"/>
  <c r="D322" i="1"/>
  <c r="E322" i="1"/>
  <c r="F322" i="1"/>
  <c r="G322" i="1"/>
  <c r="H322" i="1"/>
  <c r="I322" i="1"/>
  <c r="J322" i="1"/>
  <c r="B323" i="1"/>
  <c r="C323" i="1"/>
  <c r="D323" i="1"/>
  <c r="E323" i="1"/>
  <c r="F323" i="1"/>
  <c r="G323" i="1"/>
  <c r="H323" i="1"/>
  <c r="I323" i="1"/>
  <c r="J323" i="1"/>
  <c r="B324" i="1"/>
  <c r="C324" i="1"/>
  <c r="D324" i="1"/>
  <c r="E324" i="1"/>
  <c r="F324" i="1"/>
  <c r="G324" i="1"/>
  <c r="H324" i="1"/>
  <c r="I324" i="1"/>
  <c r="J324" i="1"/>
  <c r="B325" i="1"/>
  <c r="C325" i="1"/>
  <c r="D325" i="1"/>
  <c r="E325" i="1"/>
  <c r="F325" i="1"/>
  <c r="G325" i="1"/>
  <c r="H325" i="1"/>
  <c r="I325" i="1"/>
  <c r="J325" i="1"/>
  <c r="B326" i="1"/>
  <c r="C326" i="1"/>
  <c r="D326" i="1"/>
  <c r="E326" i="1"/>
  <c r="F326" i="1"/>
  <c r="G326" i="1"/>
  <c r="H326" i="1"/>
  <c r="I326" i="1"/>
  <c r="J326" i="1"/>
  <c r="B327" i="1"/>
  <c r="C327" i="1"/>
  <c r="D327" i="1"/>
  <c r="E327" i="1"/>
  <c r="F327" i="1"/>
  <c r="G327" i="1"/>
  <c r="H327" i="1"/>
  <c r="I327" i="1"/>
  <c r="J327" i="1"/>
  <c r="B328" i="1"/>
  <c r="C328" i="1"/>
  <c r="D328" i="1"/>
  <c r="E328" i="1"/>
  <c r="F328" i="1"/>
  <c r="G328" i="1"/>
  <c r="H328" i="1"/>
  <c r="I328" i="1"/>
  <c r="J328" i="1"/>
  <c r="B329" i="1"/>
  <c r="C329" i="1"/>
  <c r="D329" i="1"/>
  <c r="E329" i="1"/>
  <c r="F329" i="1"/>
  <c r="G329" i="1"/>
  <c r="H329" i="1"/>
  <c r="I329" i="1"/>
  <c r="J329" i="1"/>
  <c r="B330" i="1"/>
  <c r="C330" i="1"/>
  <c r="D330" i="1"/>
  <c r="E330" i="1"/>
  <c r="F330" i="1"/>
  <c r="G330" i="1"/>
  <c r="H330" i="1"/>
  <c r="I330" i="1"/>
  <c r="J330" i="1"/>
  <c r="B331" i="1"/>
  <c r="C331" i="1"/>
  <c r="D331" i="1"/>
  <c r="E331" i="1"/>
  <c r="F331" i="1"/>
  <c r="G331" i="1"/>
  <c r="H331" i="1"/>
  <c r="I331" i="1"/>
  <c r="J331" i="1"/>
  <c r="B332" i="1"/>
  <c r="C332" i="1"/>
  <c r="D332" i="1"/>
  <c r="E332" i="1"/>
  <c r="F332" i="1"/>
  <c r="G332" i="1"/>
  <c r="H332" i="1"/>
  <c r="I332" i="1"/>
  <c r="J332" i="1"/>
  <c r="B333" i="1"/>
  <c r="C333" i="1"/>
  <c r="D333" i="1"/>
  <c r="E333" i="1"/>
  <c r="F333" i="1"/>
  <c r="G333" i="1"/>
  <c r="H333" i="1"/>
  <c r="I333" i="1"/>
  <c r="J333" i="1"/>
  <c r="B334" i="1"/>
  <c r="C334" i="1"/>
  <c r="D334" i="1"/>
  <c r="E334" i="1"/>
  <c r="F334" i="1"/>
  <c r="G334" i="1"/>
  <c r="H334" i="1"/>
  <c r="I334" i="1"/>
  <c r="J334" i="1"/>
  <c r="B335" i="1"/>
  <c r="C335" i="1"/>
  <c r="D335" i="1"/>
  <c r="E335" i="1"/>
  <c r="F335" i="1"/>
  <c r="G335" i="1"/>
  <c r="H335" i="1"/>
  <c r="I335" i="1"/>
  <c r="J335" i="1"/>
  <c r="B336" i="1"/>
  <c r="C336" i="1"/>
  <c r="D336" i="1"/>
  <c r="E336" i="1"/>
  <c r="F336" i="1"/>
  <c r="G336" i="1"/>
  <c r="H336" i="1"/>
  <c r="I336" i="1"/>
  <c r="J336" i="1"/>
  <c r="B337" i="1"/>
  <c r="C337" i="1"/>
  <c r="D337" i="1"/>
  <c r="E337" i="1"/>
  <c r="F337" i="1"/>
  <c r="G337" i="1"/>
  <c r="H337" i="1"/>
  <c r="I337" i="1"/>
  <c r="J337" i="1"/>
  <c r="B338" i="1"/>
  <c r="C338" i="1"/>
  <c r="D338" i="1"/>
  <c r="E338" i="1"/>
  <c r="F338" i="1"/>
  <c r="G338" i="1"/>
  <c r="H338" i="1"/>
  <c r="I338" i="1"/>
  <c r="J338" i="1"/>
  <c r="B339" i="1"/>
  <c r="C339" i="1"/>
  <c r="D339" i="1"/>
  <c r="E339" i="1"/>
  <c r="F339" i="1"/>
  <c r="G339" i="1"/>
  <c r="H339" i="1"/>
  <c r="I339" i="1"/>
  <c r="J339" i="1"/>
  <c r="B340" i="1"/>
  <c r="C340" i="1"/>
  <c r="D340" i="1"/>
  <c r="E340" i="1"/>
  <c r="F340" i="1"/>
  <c r="G340" i="1"/>
  <c r="H340" i="1"/>
  <c r="I340" i="1"/>
  <c r="J340" i="1"/>
  <c r="B341" i="1"/>
  <c r="C341" i="1"/>
  <c r="D341" i="1"/>
  <c r="E341" i="1"/>
  <c r="F341" i="1"/>
  <c r="G341" i="1"/>
  <c r="H341" i="1"/>
  <c r="I341" i="1"/>
  <c r="J341" i="1"/>
  <c r="B342" i="1"/>
  <c r="C342" i="1"/>
  <c r="D342" i="1"/>
  <c r="E342" i="1"/>
  <c r="F342" i="1"/>
  <c r="G342" i="1"/>
  <c r="H342" i="1"/>
  <c r="I342" i="1"/>
  <c r="J342" i="1"/>
  <c r="B343" i="1"/>
  <c r="C343" i="1"/>
  <c r="D343" i="1"/>
  <c r="E343" i="1"/>
  <c r="F343" i="1"/>
  <c r="G343" i="1"/>
  <c r="H343" i="1"/>
  <c r="I343" i="1"/>
  <c r="J343" i="1"/>
  <c r="B344" i="1"/>
  <c r="C344" i="1"/>
  <c r="D344" i="1"/>
  <c r="E344" i="1"/>
  <c r="F344" i="1"/>
  <c r="G344" i="1"/>
  <c r="H344" i="1"/>
  <c r="I344" i="1"/>
  <c r="J344" i="1"/>
  <c r="B345" i="1"/>
  <c r="C345" i="1"/>
  <c r="D345" i="1"/>
  <c r="E345" i="1"/>
  <c r="F345" i="1"/>
  <c r="G345" i="1"/>
  <c r="H345" i="1"/>
  <c r="I345" i="1"/>
  <c r="J345" i="1"/>
  <c r="B346" i="1"/>
  <c r="C346" i="1"/>
  <c r="D346" i="1"/>
  <c r="E346" i="1"/>
  <c r="F346" i="1"/>
  <c r="G346" i="1"/>
  <c r="H346" i="1"/>
  <c r="I346" i="1"/>
  <c r="J346" i="1"/>
  <c r="B347" i="1"/>
  <c r="C347" i="1"/>
  <c r="D347" i="1"/>
  <c r="E347" i="1"/>
  <c r="F347" i="1"/>
  <c r="G347" i="1"/>
  <c r="H347" i="1"/>
  <c r="I347" i="1"/>
  <c r="J347" i="1"/>
  <c r="B348" i="1"/>
  <c r="C348" i="1"/>
  <c r="D348" i="1"/>
  <c r="E348" i="1"/>
  <c r="F348" i="1"/>
  <c r="G348" i="1"/>
  <c r="H348" i="1"/>
  <c r="I348" i="1"/>
  <c r="J348" i="1"/>
  <c r="B349" i="1"/>
  <c r="C349" i="1"/>
  <c r="D349" i="1"/>
  <c r="E349" i="1"/>
  <c r="F349" i="1"/>
  <c r="G349" i="1"/>
  <c r="H349" i="1"/>
  <c r="I349" i="1"/>
  <c r="J349" i="1"/>
  <c r="B350" i="1"/>
  <c r="C350" i="1"/>
  <c r="D350" i="1"/>
  <c r="E350" i="1"/>
  <c r="F350" i="1"/>
  <c r="G350" i="1"/>
  <c r="H350" i="1"/>
  <c r="I350" i="1"/>
  <c r="J350" i="1"/>
  <c r="B351" i="1"/>
  <c r="C351" i="1"/>
  <c r="D351" i="1"/>
  <c r="E351" i="1"/>
  <c r="F351" i="1"/>
  <c r="G351" i="1"/>
  <c r="H351" i="1"/>
  <c r="I351" i="1"/>
  <c r="J351" i="1"/>
  <c r="B352" i="1"/>
  <c r="C352" i="1"/>
  <c r="D352" i="1"/>
  <c r="E352" i="1"/>
  <c r="F352" i="1"/>
  <c r="G352" i="1"/>
  <c r="H352" i="1"/>
  <c r="I352" i="1"/>
  <c r="J352" i="1"/>
  <c r="B353" i="1"/>
  <c r="C353" i="1"/>
  <c r="D353" i="1"/>
  <c r="E353" i="1"/>
  <c r="F353" i="1"/>
  <c r="G353" i="1"/>
  <c r="H353" i="1"/>
  <c r="I353" i="1"/>
  <c r="J353" i="1"/>
  <c r="B354" i="1"/>
  <c r="C354" i="1"/>
  <c r="D354" i="1"/>
  <c r="E354" i="1"/>
  <c r="F354" i="1"/>
  <c r="G354" i="1"/>
  <c r="H354" i="1"/>
  <c r="I354" i="1"/>
  <c r="J354" i="1"/>
  <c r="B355" i="1"/>
  <c r="C355" i="1"/>
  <c r="D355" i="1"/>
  <c r="E355" i="1"/>
  <c r="F355" i="1"/>
  <c r="G355" i="1"/>
  <c r="H355" i="1"/>
  <c r="I355" i="1"/>
  <c r="J355" i="1"/>
  <c r="B356" i="1"/>
  <c r="C356" i="1"/>
  <c r="D356" i="1"/>
  <c r="E356" i="1"/>
  <c r="F356" i="1"/>
  <c r="G356" i="1"/>
  <c r="H356" i="1"/>
  <c r="I356" i="1"/>
  <c r="J356" i="1"/>
  <c r="B357" i="1"/>
  <c r="C357" i="1"/>
  <c r="D357" i="1"/>
  <c r="E357" i="1"/>
  <c r="F357" i="1"/>
  <c r="G357" i="1"/>
  <c r="H357" i="1"/>
  <c r="I357" i="1"/>
  <c r="J357" i="1"/>
  <c r="B358" i="1"/>
  <c r="C358" i="1"/>
  <c r="D358" i="1"/>
  <c r="E358" i="1"/>
  <c r="F358" i="1"/>
  <c r="G358" i="1"/>
  <c r="H358" i="1"/>
  <c r="I358" i="1"/>
  <c r="J358" i="1"/>
  <c r="B359" i="1"/>
  <c r="C359" i="1"/>
  <c r="D359" i="1"/>
  <c r="E359" i="1"/>
  <c r="F359" i="1"/>
  <c r="G359" i="1"/>
  <c r="H359" i="1"/>
  <c r="I359" i="1"/>
  <c r="J359" i="1"/>
  <c r="B360" i="1"/>
  <c r="C360" i="1"/>
  <c r="D360" i="1"/>
  <c r="E360" i="1"/>
  <c r="F360" i="1"/>
  <c r="G360" i="1"/>
  <c r="H360" i="1"/>
  <c r="I360" i="1"/>
  <c r="J360" i="1"/>
  <c r="B361" i="1"/>
  <c r="C361" i="1"/>
  <c r="D361" i="1"/>
  <c r="E361" i="1"/>
  <c r="F361" i="1"/>
  <c r="G361" i="1"/>
  <c r="H361" i="1"/>
  <c r="I361" i="1"/>
  <c r="J361" i="1"/>
  <c r="B362" i="1"/>
  <c r="C362" i="1"/>
  <c r="D362" i="1"/>
  <c r="E362" i="1"/>
  <c r="F362" i="1"/>
  <c r="G362" i="1"/>
  <c r="H362" i="1"/>
  <c r="I362" i="1"/>
  <c r="J362" i="1"/>
  <c r="B363" i="1"/>
  <c r="C363" i="1"/>
  <c r="D363" i="1"/>
  <c r="E363" i="1"/>
  <c r="F363" i="1"/>
  <c r="G363" i="1"/>
  <c r="H363" i="1"/>
  <c r="I363" i="1"/>
  <c r="J363" i="1"/>
  <c r="B364" i="1"/>
  <c r="C364" i="1"/>
  <c r="D364" i="1"/>
  <c r="E364" i="1"/>
  <c r="F364" i="1"/>
  <c r="G364" i="1"/>
  <c r="H364" i="1"/>
  <c r="I364" i="1"/>
  <c r="J364" i="1"/>
  <c r="B365" i="1"/>
  <c r="C365" i="1"/>
  <c r="D365" i="1"/>
  <c r="E365" i="1"/>
  <c r="F365" i="1"/>
  <c r="G365" i="1"/>
  <c r="H365" i="1"/>
  <c r="I365" i="1"/>
  <c r="J365" i="1"/>
  <c r="B366" i="1"/>
  <c r="C366" i="1"/>
  <c r="D366" i="1"/>
  <c r="E366" i="1"/>
  <c r="F366" i="1"/>
  <c r="G366" i="1"/>
  <c r="H366" i="1"/>
  <c r="I366" i="1"/>
  <c r="J366" i="1"/>
  <c r="B367" i="1"/>
  <c r="C367" i="1"/>
  <c r="D367" i="1"/>
  <c r="E367" i="1"/>
  <c r="F367" i="1"/>
  <c r="G367" i="1"/>
  <c r="H367" i="1"/>
  <c r="I367" i="1"/>
  <c r="J367" i="1"/>
  <c r="B368" i="1"/>
  <c r="C368" i="1"/>
  <c r="D368" i="1"/>
  <c r="E368" i="1"/>
  <c r="F368" i="1"/>
  <c r="G368" i="1"/>
  <c r="H368" i="1"/>
  <c r="I368" i="1"/>
  <c r="J368" i="1"/>
  <c r="B369" i="1"/>
  <c r="C369" i="1"/>
  <c r="D369" i="1"/>
  <c r="E369" i="1"/>
  <c r="F369" i="1"/>
  <c r="G369" i="1"/>
  <c r="H369" i="1"/>
  <c r="I369" i="1"/>
  <c r="J369" i="1"/>
  <c r="B370" i="1"/>
  <c r="C370" i="1"/>
  <c r="D370" i="1"/>
  <c r="E370" i="1"/>
  <c r="F370" i="1"/>
  <c r="G370" i="1"/>
  <c r="H370" i="1"/>
  <c r="I370" i="1"/>
  <c r="J370" i="1"/>
  <c r="B371" i="1"/>
  <c r="C371" i="1"/>
  <c r="D371" i="1"/>
  <c r="E371" i="1"/>
  <c r="F371" i="1"/>
  <c r="G371" i="1"/>
  <c r="H371" i="1"/>
  <c r="I371" i="1"/>
  <c r="J371" i="1"/>
  <c r="B372" i="1"/>
  <c r="C372" i="1"/>
  <c r="D372" i="1"/>
  <c r="E372" i="1"/>
  <c r="F372" i="1"/>
  <c r="G372" i="1"/>
  <c r="H372" i="1"/>
  <c r="I372" i="1"/>
  <c r="J372" i="1"/>
  <c r="B373" i="1"/>
  <c r="C373" i="1"/>
  <c r="D373" i="1"/>
  <c r="E373" i="1"/>
  <c r="F373" i="1"/>
  <c r="G373" i="1"/>
  <c r="H373" i="1"/>
  <c r="I373" i="1"/>
  <c r="J373" i="1"/>
  <c r="B374" i="1"/>
  <c r="C374" i="1"/>
  <c r="D374" i="1"/>
  <c r="E374" i="1"/>
  <c r="F374" i="1"/>
  <c r="G374" i="1"/>
  <c r="H374" i="1"/>
  <c r="I374" i="1"/>
  <c r="J374" i="1"/>
  <c r="B375" i="1"/>
  <c r="C375" i="1"/>
  <c r="D375" i="1"/>
  <c r="E375" i="1"/>
  <c r="F375" i="1"/>
  <c r="G375" i="1"/>
  <c r="H375" i="1"/>
  <c r="I375" i="1"/>
  <c r="J375" i="1"/>
  <c r="B376" i="1"/>
  <c r="C376" i="1"/>
  <c r="D376" i="1"/>
  <c r="E376" i="1"/>
  <c r="F376" i="1"/>
  <c r="G376" i="1"/>
  <c r="H376" i="1"/>
  <c r="I376" i="1"/>
  <c r="J376" i="1"/>
  <c r="B377" i="1"/>
  <c r="C377" i="1"/>
  <c r="D377" i="1"/>
  <c r="E377" i="1"/>
  <c r="F377" i="1"/>
  <c r="G377" i="1"/>
  <c r="H377" i="1"/>
  <c r="I377" i="1"/>
  <c r="J377" i="1"/>
  <c r="B378" i="1"/>
  <c r="C378" i="1"/>
  <c r="D378" i="1"/>
  <c r="E378" i="1"/>
  <c r="F378" i="1"/>
  <c r="G378" i="1"/>
  <c r="H378" i="1"/>
  <c r="I378" i="1"/>
  <c r="J378" i="1"/>
  <c r="B379" i="1"/>
  <c r="C379" i="1"/>
  <c r="D379" i="1"/>
  <c r="E379" i="1"/>
  <c r="F379" i="1"/>
  <c r="G379" i="1"/>
  <c r="H379" i="1"/>
  <c r="I379" i="1"/>
  <c r="J379" i="1"/>
  <c r="B380" i="1"/>
  <c r="C380" i="1"/>
  <c r="D380" i="1"/>
  <c r="E380" i="1"/>
  <c r="F380" i="1"/>
  <c r="G380" i="1"/>
  <c r="H380" i="1"/>
  <c r="I380" i="1"/>
  <c r="J380" i="1"/>
  <c r="B381" i="1"/>
  <c r="C381" i="1"/>
  <c r="D381" i="1"/>
  <c r="E381" i="1"/>
  <c r="F381" i="1"/>
  <c r="G381" i="1"/>
  <c r="H381" i="1"/>
  <c r="I381" i="1"/>
  <c r="J381" i="1"/>
  <c r="B382" i="1"/>
  <c r="C382" i="1"/>
  <c r="D382" i="1"/>
  <c r="E382" i="1"/>
  <c r="F382" i="1"/>
  <c r="G382" i="1"/>
  <c r="H382" i="1"/>
  <c r="I382" i="1"/>
  <c r="J382" i="1"/>
  <c r="B383" i="1"/>
  <c r="C383" i="1"/>
  <c r="D383" i="1"/>
  <c r="E383" i="1"/>
  <c r="F383" i="1"/>
  <c r="G383" i="1"/>
  <c r="H383" i="1"/>
  <c r="I383" i="1"/>
  <c r="J383" i="1"/>
  <c r="B384" i="1"/>
  <c r="C384" i="1"/>
  <c r="D384" i="1"/>
  <c r="E384" i="1"/>
  <c r="F384" i="1"/>
  <c r="G384" i="1"/>
  <c r="H384" i="1"/>
  <c r="I384" i="1"/>
  <c r="J384" i="1"/>
  <c r="B385" i="1"/>
  <c r="C385" i="1"/>
  <c r="D385" i="1"/>
  <c r="E385" i="1"/>
  <c r="F385" i="1"/>
  <c r="G385" i="1"/>
  <c r="H385" i="1"/>
  <c r="I385" i="1"/>
  <c r="J385" i="1"/>
  <c r="B386" i="1"/>
  <c r="C386" i="1"/>
  <c r="D386" i="1"/>
  <c r="E386" i="1"/>
  <c r="F386" i="1"/>
  <c r="G386" i="1"/>
  <c r="H386" i="1"/>
  <c r="I386" i="1"/>
  <c r="J386" i="1"/>
  <c r="B387" i="1"/>
  <c r="C387" i="1"/>
  <c r="D387" i="1"/>
  <c r="E387" i="1"/>
  <c r="F387" i="1"/>
  <c r="G387" i="1"/>
  <c r="H387" i="1"/>
  <c r="I387" i="1"/>
  <c r="J387" i="1"/>
  <c r="B388" i="1"/>
  <c r="C388" i="1"/>
  <c r="D388" i="1"/>
  <c r="E388" i="1"/>
  <c r="F388" i="1"/>
  <c r="G388" i="1"/>
  <c r="H388" i="1"/>
  <c r="I388" i="1"/>
  <c r="J388" i="1"/>
  <c r="B389" i="1"/>
  <c r="C389" i="1"/>
  <c r="D389" i="1"/>
  <c r="E389" i="1"/>
  <c r="F389" i="1"/>
  <c r="G389" i="1"/>
  <c r="H389" i="1"/>
  <c r="I389" i="1"/>
  <c r="J389" i="1"/>
  <c r="B390" i="1"/>
  <c r="C390" i="1"/>
  <c r="D390" i="1"/>
  <c r="E390" i="1"/>
  <c r="F390" i="1"/>
  <c r="G390" i="1"/>
  <c r="H390" i="1"/>
  <c r="I390" i="1"/>
  <c r="J390" i="1"/>
  <c r="B391" i="1"/>
  <c r="C391" i="1"/>
  <c r="D391" i="1"/>
  <c r="E391" i="1"/>
  <c r="F391" i="1"/>
  <c r="G391" i="1"/>
  <c r="H391" i="1"/>
  <c r="I391" i="1"/>
  <c r="J391" i="1"/>
  <c r="B392" i="1"/>
  <c r="C392" i="1"/>
  <c r="D392" i="1"/>
  <c r="E392" i="1"/>
  <c r="F392" i="1"/>
  <c r="G392" i="1"/>
  <c r="H392" i="1"/>
  <c r="I392" i="1"/>
  <c r="J392" i="1"/>
  <c r="B393" i="1"/>
  <c r="C393" i="1"/>
  <c r="D393" i="1"/>
  <c r="E393" i="1"/>
  <c r="F393" i="1"/>
  <c r="G393" i="1"/>
  <c r="H393" i="1"/>
  <c r="I393" i="1"/>
  <c r="J393" i="1"/>
  <c r="B394" i="1"/>
  <c r="C394" i="1"/>
  <c r="D394" i="1"/>
  <c r="E394" i="1"/>
  <c r="F394" i="1"/>
  <c r="G394" i="1"/>
  <c r="H394" i="1"/>
  <c r="I394" i="1"/>
  <c r="J394" i="1"/>
  <c r="B395" i="1"/>
  <c r="C395" i="1"/>
  <c r="D395" i="1"/>
  <c r="E395" i="1"/>
  <c r="F395" i="1"/>
  <c r="G395" i="1"/>
  <c r="H395" i="1"/>
  <c r="I395" i="1"/>
  <c r="J395" i="1"/>
  <c r="B396" i="1"/>
  <c r="C396" i="1"/>
  <c r="D396" i="1"/>
  <c r="E396" i="1"/>
  <c r="F396" i="1"/>
  <c r="G396" i="1"/>
  <c r="H396" i="1"/>
  <c r="I396" i="1"/>
  <c r="J396" i="1"/>
  <c r="B397" i="1"/>
  <c r="C397" i="1"/>
  <c r="D397" i="1"/>
  <c r="E397" i="1"/>
  <c r="F397" i="1"/>
  <c r="G397" i="1"/>
  <c r="H397" i="1"/>
  <c r="I397" i="1"/>
  <c r="J397" i="1"/>
  <c r="B398" i="1"/>
  <c r="C398" i="1"/>
  <c r="D398" i="1"/>
  <c r="E398" i="1"/>
  <c r="F398" i="1"/>
  <c r="G398" i="1"/>
  <c r="H398" i="1"/>
  <c r="I398" i="1"/>
  <c r="J398" i="1"/>
  <c r="B399" i="1"/>
  <c r="C399" i="1"/>
  <c r="D399" i="1"/>
  <c r="E399" i="1"/>
  <c r="F399" i="1"/>
  <c r="G399" i="1"/>
  <c r="H399" i="1"/>
  <c r="I399" i="1"/>
  <c r="J399" i="1"/>
  <c r="B400" i="1"/>
  <c r="C400" i="1"/>
  <c r="D400" i="1"/>
  <c r="E400" i="1"/>
  <c r="F400" i="1"/>
  <c r="G400" i="1"/>
  <c r="H400" i="1"/>
  <c r="I400" i="1"/>
  <c r="J400" i="1"/>
  <c r="B401" i="1"/>
  <c r="C401" i="1"/>
  <c r="D401" i="1"/>
  <c r="E401" i="1"/>
  <c r="F401" i="1"/>
  <c r="G401" i="1"/>
  <c r="H401" i="1"/>
  <c r="I401" i="1"/>
  <c r="J401" i="1"/>
  <c r="B402" i="1"/>
  <c r="C402" i="1"/>
  <c r="D402" i="1"/>
  <c r="E402" i="1"/>
  <c r="F402" i="1"/>
  <c r="G402" i="1"/>
  <c r="H402" i="1"/>
  <c r="I402" i="1"/>
  <c r="J402" i="1"/>
  <c r="B403" i="1"/>
  <c r="C403" i="1"/>
  <c r="D403" i="1"/>
  <c r="E403" i="1"/>
  <c r="F403" i="1"/>
  <c r="G403" i="1"/>
  <c r="H403" i="1"/>
  <c r="I403" i="1"/>
  <c r="J403" i="1"/>
  <c r="B404" i="1"/>
  <c r="C404" i="1"/>
  <c r="D404" i="1"/>
  <c r="E404" i="1"/>
  <c r="F404" i="1"/>
  <c r="G404" i="1"/>
  <c r="H404" i="1"/>
  <c r="I404" i="1"/>
  <c r="J404" i="1"/>
  <c r="B405" i="1"/>
  <c r="C405" i="1"/>
  <c r="D405" i="1"/>
  <c r="E405" i="1"/>
  <c r="F405" i="1"/>
  <c r="G405" i="1"/>
  <c r="H405" i="1"/>
  <c r="I405" i="1"/>
  <c r="J405" i="1"/>
  <c r="B406" i="1"/>
  <c r="C406" i="1"/>
  <c r="D406" i="1"/>
  <c r="E406" i="1"/>
  <c r="F406" i="1"/>
  <c r="G406" i="1"/>
  <c r="H406" i="1"/>
  <c r="I406" i="1"/>
  <c r="J406" i="1"/>
  <c r="B407" i="1"/>
  <c r="C407" i="1"/>
  <c r="D407" i="1"/>
  <c r="E407" i="1"/>
  <c r="F407" i="1"/>
  <c r="G407" i="1"/>
  <c r="H407" i="1"/>
  <c r="I407" i="1"/>
  <c r="J407" i="1"/>
  <c r="B408" i="1"/>
  <c r="C408" i="1"/>
  <c r="D408" i="1"/>
  <c r="E408" i="1"/>
  <c r="F408" i="1"/>
  <c r="G408" i="1"/>
  <c r="H408" i="1"/>
  <c r="I408" i="1"/>
  <c r="J408" i="1"/>
  <c r="B409" i="1"/>
  <c r="C409" i="1"/>
  <c r="D409" i="1"/>
  <c r="E409" i="1"/>
  <c r="F409" i="1"/>
  <c r="G409" i="1"/>
  <c r="H409" i="1"/>
  <c r="I409" i="1"/>
  <c r="J409" i="1"/>
  <c r="B410" i="1"/>
  <c r="C410" i="1"/>
  <c r="D410" i="1"/>
  <c r="E410" i="1"/>
  <c r="F410" i="1"/>
  <c r="G410" i="1"/>
  <c r="H410" i="1"/>
  <c r="I410" i="1"/>
  <c r="J410" i="1"/>
  <c r="B411" i="1"/>
  <c r="C411" i="1"/>
  <c r="D411" i="1"/>
  <c r="E411" i="1"/>
  <c r="F411" i="1"/>
  <c r="G411" i="1"/>
  <c r="H411" i="1"/>
  <c r="I411" i="1"/>
  <c r="J411" i="1"/>
  <c r="B412" i="1"/>
  <c r="C412" i="1"/>
  <c r="D412" i="1"/>
  <c r="E412" i="1"/>
  <c r="F412" i="1"/>
  <c r="G412" i="1"/>
  <c r="H412" i="1"/>
  <c r="I412" i="1"/>
  <c r="J412" i="1"/>
  <c r="B413" i="1"/>
  <c r="C413" i="1"/>
  <c r="D413" i="1"/>
  <c r="E413" i="1"/>
  <c r="F413" i="1"/>
  <c r="G413" i="1"/>
  <c r="H413" i="1"/>
  <c r="I413" i="1"/>
  <c r="J413" i="1"/>
  <c r="B414" i="1"/>
  <c r="C414" i="1"/>
  <c r="D414" i="1"/>
  <c r="E414" i="1"/>
  <c r="F414" i="1"/>
  <c r="G414" i="1"/>
  <c r="H414" i="1"/>
  <c r="I414" i="1"/>
  <c r="J414" i="1"/>
  <c r="B415" i="1"/>
  <c r="C415" i="1"/>
  <c r="D415" i="1"/>
  <c r="E415" i="1"/>
  <c r="F415" i="1"/>
  <c r="G415" i="1"/>
  <c r="H415" i="1"/>
  <c r="I415" i="1"/>
  <c r="J415" i="1"/>
  <c r="B416" i="1"/>
  <c r="C416" i="1"/>
  <c r="D416" i="1"/>
  <c r="E416" i="1"/>
  <c r="F416" i="1"/>
  <c r="G416" i="1"/>
  <c r="H416" i="1"/>
  <c r="I416" i="1"/>
  <c r="J416" i="1"/>
  <c r="B417" i="1"/>
  <c r="C417" i="1"/>
  <c r="D417" i="1"/>
  <c r="E417" i="1"/>
  <c r="F417" i="1"/>
  <c r="G417" i="1"/>
  <c r="H417" i="1"/>
  <c r="I417" i="1"/>
  <c r="J417" i="1"/>
  <c r="B418" i="1"/>
  <c r="C418" i="1"/>
  <c r="D418" i="1"/>
  <c r="E418" i="1"/>
  <c r="F418" i="1"/>
  <c r="G418" i="1"/>
  <c r="H418" i="1"/>
  <c r="I418" i="1"/>
  <c r="J418" i="1"/>
  <c r="B419" i="1"/>
  <c r="C419" i="1"/>
  <c r="D419" i="1"/>
  <c r="E419" i="1"/>
  <c r="F419" i="1"/>
  <c r="G419" i="1"/>
  <c r="H419" i="1"/>
  <c r="I419" i="1"/>
  <c r="J419" i="1"/>
  <c r="B420" i="1"/>
  <c r="C420" i="1"/>
  <c r="D420" i="1"/>
  <c r="E420" i="1"/>
  <c r="F420" i="1"/>
  <c r="G420" i="1"/>
  <c r="H420" i="1"/>
  <c r="I420" i="1"/>
  <c r="J420" i="1"/>
  <c r="B421" i="1"/>
  <c r="C421" i="1"/>
  <c r="D421" i="1"/>
  <c r="E421" i="1"/>
  <c r="F421" i="1"/>
  <c r="G421" i="1"/>
  <c r="H421" i="1"/>
  <c r="I421" i="1"/>
  <c r="J421" i="1"/>
  <c r="B422" i="1"/>
  <c r="C422" i="1"/>
  <c r="D422" i="1"/>
  <c r="E422" i="1"/>
  <c r="F422" i="1"/>
  <c r="G422" i="1"/>
  <c r="H422" i="1"/>
  <c r="I422" i="1"/>
  <c r="J422" i="1"/>
  <c r="B423" i="1"/>
  <c r="C423" i="1"/>
  <c r="D423" i="1"/>
  <c r="E423" i="1"/>
  <c r="F423" i="1"/>
  <c r="G423" i="1"/>
  <c r="H423" i="1"/>
  <c r="I423" i="1"/>
  <c r="J423" i="1"/>
  <c r="B424" i="1"/>
  <c r="C424" i="1"/>
  <c r="D424" i="1"/>
  <c r="E424" i="1"/>
  <c r="F424" i="1"/>
  <c r="G424" i="1"/>
  <c r="H424" i="1"/>
  <c r="I424" i="1"/>
  <c r="J424" i="1"/>
  <c r="B425" i="1"/>
  <c r="C425" i="1"/>
  <c r="D425" i="1"/>
  <c r="E425" i="1"/>
  <c r="F425" i="1"/>
  <c r="G425" i="1"/>
  <c r="H425" i="1"/>
  <c r="I425" i="1"/>
  <c r="J425" i="1"/>
  <c r="B426" i="1"/>
  <c r="C426" i="1"/>
  <c r="D426" i="1"/>
  <c r="E426" i="1"/>
  <c r="F426" i="1"/>
  <c r="G426" i="1"/>
  <c r="H426" i="1"/>
  <c r="I426" i="1"/>
  <c r="J426" i="1"/>
  <c r="B427" i="1"/>
  <c r="C427" i="1"/>
  <c r="D427" i="1"/>
  <c r="E427" i="1"/>
  <c r="F427" i="1"/>
  <c r="G427" i="1"/>
  <c r="H427" i="1"/>
  <c r="I427" i="1"/>
  <c r="J427" i="1"/>
  <c r="B428" i="1"/>
  <c r="C428" i="1"/>
  <c r="D428" i="1"/>
  <c r="E428" i="1"/>
  <c r="F428" i="1"/>
  <c r="G428" i="1"/>
  <c r="H428" i="1"/>
  <c r="I428" i="1"/>
  <c r="J428" i="1"/>
  <c r="B429" i="1"/>
  <c r="C429" i="1"/>
  <c r="D429" i="1"/>
  <c r="E429" i="1"/>
  <c r="F429" i="1"/>
  <c r="G429" i="1"/>
  <c r="H429" i="1"/>
  <c r="I429" i="1"/>
  <c r="J429" i="1"/>
  <c r="B430" i="1"/>
  <c r="C430" i="1"/>
  <c r="D430" i="1"/>
  <c r="E430" i="1"/>
  <c r="F430" i="1"/>
  <c r="G430" i="1"/>
  <c r="H430" i="1"/>
  <c r="I430" i="1"/>
  <c r="J430" i="1"/>
  <c r="B431" i="1"/>
  <c r="C431" i="1"/>
  <c r="D431" i="1"/>
  <c r="E431" i="1"/>
  <c r="F431" i="1"/>
  <c r="G431" i="1"/>
  <c r="H431" i="1"/>
  <c r="I431" i="1"/>
  <c r="J431" i="1"/>
  <c r="B432" i="1"/>
  <c r="C432" i="1"/>
  <c r="D432" i="1"/>
  <c r="E432" i="1"/>
  <c r="F432" i="1"/>
  <c r="G432" i="1"/>
  <c r="H432" i="1"/>
  <c r="I432" i="1"/>
  <c r="J432" i="1"/>
  <c r="B433" i="1"/>
  <c r="C433" i="1"/>
  <c r="D433" i="1"/>
  <c r="E433" i="1"/>
  <c r="F433" i="1"/>
  <c r="G433" i="1"/>
  <c r="H433" i="1"/>
  <c r="I433" i="1"/>
  <c r="J433" i="1"/>
  <c r="B434" i="1"/>
  <c r="C434" i="1"/>
  <c r="D434" i="1"/>
  <c r="E434" i="1"/>
  <c r="F434" i="1"/>
  <c r="G434" i="1"/>
  <c r="H434" i="1"/>
  <c r="I434" i="1"/>
  <c r="J434" i="1"/>
  <c r="B435" i="1"/>
  <c r="C435" i="1"/>
  <c r="D435" i="1"/>
  <c r="E435" i="1"/>
  <c r="F435" i="1"/>
  <c r="G435" i="1"/>
  <c r="H435" i="1"/>
  <c r="I435" i="1"/>
  <c r="J435" i="1"/>
  <c r="B436" i="1"/>
  <c r="C436" i="1"/>
  <c r="D436" i="1"/>
  <c r="E436" i="1"/>
  <c r="F436" i="1"/>
  <c r="G436" i="1"/>
  <c r="H436" i="1"/>
  <c r="I436" i="1"/>
  <c r="J436" i="1"/>
  <c r="B437" i="1"/>
  <c r="C437" i="1"/>
  <c r="D437" i="1"/>
  <c r="E437" i="1"/>
  <c r="F437" i="1"/>
  <c r="G437" i="1"/>
  <c r="H437" i="1"/>
  <c r="I437" i="1"/>
  <c r="J437" i="1"/>
  <c r="B438" i="1"/>
  <c r="C438" i="1"/>
  <c r="D438" i="1"/>
  <c r="E438" i="1"/>
  <c r="F438" i="1"/>
  <c r="G438" i="1"/>
  <c r="H438" i="1"/>
  <c r="I438" i="1"/>
  <c r="J438" i="1"/>
  <c r="B439" i="1"/>
  <c r="C439" i="1"/>
  <c r="D439" i="1"/>
  <c r="E439" i="1"/>
  <c r="F439" i="1"/>
  <c r="G439" i="1"/>
  <c r="H439" i="1"/>
  <c r="I439" i="1"/>
  <c r="J439" i="1"/>
  <c r="B440" i="1"/>
  <c r="C440" i="1"/>
  <c r="D440" i="1"/>
  <c r="E440" i="1"/>
  <c r="F440" i="1"/>
  <c r="G440" i="1"/>
  <c r="H440" i="1"/>
  <c r="I440" i="1"/>
  <c r="J440" i="1"/>
  <c r="B441" i="1"/>
  <c r="C441" i="1"/>
  <c r="D441" i="1"/>
  <c r="E441" i="1"/>
  <c r="F441" i="1"/>
  <c r="G441" i="1"/>
  <c r="H441" i="1"/>
  <c r="I441" i="1"/>
  <c r="J441" i="1"/>
  <c r="B442" i="1"/>
  <c r="C442" i="1"/>
  <c r="D442" i="1"/>
  <c r="E442" i="1"/>
  <c r="F442" i="1"/>
  <c r="G442" i="1"/>
  <c r="H442" i="1"/>
  <c r="I442" i="1"/>
  <c r="J442" i="1"/>
  <c r="B443" i="1"/>
  <c r="C443" i="1"/>
  <c r="D443" i="1"/>
  <c r="E443" i="1"/>
  <c r="F443" i="1"/>
  <c r="G443" i="1"/>
  <c r="H443" i="1"/>
  <c r="I443" i="1"/>
  <c r="J443" i="1"/>
  <c r="B444" i="1"/>
  <c r="C444" i="1"/>
  <c r="D444" i="1"/>
  <c r="E444" i="1"/>
  <c r="F444" i="1"/>
  <c r="G444" i="1"/>
  <c r="H444" i="1"/>
  <c r="I444" i="1"/>
  <c r="J444" i="1"/>
  <c r="B445" i="1"/>
  <c r="C445" i="1"/>
  <c r="D445" i="1"/>
  <c r="E445" i="1"/>
  <c r="F445" i="1"/>
  <c r="G445" i="1"/>
  <c r="H445" i="1"/>
  <c r="I445" i="1"/>
  <c r="J445" i="1"/>
  <c r="B446" i="1"/>
  <c r="C446" i="1"/>
  <c r="D446" i="1"/>
  <c r="E446" i="1"/>
  <c r="F446" i="1"/>
  <c r="G446" i="1"/>
  <c r="H446" i="1"/>
  <c r="I446" i="1"/>
  <c r="J446" i="1"/>
  <c r="B447" i="1"/>
  <c r="C447" i="1"/>
  <c r="D447" i="1"/>
  <c r="E447" i="1"/>
  <c r="F447" i="1"/>
  <c r="G447" i="1"/>
  <c r="H447" i="1"/>
  <c r="I447" i="1"/>
  <c r="J447" i="1"/>
  <c r="B448" i="1"/>
  <c r="C448" i="1"/>
  <c r="D448" i="1"/>
  <c r="E448" i="1"/>
  <c r="F448" i="1"/>
  <c r="G448" i="1"/>
  <c r="H448" i="1"/>
  <c r="I448" i="1"/>
  <c r="J448" i="1"/>
  <c r="B449" i="1"/>
  <c r="C449" i="1"/>
  <c r="D449" i="1"/>
  <c r="E449" i="1"/>
  <c r="F449" i="1"/>
  <c r="G449" i="1"/>
  <c r="H449" i="1"/>
  <c r="I449" i="1"/>
  <c r="J449" i="1"/>
  <c r="B450" i="1"/>
  <c r="C450" i="1"/>
  <c r="D450" i="1"/>
  <c r="E450" i="1"/>
  <c r="F450" i="1"/>
  <c r="G450" i="1"/>
  <c r="H450" i="1"/>
  <c r="I450" i="1"/>
  <c r="J450" i="1"/>
  <c r="B451" i="1"/>
  <c r="C451" i="1"/>
  <c r="D451" i="1"/>
  <c r="E451" i="1"/>
  <c r="F451" i="1"/>
  <c r="G451" i="1"/>
  <c r="H451" i="1"/>
  <c r="I451" i="1"/>
  <c r="J451" i="1"/>
  <c r="B452" i="1"/>
  <c r="C452" i="1"/>
  <c r="D452" i="1"/>
  <c r="E452" i="1"/>
  <c r="F452" i="1"/>
  <c r="G452" i="1"/>
  <c r="H452" i="1"/>
  <c r="I452" i="1"/>
  <c r="J452" i="1"/>
  <c r="B453" i="1"/>
  <c r="C453" i="1"/>
  <c r="D453" i="1"/>
  <c r="E453" i="1"/>
  <c r="F453" i="1"/>
  <c r="G453" i="1"/>
  <c r="H453" i="1"/>
  <c r="I453" i="1"/>
  <c r="J453" i="1"/>
  <c r="B454" i="1"/>
  <c r="C454" i="1"/>
  <c r="D454" i="1"/>
  <c r="E454" i="1"/>
  <c r="F454" i="1"/>
  <c r="G454" i="1"/>
  <c r="H454" i="1"/>
  <c r="I454" i="1"/>
  <c r="J454" i="1"/>
  <c r="B455" i="1"/>
  <c r="C455" i="1"/>
  <c r="D455" i="1"/>
  <c r="E455" i="1"/>
  <c r="F455" i="1"/>
  <c r="G455" i="1"/>
  <c r="H455" i="1"/>
  <c r="I455" i="1"/>
  <c r="J455" i="1"/>
  <c r="B456" i="1"/>
  <c r="C456" i="1"/>
  <c r="D456" i="1"/>
  <c r="E456" i="1"/>
  <c r="F456" i="1"/>
  <c r="G456" i="1"/>
  <c r="H456" i="1"/>
  <c r="I456" i="1"/>
  <c r="J456" i="1"/>
  <c r="B457" i="1"/>
  <c r="C457" i="1"/>
  <c r="D457" i="1"/>
  <c r="E457" i="1"/>
  <c r="F457" i="1"/>
  <c r="G457" i="1"/>
  <c r="H457" i="1"/>
  <c r="I457" i="1"/>
  <c r="J457" i="1"/>
  <c r="B458" i="1"/>
  <c r="C458" i="1"/>
  <c r="D458" i="1"/>
  <c r="E458" i="1"/>
  <c r="F458" i="1"/>
  <c r="G458" i="1"/>
  <c r="H458" i="1"/>
  <c r="I458" i="1"/>
  <c r="J458" i="1"/>
  <c r="B459" i="1"/>
  <c r="C459" i="1"/>
  <c r="D459" i="1"/>
  <c r="E459" i="1"/>
  <c r="F459" i="1"/>
  <c r="G459" i="1"/>
  <c r="H459" i="1"/>
  <c r="I459" i="1"/>
  <c r="J459" i="1"/>
  <c r="B460" i="1"/>
  <c r="C460" i="1"/>
  <c r="D460" i="1"/>
  <c r="E460" i="1"/>
  <c r="F460" i="1"/>
  <c r="G460" i="1"/>
  <c r="H460" i="1"/>
  <c r="I460" i="1"/>
  <c r="J460" i="1"/>
  <c r="B461" i="1"/>
  <c r="C461" i="1"/>
  <c r="D461" i="1"/>
  <c r="E461" i="1"/>
  <c r="F461" i="1"/>
  <c r="G461" i="1"/>
  <c r="H461" i="1"/>
  <c r="I461" i="1"/>
  <c r="J461" i="1"/>
  <c r="B462" i="1"/>
  <c r="C462" i="1"/>
  <c r="D462" i="1"/>
  <c r="E462" i="1"/>
  <c r="F462" i="1"/>
  <c r="G462" i="1"/>
  <c r="H462" i="1"/>
  <c r="I462" i="1"/>
  <c r="J462" i="1"/>
  <c r="B463" i="1"/>
  <c r="C463" i="1"/>
  <c r="D463" i="1"/>
  <c r="E463" i="1"/>
  <c r="F463" i="1"/>
  <c r="G463" i="1"/>
  <c r="H463" i="1"/>
  <c r="I463" i="1"/>
  <c r="J463" i="1"/>
  <c r="B464" i="1"/>
  <c r="C464" i="1"/>
  <c r="D464" i="1"/>
  <c r="E464" i="1"/>
  <c r="F464" i="1"/>
  <c r="G464" i="1"/>
  <c r="H464" i="1"/>
  <c r="I464" i="1"/>
  <c r="J464" i="1"/>
  <c r="B465" i="1"/>
  <c r="C465" i="1"/>
  <c r="D465" i="1"/>
  <c r="E465" i="1"/>
  <c r="F465" i="1"/>
  <c r="G465" i="1"/>
  <c r="H465" i="1"/>
  <c r="I465" i="1"/>
  <c r="J465" i="1"/>
  <c r="B466" i="1"/>
  <c r="C466" i="1"/>
  <c r="D466" i="1"/>
  <c r="E466" i="1"/>
  <c r="F466" i="1"/>
  <c r="G466" i="1"/>
  <c r="H466" i="1"/>
  <c r="I466" i="1"/>
  <c r="J466" i="1"/>
  <c r="B467" i="1"/>
  <c r="C467" i="1"/>
  <c r="D467" i="1"/>
  <c r="E467" i="1"/>
  <c r="F467" i="1"/>
  <c r="G467" i="1"/>
  <c r="H467" i="1"/>
  <c r="I467" i="1"/>
  <c r="J467" i="1"/>
  <c r="B468" i="1"/>
  <c r="C468" i="1"/>
  <c r="D468" i="1"/>
  <c r="E468" i="1"/>
  <c r="F468" i="1"/>
  <c r="G468" i="1"/>
  <c r="H468" i="1"/>
  <c r="I468" i="1"/>
  <c r="J468" i="1"/>
  <c r="B469" i="1"/>
  <c r="C469" i="1"/>
  <c r="D469" i="1"/>
  <c r="E469" i="1"/>
  <c r="F469" i="1"/>
  <c r="G469" i="1"/>
  <c r="H469" i="1"/>
  <c r="I469" i="1"/>
  <c r="J469" i="1"/>
  <c r="B470" i="1"/>
  <c r="C470" i="1"/>
  <c r="D470" i="1"/>
  <c r="E470" i="1"/>
  <c r="F470" i="1"/>
  <c r="G470" i="1"/>
  <c r="H470" i="1"/>
  <c r="I470" i="1"/>
  <c r="J470" i="1"/>
  <c r="B471" i="1"/>
  <c r="C471" i="1"/>
  <c r="D471" i="1"/>
  <c r="E471" i="1"/>
  <c r="F471" i="1"/>
  <c r="G471" i="1"/>
  <c r="H471" i="1"/>
  <c r="I471" i="1"/>
  <c r="J471" i="1"/>
  <c r="B472" i="1"/>
  <c r="C472" i="1"/>
  <c r="D472" i="1"/>
  <c r="E472" i="1"/>
  <c r="F472" i="1"/>
  <c r="G472" i="1"/>
  <c r="H472" i="1"/>
  <c r="I472" i="1"/>
  <c r="J472" i="1"/>
  <c r="B473" i="1"/>
  <c r="C473" i="1"/>
  <c r="D473" i="1"/>
  <c r="E473" i="1"/>
  <c r="F473" i="1"/>
  <c r="G473" i="1"/>
  <c r="H473" i="1"/>
  <c r="I473" i="1"/>
  <c r="J473" i="1"/>
  <c r="B474" i="1"/>
  <c r="C474" i="1"/>
  <c r="D474" i="1"/>
  <c r="E474" i="1"/>
  <c r="F474" i="1"/>
  <c r="G474" i="1"/>
  <c r="H474" i="1"/>
  <c r="I474" i="1"/>
  <c r="J474" i="1"/>
  <c r="B475" i="1"/>
  <c r="C475" i="1"/>
  <c r="D475" i="1"/>
  <c r="E475" i="1"/>
  <c r="F475" i="1"/>
  <c r="G475" i="1"/>
  <c r="H475" i="1"/>
  <c r="I475" i="1"/>
  <c r="J475" i="1"/>
  <c r="B476" i="1"/>
  <c r="C476" i="1"/>
  <c r="D476" i="1"/>
  <c r="E476" i="1"/>
  <c r="F476" i="1"/>
  <c r="G476" i="1"/>
  <c r="H476" i="1"/>
  <c r="I476" i="1"/>
  <c r="J476" i="1"/>
  <c r="B477" i="1"/>
  <c r="C477" i="1"/>
  <c r="D477" i="1"/>
  <c r="E477" i="1"/>
  <c r="F477" i="1"/>
  <c r="G477" i="1"/>
  <c r="H477" i="1"/>
  <c r="I477" i="1"/>
  <c r="J477" i="1"/>
  <c r="B478" i="1"/>
  <c r="C478" i="1"/>
  <c r="D478" i="1"/>
  <c r="E478" i="1"/>
  <c r="F478" i="1"/>
  <c r="G478" i="1"/>
  <c r="H478" i="1"/>
  <c r="I478" i="1"/>
  <c r="J478" i="1"/>
  <c r="B479" i="1"/>
  <c r="C479" i="1"/>
  <c r="D479" i="1"/>
  <c r="E479" i="1"/>
  <c r="F479" i="1"/>
  <c r="G479" i="1"/>
  <c r="H479" i="1"/>
  <c r="I479" i="1"/>
  <c r="J479" i="1"/>
  <c r="B480" i="1"/>
  <c r="C480" i="1"/>
  <c r="D480" i="1"/>
  <c r="E480" i="1"/>
  <c r="F480" i="1"/>
  <c r="G480" i="1"/>
  <c r="H480" i="1"/>
  <c r="I480" i="1"/>
  <c r="J480" i="1"/>
  <c r="B481" i="1"/>
  <c r="C481" i="1"/>
  <c r="D481" i="1"/>
  <c r="E481" i="1"/>
  <c r="F481" i="1"/>
  <c r="G481" i="1"/>
  <c r="H481" i="1"/>
  <c r="I481" i="1"/>
  <c r="J481" i="1"/>
  <c r="B482" i="1"/>
  <c r="C482" i="1"/>
  <c r="D482" i="1"/>
  <c r="E482" i="1"/>
  <c r="F482" i="1"/>
  <c r="G482" i="1"/>
  <c r="H482" i="1"/>
  <c r="I482" i="1"/>
  <c r="J482" i="1"/>
  <c r="B483" i="1"/>
  <c r="C483" i="1"/>
  <c r="D483" i="1"/>
  <c r="E483" i="1"/>
  <c r="F483" i="1"/>
  <c r="G483" i="1"/>
  <c r="H483" i="1"/>
  <c r="I483" i="1"/>
  <c r="J483" i="1"/>
  <c r="B484" i="1"/>
  <c r="C484" i="1"/>
  <c r="D484" i="1"/>
  <c r="E484" i="1"/>
  <c r="F484" i="1"/>
  <c r="G484" i="1"/>
  <c r="H484" i="1"/>
  <c r="I484" i="1"/>
  <c r="J484" i="1"/>
  <c r="B485" i="1"/>
  <c r="C485" i="1"/>
  <c r="D485" i="1"/>
  <c r="E485" i="1"/>
  <c r="F485" i="1"/>
  <c r="G485" i="1"/>
  <c r="H485" i="1"/>
  <c r="I485" i="1"/>
  <c r="J485" i="1"/>
  <c r="B486" i="1"/>
  <c r="C486" i="1"/>
  <c r="D486" i="1"/>
  <c r="E486" i="1"/>
  <c r="F486" i="1"/>
  <c r="G486" i="1"/>
  <c r="H486" i="1"/>
  <c r="I486" i="1"/>
  <c r="J486" i="1"/>
  <c r="B487" i="1"/>
  <c r="C487" i="1"/>
  <c r="D487" i="1"/>
  <c r="E487" i="1"/>
  <c r="F487" i="1"/>
  <c r="G487" i="1"/>
  <c r="H487" i="1"/>
  <c r="I487" i="1"/>
  <c r="J487" i="1"/>
  <c r="B488" i="1"/>
  <c r="C488" i="1"/>
  <c r="D488" i="1"/>
  <c r="E488" i="1"/>
  <c r="F488" i="1"/>
  <c r="G488" i="1"/>
  <c r="H488" i="1"/>
  <c r="I488" i="1"/>
  <c r="J488" i="1"/>
  <c r="B489" i="1"/>
  <c r="C489" i="1"/>
  <c r="D489" i="1"/>
  <c r="E489" i="1"/>
  <c r="F489" i="1"/>
  <c r="G489" i="1"/>
  <c r="H489" i="1"/>
  <c r="I489" i="1"/>
  <c r="J489" i="1"/>
  <c r="B490" i="1"/>
  <c r="C490" i="1"/>
  <c r="D490" i="1"/>
  <c r="E490" i="1"/>
  <c r="F490" i="1"/>
  <c r="G490" i="1"/>
  <c r="H490" i="1"/>
  <c r="I490" i="1"/>
  <c r="J490" i="1"/>
  <c r="B491" i="1"/>
  <c r="C491" i="1"/>
  <c r="D491" i="1"/>
  <c r="E491" i="1"/>
  <c r="F491" i="1"/>
  <c r="G491" i="1"/>
  <c r="H491" i="1"/>
  <c r="I491" i="1"/>
  <c r="J491" i="1"/>
  <c r="B492" i="1"/>
  <c r="C492" i="1"/>
  <c r="D492" i="1"/>
  <c r="E492" i="1"/>
  <c r="F492" i="1"/>
  <c r="G492" i="1"/>
  <c r="H492" i="1"/>
  <c r="I492" i="1"/>
  <c r="J492" i="1"/>
  <c r="B493" i="1"/>
  <c r="C493" i="1"/>
  <c r="D493" i="1"/>
  <c r="E493" i="1"/>
  <c r="F493" i="1"/>
  <c r="G493" i="1"/>
  <c r="H493" i="1"/>
  <c r="I493" i="1"/>
  <c r="J493" i="1"/>
  <c r="B494" i="1"/>
  <c r="C494" i="1"/>
  <c r="D494" i="1"/>
  <c r="E494" i="1"/>
  <c r="F494" i="1"/>
  <c r="G494" i="1"/>
  <c r="H494" i="1"/>
  <c r="I494" i="1"/>
  <c r="J494" i="1"/>
  <c r="B495" i="1"/>
  <c r="C495" i="1"/>
  <c r="D495" i="1"/>
  <c r="E495" i="1"/>
  <c r="F495" i="1"/>
  <c r="G495" i="1"/>
  <c r="H495" i="1"/>
  <c r="I495" i="1"/>
  <c r="J495" i="1"/>
  <c r="B496" i="1"/>
  <c r="C496" i="1"/>
  <c r="D496" i="1"/>
  <c r="E496" i="1"/>
  <c r="F496" i="1"/>
  <c r="G496" i="1"/>
  <c r="H496" i="1"/>
  <c r="I496" i="1"/>
  <c r="J496" i="1"/>
  <c r="B497" i="1"/>
  <c r="C497" i="1"/>
  <c r="D497" i="1"/>
  <c r="E497" i="1"/>
  <c r="F497" i="1"/>
  <c r="G497" i="1"/>
  <c r="H497" i="1"/>
  <c r="I497" i="1"/>
  <c r="J497" i="1"/>
  <c r="B498" i="1"/>
  <c r="C498" i="1"/>
  <c r="D498" i="1"/>
  <c r="E498" i="1"/>
  <c r="F498" i="1"/>
  <c r="G498" i="1"/>
  <c r="H498" i="1"/>
  <c r="I498" i="1"/>
  <c r="J498" i="1"/>
  <c r="B499" i="1"/>
  <c r="C499" i="1"/>
  <c r="D499" i="1"/>
  <c r="E499" i="1"/>
  <c r="F499" i="1"/>
  <c r="G499" i="1"/>
  <c r="H499" i="1"/>
  <c r="I499" i="1"/>
  <c r="J499" i="1"/>
  <c r="B500" i="1"/>
  <c r="C500" i="1"/>
  <c r="D500" i="1"/>
  <c r="E500" i="1"/>
  <c r="F500" i="1"/>
  <c r="G500" i="1"/>
  <c r="H500" i="1"/>
  <c r="I500" i="1"/>
  <c r="J500" i="1"/>
  <c r="B3" i="1"/>
  <c r="C3" i="1"/>
  <c r="D3" i="1"/>
  <c r="E3" i="1"/>
  <c r="F3" i="1"/>
  <c r="G3" i="1"/>
  <c r="H3" i="1"/>
  <c r="I3" i="1"/>
  <c r="J3" i="1"/>
  <c r="C2" i="1"/>
  <c r="D2" i="1"/>
  <c r="E2" i="1"/>
  <c r="F2" i="1"/>
  <c r="G2" i="1"/>
  <c r="H2" i="1"/>
  <c r="I2" i="1"/>
  <c r="J2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EDDC75-9110-48BD-9265-76C45968242B}" keepAlive="1" name="Query - ECOMMERS SALES" description="Connection to the 'ECOMMERS SALES' query in the workbook." type="5" refreshedVersion="8" background="1" saveData="1">
    <dbPr connection="Provider=Microsoft.Mashup.OleDb.1;Data Source=$Workbook$;Location=&quot;ECOMMERS SALES&quot;;Extended Properties=&quot;&quot;" command="SELECT * FROM [ECOMMERS SALES]"/>
  </connection>
  <connection id="2" xr16:uid="{080A11CD-F0F5-416A-96BA-E22155789CBD}" keepAlive="1" name="Query - ECOMMERS SALES (2)" description="Connection to the 'ECOMMERS SALES (2)' query in the workbook." type="5" refreshedVersion="8" background="1" saveData="1">
    <dbPr connection="Provider=Microsoft.Mashup.OleDb.1;Data Source=$Workbook$;Location=&quot;ECOMMERS SALES (2)&quot;;Extended Properties=&quot;&quot;" command="SELECT * FROM [ECOMMERS SALES (2)]"/>
  </connection>
</connections>
</file>

<file path=xl/sharedStrings.xml><?xml version="1.0" encoding="utf-8"?>
<sst xmlns="http://schemas.openxmlformats.org/spreadsheetml/2006/main" count="6542" uniqueCount="546">
  <si>
    <t>Order_ID</t>
  </si>
  <si>
    <t>Order_Date</t>
  </si>
  <si>
    <t>Product_Name</t>
  </si>
  <si>
    <t>Category</t>
  </si>
  <si>
    <t>Quantity</t>
  </si>
  <si>
    <t>Unit_Price</t>
  </si>
  <si>
    <t>Total_Sales</t>
  </si>
  <si>
    <t>Region</t>
  </si>
  <si>
    <t>Customer_Type</t>
  </si>
  <si>
    <t>Payment_Method</t>
  </si>
  <si>
    <t>02-01-2025</t>
  </si>
  <si>
    <t>Laptop</t>
  </si>
  <si>
    <t>Electronics</t>
  </si>
  <si>
    <t>Chennai</t>
  </si>
  <si>
    <t>Premimum</t>
  </si>
  <si>
    <t>Card</t>
  </si>
  <si>
    <t>03-01-2025</t>
  </si>
  <si>
    <t>Headphones</t>
  </si>
  <si>
    <t>Delhi</t>
  </si>
  <si>
    <t>New</t>
  </si>
  <si>
    <t>UPI</t>
  </si>
  <si>
    <t>04-01-2025</t>
  </si>
  <si>
    <t>Shoes</t>
  </si>
  <si>
    <t>Fashion</t>
  </si>
  <si>
    <t>05-01-2025</t>
  </si>
  <si>
    <t>Watch</t>
  </si>
  <si>
    <t>Other</t>
  </si>
  <si>
    <t>Pune</t>
  </si>
  <si>
    <t>06-01-2025</t>
  </si>
  <si>
    <t>Mobile Case</t>
  </si>
  <si>
    <t>07-01-2025</t>
  </si>
  <si>
    <t>Tablet</t>
  </si>
  <si>
    <t>Returning</t>
  </si>
  <si>
    <t>COD</t>
  </si>
  <si>
    <t>08-01-2025</t>
  </si>
  <si>
    <t>Book</t>
  </si>
  <si>
    <t>Books</t>
  </si>
  <si>
    <t>Hyderabad</t>
  </si>
  <si>
    <t>09-01-2025</t>
  </si>
  <si>
    <t>Backpack</t>
  </si>
  <si>
    <t>Bangalore</t>
  </si>
  <si>
    <t>10-01-2025</t>
  </si>
  <si>
    <t>Smartwatch</t>
  </si>
  <si>
    <t>11-01-2025</t>
  </si>
  <si>
    <t>Water Bottle</t>
  </si>
  <si>
    <t>12-01-2025</t>
  </si>
  <si>
    <t>13-01-2025</t>
  </si>
  <si>
    <t>14-01-2025</t>
  </si>
  <si>
    <t>15-01-2025</t>
  </si>
  <si>
    <t>16-01-2025</t>
  </si>
  <si>
    <t>17-01-2025</t>
  </si>
  <si>
    <t>Mumbai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</si>
  <si>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</si>
  <si>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</si>
  <si>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</si>
  <si>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</si>
  <si>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</si>
  <si>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</si>
  <si>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</si>
  <si>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</si>
  <si>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</si>
  <si>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</si>
  <si>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</si>
  <si>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</si>
  <si>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</si>
  <si>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</si>
  <si>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</si>
  <si>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</si>
  <si>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</si>
  <si>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</si>
  <si>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</si>
  <si>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</si>
  <si>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</si>
  <si>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</si>
  <si>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</si>
  <si>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</si>
  <si>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</si>
  <si>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</si>
  <si>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</si>
  <si>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</si>
  <si>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</si>
  <si>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</si>
  <si>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</si>
  <si>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</si>
  <si>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</si>
  <si>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</si>
  <si>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</si>
  <si>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</si>
  <si>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</si>
  <si>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</si>
  <si>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</si>
  <si>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</si>
  <si>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</si>
  <si>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</si>
  <si>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</si>
  <si>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</si>
  <si>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</si>
  <si>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</si>
  <si>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</si>
  <si>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</si>
  <si>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</si>
  <si>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</si>
  <si>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</si>
  <si>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</si>
  <si>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</si>
  <si>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</si>
  <si>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</si>
  <si>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</si>
  <si>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</si>
  <si>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</si>
  <si>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</si>
  <si>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</si>
  <si>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</si>
  <si>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</si>
  <si>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</si>
  <si>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</si>
  <si>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</si>
  <si>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</si>
  <si>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</si>
  <si>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</si>
  <si>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</si>
  <si>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</si>
  <si>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</si>
  <si>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</si>
  <si>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</si>
  <si>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</si>
  <si>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</si>
  <si>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</si>
  <si>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</si>
  <si>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</si>
  <si>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</si>
  <si>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</si>
  <si>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</si>
  <si>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</si>
  <si>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</si>
  <si>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</si>
  <si>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</si>
  <si>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</si>
  <si>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</si>
  <si>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</si>
  <si>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</si>
  <si>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</si>
  <si>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</si>
  <si>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</si>
  <si>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</si>
  <si>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</si>
  <si>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</si>
  <si>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</si>
  <si>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</si>
  <si>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</si>
  <si>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</si>
  <si>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</si>
  <si>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</si>
  <si>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</si>
  <si>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</si>
  <si>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</si>
  <si>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</si>
  <si>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</si>
  <si>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</si>
  <si>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</si>
  <si>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</si>
  <si>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</si>
  <si>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</si>
  <si>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</si>
  <si>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</si>
  <si>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</si>
  <si>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</si>
  <si>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</si>
  <si>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</si>
  <si>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</si>
  <si>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</si>
  <si>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</si>
  <si>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</si>
  <si>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</si>
  <si>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</si>
  <si>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</si>
  <si>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</si>
  <si>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</si>
  <si>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</si>
  <si>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</si>
  <si>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</si>
  <si>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</si>
  <si>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</si>
  <si>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</si>
  <si>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</si>
  <si>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</si>
  <si>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</si>
  <si>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</si>
  <si>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</si>
  <si>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</si>
  <si>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</si>
  <si>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</si>
  <si>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</si>
  <si>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</si>
  <si>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</si>
  <si>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</si>
  <si>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</si>
  <si>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</si>
  <si>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</si>
  <si>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</si>
  <si>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</si>
  <si>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</si>
  <si>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</si>
  <si>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</si>
  <si>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</si>
  <si>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</si>
  <si>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</si>
  <si>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</si>
  <si>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</si>
  <si>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</si>
  <si>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</si>
  <si>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</si>
  <si>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</si>
  <si>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</si>
  <si>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</si>
  <si>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</si>
  <si>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</si>
  <si>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</si>
  <si>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</si>
  <si>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</si>
  <si>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</si>
  <si>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</si>
  <si>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</si>
  <si>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</si>
  <si>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</si>
  <si>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</si>
  <si>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</si>
  <si>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</si>
  <si>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</si>
  <si>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</si>
  <si>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</si>
  <si>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</si>
  <si>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</si>
  <si>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</si>
  <si>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</si>
  <si>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</si>
  <si>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</si>
  <si>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</si>
  <si>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</si>
  <si>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</si>
  <si>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</si>
  <si>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</si>
  <si>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</si>
  <si>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</si>
  <si>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</si>
  <si>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</si>
  <si>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</si>
  <si>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</si>
  <si>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</si>
  <si>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</si>
  <si>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</si>
  <si>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</si>
  <si>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</si>
  <si>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</si>
  <si>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</si>
  <si>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</si>
  <si>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</si>
  <si>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</si>
  <si>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</si>
  <si>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</si>
  <si>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</si>
  <si>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</si>
  <si>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</si>
  <si>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</si>
  <si>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</si>
  <si>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</si>
  <si>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</si>
  <si>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</si>
  <si>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</si>
  <si>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</si>
  <si>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</si>
  <si>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</si>
  <si>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</si>
  <si>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</si>
  <si>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</si>
  <si>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</si>
  <si>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</si>
  <si>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</si>
  <si>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</si>
  <si>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</si>
  <si>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</si>
  <si>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</si>
  <si>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</si>
  <si>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</si>
  <si>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</si>
  <si>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</si>
  <si>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</si>
  <si>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</si>
  <si>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</si>
  <si>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</si>
  <si>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</si>
  <si>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</si>
  <si>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</si>
  <si>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</si>
  <si>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</si>
  <si>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</si>
  <si>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</si>
  <si>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</si>
  <si>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</si>
  <si>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</si>
  <si>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</si>
  <si>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</si>
  <si>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</si>
  <si>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</si>
  <si>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</si>
  <si>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</si>
  <si>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</si>
  <si>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</si>
  <si>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</si>
  <si>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</si>
  <si>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</si>
  <si>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</si>
  <si>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</si>
  <si>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</si>
  <si>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</si>
  <si>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</si>
  <si>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</si>
  <si>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</si>
  <si>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</si>
  <si>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</si>
  <si>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</si>
  <si>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</si>
  <si>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</si>
  <si>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</si>
  <si>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</si>
  <si>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</si>
  <si>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</si>
  <si>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</si>
  <si>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</si>
  <si>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</si>
  <si>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</si>
  <si>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</si>
  <si>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</si>
  <si>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</si>
  <si>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</si>
  <si>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</si>
  <si>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</si>
  <si>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</si>
  <si>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</si>
  <si>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</si>
  <si>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</si>
  <si>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</si>
  <si>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</si>
  <si>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</si>
  <si>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</si>
  <si>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</si>
  <si>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</si>
  <si>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</si>
  <si>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</si>
  <si>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</si>
  <si>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</si>
  <si>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</si>
  <si>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</si>
  <si>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</si>
  <si>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</si>
  <si>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</si>
  <si>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</si>
  <si>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</si>
  <si>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</si>
  <si>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</si>
  <si>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</si>
  <si>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</si>
  <si>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</si>
  <si>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</si>
  <si>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</si>
  <si>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</si>
  <si>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</si>
  <si>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</si>
  <si>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</si>
  <si>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</si>
  <si>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</si>
  <si>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</si>
  <si>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</si>
  <si>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</si>
  <si>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</si>
  <si>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</si>
  <si>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</si>
  <si>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</si>
  <si>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</si>
  <si>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</si>
  <si>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</si>
  <si>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</si>
  <si>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</si>
  <si>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</si>
  <si>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</si>
  <si>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</si>
  <si>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</si>
  <si>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</si>
  <si>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</si>
  <si>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</si>
  <si>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</si>
  <si>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</si>
  <si>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</si>
  <si>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</si>
  <si>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</si>
  <si>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</si>
  <si>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</si>
  <si>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</si>
  <si>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</si>
  <si>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</si>
  <si>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</si>
  <si>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</si>
  <si>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</si>
  <si>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</si>
  <si>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</si>
  <si>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</si>
  <si>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</si>
  <si>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</si>
  <si>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</si>
  <si>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</si>
  <si>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</si>
  <si>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</si>
  <si>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</si>
  <si>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</si>
  <si>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</si>
  <si>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</si>
  <si>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</si>
  <si>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</si>
  <si>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</si>
  <si>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</si>
  <si>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</si>
  <si>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</si>
  <si>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</si>
  <si>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</si>
  <si>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</si>
  <si>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</si>
  <si>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</si>
  <si>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</si>
  <si>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</si>
  <si>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</si>
  <si>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</si>
  <si>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</si>
  <si>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</si>
  <si>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</si>
  <si>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</si>
  <si>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</si>
  <si>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</si>
  <si>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</si>
  <si>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</si>
  <si>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</si>
  <si>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</si>
  <si>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</si>
  <si>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</si>
  <si>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</si>
  <si>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</si>
  <si>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</si>
  <si>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</si>
  <si>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</si>
  <si>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</si>
  <si>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</si>
  <si>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</si>
  <si>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</si>
  <si>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</si>
  <si>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</si>
  <si>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</si>
  <si>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</si>
  <si>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</si>
  <si>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</si>
  <si>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</si>
  <si>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</si>
  <si>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</si>
  <si>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</si>
  <si>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</si>
  <si>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</si>
  <si>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</si>
  <si>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</si>
  <si>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</si>
  <si>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</si>
  <si>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</si>
  <si>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</si>
  <si>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</si>
  <si>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</si>
  <si>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</si>
  <si>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</si>
  <si>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</si>
  <si>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</si>
  <si>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</si>
  <si>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</si>
  <si>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</si>
  <si>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</si>
  <si>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</si>
  <si>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</si>
  <si>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</si>
  <si>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</si>
  <si>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</si>
  <si>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</si>
  <si>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</si>
  <si>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</si>
  <si>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</si>
  <si>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</si>
  <si>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</si>
  <si>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</si>
  <si>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</si>
  <si>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</si>
  <si>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</si>
  <si>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</si>
  <si>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</si>
  <si>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</si>
  <si>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</si>
  <si>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</si>
  <si>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</si>
  <si>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</si>
  <si>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</si>
  <si>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</si>
  <si>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</si>
  <si>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</si>
  <si>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</si>
  <si>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</si>
  <si>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</si>
  <si>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</si>
  <si>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</si>
  <si>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</si>
  <si>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</si>
  <si>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</si>
  <si>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</si>
  <si>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</si>
  <si>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</si>
  <si>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</si>
  <si>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</si>
  <si>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</si>
  <si>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</si>
  <si>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</si>
  <si>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</si>
  <si>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</si>
  <si>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</si>
  <si>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</si>
  <si>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</si>
  <si>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</si>
  <si>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</si>
  <si>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</si>
  <si>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</si>
  <si>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</si>
  <si>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</si>
  <si>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</si>
  <si>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</si>
  <si>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 xml:space="preserve"> </t>
  </si>
  <si>
    <t>Aggrigate function</t>
  </si>
  <si>
    <t>function name</t>
  </si>
  <si>
    <t>Sum</t>
  </si>
  <si>
    <t>Count</t>
  </si>
  <si>
    <t>min</t>
  </si>
  <si>
    <t>max</t>
  </si>
  <si>
    <t>avg</t>
  </si>
  <si>
    <t>Column1</t>
  </si>
  <si>
    <t>COUNTIF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</si>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</sst>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0" xfId="0" applyFont="1" applyFill="1"/>
    <xf numFmtId="0" fontId="0" fillId="4" borderId="2" xfId="0" applyFont="1" applyFill="1" applyBorder="1"/>
    <xf numFmtId="0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0" fontId="3" fillId="6" borderId="0" xfId="0" applyFont="1" applyFill="1"/>
    <xf numFmtId="0" fontId="0" fillId="3" borderId="0" xfId="0" applyFill="1"/>
    <xf numFmtId="0" fontId="0" fillId="3" borderId="0" xfId="0" applyNumberFormat="1" applyFill="1"/>
  </cellXfs>
  <cellStyles count="1">
    <cellStyle name="Normal" xfId="0" builtinId="0"/>
  </cellStyles>
  <dxfs count="38"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391A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7B20C5-746C-4BED-B6D8-D67771F1B254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Order_Date" tableColumnId="2"/>
      <queryTableField id="3" name="Product_Name" tableColumnId="3"/>
      <queryTableField id="4" name="Category" tableColumnId="4"/>
      <queryTableField id="5" name="Quantity" tableColumnId="5"/>
      <queryTableField id="6" name="Unit_Price" tableColumnId="6"/>
      <queryTableField id="7" name="Total_Sales" tableColumnId="7"/>
      <queryTableField id="8" name="Region" tableColumnId="8"/>
      <queryTableField id="9" name="Customer_Type" tableColumnId="9"/>
      <queryTableField id="10" name="Payment_Metho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2B9D3E4-7189-437D-85CF-A8B2E1CE2BB0}" autoFormatId="16" applyNumberFormats="0" applyBorderFormats="0" applyFontFormats="0" applyPatternFormats="0" applyAlignmentFormats="0" applyWidthHeightFormats="0">
  <queryTableRefresh nextId="14" unboundColumnsRight="3">
    <queryTableFields count="13">
      <queryTableField id="1" name="Order_ID" tableColumnId="1"/>
      <queryTableField id="2" name="Order_Date" tableColumnId="2"/>
      <queryTableField id="3" name="Product_Name" tableColumnId="3"/>
      <queryTableField id="4" name="Category" tableColumnId="4"/>
      <queryTableField id="5" name="Quantity" tableColumnId="5"/>
      <queryTableField id="6" name="Unit_Price" tableColumnId="6"/>
      <queryTableField id="7" name="Total_Sales" tableColumnId="7"/>
      <queryTableField id="8" name="Region" tableColumnId="8"/>
      <queryTableField id="9" name="Customer_Type" tableColumnId="9"/>
      <queryTableField id="10" name="Payment_Method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A84EB0-8C25-4FF7-A7A2-C3B56C974DFB}" name="ECOMMERS_SALES" displayName="ECOMMERS_SALES" ref="A1:J500" tableType="queryTable" totalsRowShown="0">
  <autoFilter ref="A1:J500" xr:uid="{9EA84EB0-8C25-4FF7-A7A2-C3B56C974DFB}"/>
  <tableColumns count="10">
    <tableColumn id="1" xr3:uid="{7F1AF1FB-2548-4DDB-A2F1-E13396738B69}" uniqueName="1" name="Order_ID" queryTableFieldId="1"/>
    <tableColumn id="2" xr3:uid="{12D554E1-C35B-45C5-A0BE-AEA727B8E8FC}" uniqueName="2" name="Order_Date" queryTableFieldId="2" dataDxfId="37"/>
    <tableColumn id="3" xr3:uid="{07A2B54D-273D-48C9-B398-2908F40BA9DC}" uniqueName="3" name="Product_Name" queryTableFieldId="3" dataDxfId="36"/>
    <tableColumn id="4" xr3:uid="{74B4251C-417E-49D6-AF96-CF3C6F50BFC5}" uniqueName="4" name="Category" queryTableFieldId="4" dataDxfId="35"/>
    <tableColumn id="5" xr3:uid="{FDB3B880-C773-424E-9B9C-76D0EB380C99}" uniqueName="5" name="Quantity" queryTableFieldId="5"/>
    <tableColumn id="6" xr3:uid="{17F621A7-5259-41EC-98D7-647B3668E601}" uniqueName="6" name="Unit_Price" queryTableFieldId="6"/>
    <tableColumn id="7" xr3:uid="{6BB72EDA-1708-401D-AD31-3E8C02095DF3}" uniqueName="7" name="Total_Sales" queryTableFieldId="7"/>
    <tableColumn id="8" xr3:uid="{E8AFC428-B462-4224-A6A8-E6FF93815C3F}" uniqueName="8" name="Region" queryTableFieldId="8" dataDxfId="34"/>
    <tableColumn id="9" xr3:uid="{CA3FB3AC-D563-487B-BEEF-9C6D9447EBA1}" uniqueName="9" name="Customer_Type" queryTableFieldId="9" dataDxfId="33"/>
    <tableColumn id="10" xr3:uid="{AF7BC0DD-FD5B-4389-A7A9-611740D192CC}" uniqueName="10" name="Payment_Method" queryTableFieldId="10" dataDxf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C80A40-C496-4DE9-BB75-892F34B709B9}" name="ECOMMERS_SALES3" displayName="ECOMMERS_SALES3" ref="A1:M500" tableType="queryTable" totalsRowShown="0">
  <autoFilter ref="A1:M500" xr:uid="{A3C80A40-C496-4DE9-BB75-892F34B709B9}"/>
  <tableColumns count="13">
    <tableColumn id="1" xr3:uid="{F4FF9B2D-9220-4957-9D0C-AE8E5E7CE9A4}" uniqueName="1" name="Order_ID" queryTableFieldId="1"/>
    <tableColumn id="2" xr3:uid="{3647442D-C9FC-4642-9586-A9121E11B5F1}" uniqueName="2" name="Order_Date" queryTableFieldId="2" dataDxfId="31"/>
    <tableColumn id="3" xr3:uid="{1D1D5686-18FA-40F4-B0E1-C4CD0549014A}" uniqueName="3" name="Product_Name" queryTableFieldId="3" dataDxfId="30"/>
    <tableColumn id="4" xr3:uid="{D173F2DF-9CD8-4665-A773-98427109A800}" uniqueName="4" name="Category" queryTableFieldId="4" dataDxfId="29"/>
    <tableColumn id="5" xr3:uid="{ABAE1119-F1A9-44AD-B315-0694E2C41639}" uniqueName="5" name="Quantity" queryTableFieldId="5"/>
    <tableColumn id="6" xr3:uid="{13313E7A-FBC8-45B0-BAFB-899A547A5828}" uniqueName="6" name="Unit_Price" queryTableFieldId="6"/>
    <tableColumn id="7" xr3:uid="{0F9A7050-A622-46BB-A300-A72975AF25B6}" uniqueName="7" name="Total_Sales" queryTableFieldId="7"/>
    <tableColumn id="8" xr3:uid="{12981980-D6A1-4421-BBB0-2D8AC865FBF4}" uniqueName="8" name="Region" queryTableFieldId="8" dataDxfId="28"/>
    <tableColumn id="9" xr3:uid="{31BAD03C-81F3-40BF-A390-1E27213FC8AA}" uniqueName="9" name="Customer_Type" queryTableFieldId="9" dataDxfId="27"/>
    <tableColumn id="10" xr3:uid="{ACA49BA4-CE76-41BD-AB09-62703EA04878}" uniqueName="10" name="Payment_Method" queryTableFieldId="10" dataDxfId="26"/>
    <tableColumn id="11" xr3:uid="{3D544857-8371-4EA9-A247-8B8CCC79A4E8}" uniqueName="11" name="Aggrigate function" queryTableFieldId="11" dataDxfId="25">
      <calculatedColumnFormula>SUM(F:F)</calculatedColumnFormula>
    </tableColumn>
    <tableColumn id="12" xr3:uid="{8C87A116-C3BF-4D25-953E-E16D3C6D08C8}" uniqueName="12" name="function name" queryTableFieldId="12" dataDxfId="1"/>
    <tableColumn id="13" xr3:uid="{B0FEFF74-AFC2-4E16-9539-42F9A2AFEB21}" uniqueName="13" name="Column1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4FC6-4F59-4762-B5D7-B4002713020A}">
  <dimension ref="A1:J500"/>
  <sheetViews>
    <sheetView tabSelected="1" workbookViewId="0">
      <selection activeCell="K7" sqref="K7"/>
    </sheetView>
  </sheetViews>
  <sheetFormatPr defaultRowHeight="14.5" x14ac:dyDescent="0.35"/>
  <cols>
    <col min="1" max="1" width="10.81640625" bestFit="1" customWidth="1"/>
    <col min="2" max="2" width="13" bestFit="1" customWidth="1"/>
    <col min="3" max="3" width="15.7265625" bestFit="1" customWidth="1"/>
    <col min="4" max="4" width="10.54296875" bestFit="1" customWidth="1"/>
    <col min="5" max="5" width="10.453125" bestFit="1" customWidth="1"/>
    <col min="6" max="6" width="11.7265625" bestFit="1" customWidth="1"/>
    <col min="7" max="7" width="12.54296875" bestFit="1" customWidth="1"/>
    <col min="8" max="8" width="10" bestFit="1" customWidth="1"/>
    <col min="9" max="9" width="16.36328125" bestFit="1" customWidth="1"/>
    <col min="10" max="10" width="18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1001</v>
      </c>
      <c r="B2" t="s">
        <v>10</v>
      </c>
      <c r="C2" t="s">
        <v>11</v>
      </c>
      <c r="D2" t="s">
        <v>12</v>
      </c>
      <c r="E2">
        <v>2</v>
      </c>
      <c r="F2">
        <v>50353</v>
      </c>
      <c r="G2">
        <v>100706</v>
      </c>
      <c r="H2" t="s">
        <v>13</v>
      </c>
      <c r="I2" t="s">
        <v>14</v>
      </c>
      <c r="J2" t="s">
        <v>15</v>
      </c>
    </row>
    <row r="3" spans="1:10" x14ac:dyDescent="0.35">
      <c r="A3">
        <v>1002</v>
      </c>
      <c r="B3" t="s">
        <v>16</v>
      </c>
      <c r="C3" t="s">
        <v>17</v>
      </c>
      <c r="D3" t="s">
        <v>12</v>
      </c>
      <c r="E3">
        <v>2</v>
      </c>
      <c r="F3">
        <v>2008</v>
      </c>
      <c r="G3">
        <v>4016</v>
      </c>
      <c r="H3" t="s">
        <v>18</v>
      </c>
      <c r="I3" t="s">
        <v>19</v>
      </c>
      <c r="J3" t="s">
        <v>20</v>
      </c>
    </row>
    <row r="4" spans="1:10" x14ac:dyDescent="0.35">
      <c r="A4">
        <v>1003</v>
      </c>
      <c r="B4" t="s">
        <v>21</v>
      </c>
      <c r="C4" t="s">
        <v>22</v>
      </c>
      <c r="D4" t="s">
        <v>23</v>
      </c>
      <c r="E4">
        <v>1</v>
      </c>
      <c r="F4">
        <v>4736</v>
      </c>
      <c r="G4">
        <v>4736</v>
      </c>
      <c r="H4" t="s">
        <v>13</v>
      </c>
      <c r="I4" t="s">
        <v>19</v>
      </c>
      <c r="J4" t="s">
        <v>20</v>
      </c>
    </row>
    <row r="5" spans="1:10" x14ac:dyDescent="0.35">
      <c r="A5">
        <v>1004</v>
      </c>
      <c r="B5" t="s">
        <v>24</v>
      </c>
      <c r="C5" t="s">
        <v>25</v>
      </c>
      <c r="D5" t="s">
        <v>26</v>
      </c>
      <c r="E5">
        <v>2</v>
      </c>
      <c r="F5">
        <v>10072</v>
      </c>
      <c r="G5">
        <v>20144</v>
      </c>
      <c r="H5" t="s">
        <v>27</v>
      </c>
      <c r="I5" t="s">
        <v>14</v>
      </c>
      <c r="J5" t="s">
        <v>15</v>
      </c>
    </row>
    <row r="6" spans="1:10" x14ac:dyDescent="0.35">
      <c r="A6">
        <v>1005</v>
      </c>
      <c r="B6" t="s">
        <v>28</v>
      </c>
      <c r="C6" t="s">
        <v>29</v>
      </c>
      <c r="D6" t="s">
        <v>26</v>
      </c>
      <c r="E6">
        <v>2</v>
      </c>
      <c r="F6">
        <v>920</v>
      </c>
      <c r="G6">
        <v>1840</v>
      </c>
      <c r="H6" t="s">
        <v>27</v>
      </c>
      <c r="I6" t="s">
        <v>19</v>
      </c>
      <c r="J6" t="s">
        <v>20</v>
      </c>
    </row>
    <row r="7" spans="1:10" x14ac:dyDescent="0.35">
      <c r="A7">
        <v>1006</v>
      </c>
      <c r="B7" t="s">
        <v>30</v>
      </c>
      <c r="C7" t="s">
        <v>31</v>
      </c>
      <c r="D7" t="s">
        <v>12</v>
      </c>
      <c r="E7">
        <v>1</v>
      </c>
      <c r="F7">
        <v>13225</v>
      </c>
      <c r="G7">
        <v>13225</v>
      </c>
      <c r="H7" t="s">
        <v>18</v>
      </c>
      <c r="I7" t="s">
        <v>32</v>
      </c>
      <c r="J7" t="s">
        <v>33</v>
      </c>
    </row>
    <row r="8" spans="1:10" x14ac:dyDescent="0.35">
      <c r="A8">
        <v>1007</v>
      </c>
      <c r="B8" t="s">
        <v>34</v>
      </c>
      <c r="C8" t="s">
        <v>35</v>
      </c>
      <c r="D8" t="s">
        <v>36</v>
      </c>
      <c r="E8">
        <v>3</v>
      </c>
      <c r="F8">
        <v>621</v>
      </c>
      <c r="G8">
        <v>1863</v>
      </c>
      <c r="H8" t="s">
        <v>37</v>
      </c>
      <c r="I8" t="s">
        <v>14</v>
      </c>
      <c r="J8" t="s">
        <v>20</v>
      </c>
    </row>
    <row r="9" spans="1:10" x14ac:dyDescent="0.35">
      <c r="A9">
        <v>1008</v>
      </c>
      <c r="B9" t="s">
        <v>38</v>
      </c>
      <c r="C9" t="s">
        <v>39</v>
      </c>
      <c r="D9" t="s">
        <v>23</v>
      </c>
      <c r="E9">
        <v>2</v>
      </c>
      <c r="F9">
        <v>905</v>
      </c>
      <c r="G9">
        <v>1810</v>
      </c>
      <c r="H9" t="s">
        <v>40</v>
      </c>
      <c r="I9" t="s">
        <v>19</v>
      </c>
      <c r="J9" t="s">
        <v>33</v>
      </c>
    </row>
    <row r="10" spans="1:10" x14ac:dyDescent="0.35">
      <c r="A10">
        <v>1009</v>
      </c>
      <c r="B10" t="s">
        <v>41</v>
      </c>
      <c r="C10" t="s">
        <v>42</v>
      </c>
      <c r="D10" t="s">
        <v>12</v>
      </c>
      <c r="E10">
        <v>1</v>
      </c>
      <c r="F10">
        <v>8563</v>
      </c>
      <c r="G10">
        <v>8563</v>
      </c>
      <c r="H10" t="s">
        <v>37</v>
      </c>
      <c r="I10" t="s">
        <v>32</v>
      </c>
      <c r="J10" t="s">
        <v>15</v>
      </c>
    </row>
    <row r="11" spans="1:10" x14ac:dyDescent="0.35">
      <c r="A11">
        <v>1010</v>
      </c>
      <c r="B11" t="s">
        <v>43</v>
      </c>
      <c r="C11" t="s">
        <v>44</v>
      </c>
      <c r="D11" t="s">
        <v>26</v>
      </c>
      <c r="E11">
        <v>1</v>
      </c>
      <c r="F11">
        <v>268</v>
      </c>
      <c r="G11">
        <v>268</v>
      </c>
      <c r="H11" t="s">
        <v>13</v>
      </c>
      <c r="I11" t="s">
        <v>19</v>
      </c>
      <c r="J11" t="s">
        <v>20</v>
      </c>
    </row>
    <row r="12" spans="1:10" x14ac:dyDescent="0.35">
      <c r="A12">
        <v>1011</v>
      </c>
      <c r="B12" t="s">
        <v>45</v>
      </c>
      <c r="C12" t="s">
        <v>11</v>
      </c>
      <c r="D12" t="s">
        <v>12</v>
      </c>
      <c r="E12">
        <v>2</v>
      </c>
      <c r="F12">
        <v>54018</v>
      </c>
      <c r="G12">
        <v>108036</v>
      </c>
      <c r="H12" t="s">
        <v>37</v>
      </c>
      <c r="I12" t="s">
        <v>32</v>
      </c>
      <c r="J12" t="s">
        <v>15</v>
      </c>
    </row>
    <row r="13" spans="1:10" x14ac:dyDescent="0.35">
      <c r="A13">
        <v>1012</v>
      </c>
      <c r="B13" t="s">
        <v>46</v>
      </c>
      <c r="C13" t="s">
        <v>17</v>
      </c>
      <c r="D13" t="s">
        <v>12</v>
      </c>
      <c r="E13">
        <v>3</v>
      </c>
      <c r="F13">
        <v>4762</v>
      </c>
      <c r="G13">
        <v>14286</v>
      </c>
      <c r="H13" t="s">
        <v>18</v>
      </c>
      <c r="I13" t="s">
        <v>32</v>
      </c>
      <c r="J13" t="s">
        <v>20</v>
      </c>
    </row>
    <row r="14" spans="1:10" x14ac:dyDescent="0.35">
      <c r="A14">
        <v>1013</v>
      </c>
      <c r="B14" t="s">
        <v>47</v>
      </c>
      <c r="C14" t="s">
        <v>22</v>
      </c>
      <c r="D14" t="s">
        <v>23</v>
      </c>
      <c r="E14">
        <v>2</v>
      </c>
      <c r="F14">
        <v>4880</v>
      </c>
      <c r="G14">
        <v>9760</v>
      </c>
      <c r="H14" t="s">
        <v>27</v>
      </c>
      <c r="I14" t="s">
        <v>32</v>
      </c>
      <c r="J14" t="s">
        <v>33</v>
      </c>
    </row>
    <row r="15" spans="1:10" x14ac:dyDescent="0.35">
      <c r="A15">
        <v>1014</v>
      </c>
      <c r="B15" t="s">
        <v>48</v>
      </c>
      <c r="C15" t="s">
        <v>25</v>
      </c>
      <c r="D15" t="s">
        <v>26</v>
      </c>
      <c r="E15">
        <v>1</v>
      </c>
      <c r="F15">
        <v>8508</v>
      </c>
      <c r="G15">
        <v>8508</v>
      </c>
      <c r="H15" t="s">
        <v>13</v>
      </c>
      <c r="I15" t="s">
        <v>32</v>
      </c>
      <c r="J15" t="s">
        <v>15</v>
      </c>
    </row>
    <row r="16" spans="1:10" x14ac:dyDescent="0.35">
      <c r="A16">
        <v>1015</v>
      </c>
      <c r="B16" t="s">
        <v>49</v>
      </c>
      <c r="C16" t="s">
        <v>29</v>
      </c>
      <c r="D16" t="s">
        <v>26</v>
      </c>
      <c r="E16">
        <v>4</v>
      </c>
      <c r="F16">
        <v>119</v>
      </c>
      <c r="G16">
        <v>476</v>
      </c>
      <c r="H16" t="s">
        <v>13</v>
      </c>
      <c r="I16" t="s">
        <v>19</v>
      </c>
      <c r="J16" t="s">
        <v>20</v>
      </c>
    </row>
    <row r="17" spans="1:10" x14ac:dyDescent="0.35">
      <c r="A17">
        <v>1016</v>
      </c>
      <c r="B17" t="s">
        <v>50</v>
      </c>
      <c r="C17" t="s">
        <v>31</v>
      </c>
      <c r="D17" t="s">
        <v>12</v>
      </c>
      <c r="E17">
        <v>1</v>
      </c>
      <c r="F17">
        <v>37589</v>
      </c>
      <c r="G17">
        <v>37589</v>
      </c>
      <c r="H17" t="s">
        <v>51</v>
      </c>
      <c r="I17" t="s">
        <v>19</v>
      </c>
      <c r="J17" t="s">
        <v>33</v>
      </c>
    </row>
    <row r="18" spans="1:10" x14ac:dyDescent="0.35">
      <c r="A18">
        <v>1017</v>
      </c>
      <c r="B18" t="s">
        <v>52</v>
      </c>
      <c r="C18" t="s">
        <v>35</v>
      </c>
      <c r="D18" t="s">
        <v>36</v>
      </c>
      <c r="E18">
        <v>1</v>
      </c>
      <c r="F18">
        <v>781</v>
      </c>
      <c r="G18">
        <v>781</v>
      </c>
      <c r="H18" t="s">
        <v>18</v>
      </c>
      <c r="I18" t="s">
        <v>14</v>
      </c>
      <c r="J18" t="s">
        <v>20</v>
      </c>
    </row>
    <row r="19" spans="1:10" x14ac:dyDescent="0.35">
      <c r="A19">
        <v>1018</v>
      </c>
      <c r="B19" t="s">
        <v>53</v>
      </c>
      <c r="C19" t="s">
        <v>39</v>
      </c>
      <c r="D19" t="s">
        <v>23</v>
      </c>
      <c r="E19">
        <v>5</v>
      </c>
      <c r="F19">
        <v>809</v>
      </c>
      <c r="G19">
        <v>4045</v>
      </c>
      <c r="H19" t="s">
        <v>51</v>
      </c>
      <c r="I19" t="s">
        <v>14</v>
      </c>
      <c r="J19" t="s">
        <v>20</v>
      </c>
    </row>
    <row r="20" spans="1:10" x14ac:dyDescent="0.35">
      <c r="A20">
        <v>1019</v>
      </c>
      <c r="B20" t="s">
        <v>54</v>
      </c>
      <c r="C20" t="s">
        <v>42</v>
      </c>
      <c r="D20" t="s">
        <v>12</v>
      </c>
      <c r="E20">
        <v>2</v>
      </c>
      <c r="F20">
        <v>4129</v>
      </c>
      <c r="G20">
        <v>8258</v>
      </c>
      <c r="H20" t="s">
        <v>27</v>
      </c>
      <c r="I20" t="s">
        <v>14</v>
      </c>
      <c r="J20" t="s">
        <v>20</v>
      </c>
    </row>
    <row r="21" spans="1:10" x14ac:dyDescent="0.35">
      <c r="A21">
        <v>1020</v>
      </c>
      <c r="B21" t="s">
        <v>55</v>
      </c>
      <c r="C21" t="s">
        <v>44</v>
      </c>
      <c r="D21" t="s">
        <v>26</v>
      </c>
      <c r="E21">
        <v>4</v>
      </c>
      <c r="F21">
        <v>168</v>
      </c>
      <c r="G21">
        <v>672</v>
      </c>
      <c r="H21" t="s">
        <v>18</v>
      </c>
      <c r="I21" t="s">
        <v>32</v>
      </c>
      <c r="J21" t="s">
        <v>33</v>
      </c>
    </row>
    <row r="22" spans="1:10" x14ac:dyDescent="0.35">
      <c r="A22">
        <v>1021</v>
      </c>
      <c r="B22" t="s">
        <v>56</v>
      </c>
      <c r="C22" t="s">
        <v>11</v>
      </c>
      <c r="D22" t="s">
        <v>12</v>
      </c>
      <c r="E22">
        <v>2</v>
      </c>
      <c r="F22">
        <v>68516</v>
      </c>
      <c r="G22">
        <v>137032</v>
      </c>
      <c r="H22" t="s">
        <v>27</v>
      </c>
      <c r="I22" t="s">
        <v>14</v>
      </c>
      <c r="J22" t="s">
        <v>33</v>
      </c>
    </row>
    <row r="23" spans="1:10" x14ac:dyDescent="0.35">
      <c r="A23">
        <v>1022</v>
      </c>
      <c r="B23" t="s">
        <v>57</v>
      </c>
      <c r="C23" t="s">
        <v>17</v>
      </c>
      <c r="D23" t="s">
        <v>12</v>
      </c>
      <c r="E23">
        <v>1</v>
      </c>
      <c r="F23">
        <v>3985</v>
      </c>
      <c r="G23">
        <v>3985</v>
      </c>
      <c r="H23" t="s">
        <v>51</v>
      </c>
      <c r="I23" t="s">
        <v>19</v>
      </c>
      <c r="J23" t="s">
        <v>15</v>
      </c>
    </row>
    <row r="24" spans="1:10" x14ac:dyDescent="0.35">
      <c r="A24">
        <v>1023</v>
      </c>
      <c r="B24" t="s">
        <v>58</v>
      </c>
      <c r="C24" t="s">
        <v>22</v>
      </c>
      <c r="D24" t="s">
        <v>23</v>
      </c>
      <c r="E24">
        <v>1</v>
      </c>
      <c r="F24">
        <v>2380</v>
      </c>
      <c r="G24">
        <v>2380</v>
      </c>
      <c r="H24" t="s">
        <v>51</v>
      </c>
      <c r="I24" t="s">
        <v>32</v>
      </c>
      <c r="J24" t="s">
        <v>20</v>
      </c>
    </row>
    <row r="25" spans="1:10" x14ac:dyDescent="0.35">
      <c r="A25">
        <v>1024</v>
      </c>
      <c r="B25" t="s">
        <v>59</v>
      </c>
      <c r="C25" t="s">
        <v>25</v>
      </c>
      <c r="D25" t="s">
        <v>26</v>
      </c>
      <c r="E25">
        <v>3</v>
      </c>
      <c r="F25">
        <v>13522</v>
      </c>
      <c r="G25">
        <v>40566</v>
      </c>
      <c r="H25" t="s">
        <v>40</v>
      </c>
      <c r="I25" t="s">
        <v>19</v>
      </c>
      <c r="J25" t="s">
        <v>20</v>
      </c>
    </row>
    <row r="26" spans="1:10" x14ac:dyDescent="0.35">
      <c r="A26">
        <v>1025</v>
      </c>
      <c r="B26" t="s">
        <v>60</v>
      </c>
      <c r="C26" t="s">
        <v>29</v>
      </c>
      <c r="D26" t="s">
        <v>26</v>
      </c>
      <c r="E26">
        <v>1</v>
      </c>
      <c r="F26">
        <v>340</v>
      </c>
      <c r="G26">
        <v>340</v>
      </c>
      <c r="H26" t="s">
        <v>27</v>
      </c>
      <c r="I26" t="s">
        <v>14</v>
      </c>
      <c r="J26" t="s">
        <v>33</v>
      </c>
    </row>
    <row r="27" spans="1:10" x14ac:dyDescent="0.35">
      <c r="A27">
        <v>1026</v>
      </c>
      <c r="B27" t="s">
        <v>61</v>
      </c>
      <c r="C27" t="s">
        <v>31</v>
      </c>
      <c r="D27" t="s">
        <v>12</v>
      </c>
      <c r="E27">
        <v>1</v>
      </c>
      <c r="F27">
        <v>34153</v>
      </c>
      <c r="G27">
        <v>34153</v>
      </c>
      <c r="H27" t="s">
        <v>40</v>
      </c>
      <c r="I27" t="s">
        <v>32</v>
      </c>
      <c r="J27" t="s">
        <v>20</v>
      </c>
    </row>
    <row r="28" spans="1:10" x14ac:dyDescent="0.35">
      <c r="A28">
        <v>1027</v>
      </c>
      <c r="B28" t="s">
        <v>62</v>
      </c>
      <c r="C28" t="s">
        <v>35</v>
      </c>
      <c r="D28" t="s">
        <v>36</v>
      </c>
      <c r="E28">
        <v>1</v>
      </c>
      <c r="F28">
        <v>884</v>
      </c>
      <c r="G28">
        <v>884</v>
      </c>
      <c r="H28" t="s">
        <v>18</v>
      </c>
      <c r="I28" t="s">
        <v>32</v>
      </c>
      <c r="J28" t="s">
        <v>20</v>
      </c>
    </row>
    <row r="29" spans="1:10" x14ac:dyDescent="0.35">
      <c r="A29">
        <v>1028</v>
      </c>
      <c r="B29" t="s">
        <v>63</v>
      </c>
      <c r="C29" t="s">
        <v>39</v>
      </c>
      <c r="D29" t="s">
        <v>23</v>
      </c>
      <c r="E29">
        <v>1</v>
      </c>
      <c r="F29">
        <v>1961</v>
      </c>
      <c r="G29">
        <v>1961</v>
      </c>
      <c r="H29" t="s">
        <v>27</v>
      </c>
      <c r="I29" t="s">
        <v>19</v>
      </c>
      <c r="J29" t="s">
        <v>33</v>
      </c>
    </row>
    <row r="30" spans="1:10" x14ac:dyDescent="0.35">
      <c r="A30">
        <v>1029</v>
      </c>
      <c r="B30" t="s">
        <v>64</v>
      </c>
      <c r="C30" t="s">
        <v>42</v>
      </c>
      <c r="D30" t="s">
        <v>12</v>
      </c>
      <c r="E30">
        <v>1</v>
      </c>
      <c r="F30">
        <v>7608</v>
      </c>
      <c r="G30">
        <v>7608</v>
      </c>
      <c r="H30" t="s">
        <v>27</v>
      </c>
      <c r="I30" t="s">
        <v>14</v>
      </c>
      <c r="J30" t="s">
        <v>20</v>
      </c>
    </row>
    <row r="31" spans="1:10" x14ac:dyDescent="0.35">
      <c r="A31">
        <v>1030</v>
      </c>
      <c r="B31" t="s">
        <v>65</v>
      </c>
      <c r="C31" t="s">
        <v>44</v>
      </c>
      <c r="D31" t="s">
        <v>26</v>
      </c>
      <c r="E31">
        <v>5</v>
      </c>
      <c r="F31">
        <v>126</v>
      </c>
      <c r="G31">
        <v>630</v>
      </c>
      <c r="H31" t="s">
        <v>37</v>
      </c>
      <c r="I31" t="s">
        <v>14</v>
      </c>
      <c r="J31" t="s">
        <v>33</v>
      </c>
    </row>
    <row r="32" spans="1:10" x14ac:dyDescent="0.35">
      <c r="A32">
        <v>1031</v>
      </c>
      <c r="B32" t="s">
        <v>66</v>
      </c>
      <c r="C32" t="s">
        <v>11</v>
      </c>
      <c r="D32" t="s">
        <v>12</v>
      </c>
      <c r="E32">
        <v>1</v>
      </c>
      <c r="F32">
        <v>68088</v>
      </c>
      <c r="G32">
        <v>68088</v>
      </c>
      <c r="H32" t="s">
        <v>37</v>
      </c>
      <c r="I32" t="s">
        <v>19</v>
      </c>
      <c r="J32" t="s">
        <v>33</v>
      </c>
    </row>
    <row r="33" spans="1:10" x14ac:dyDescent="0.35">
      <c r="A33">
        <v>1032</v>
      </c>
      <c r="B33" t="s">
        <v>67</v>
      </c>
      <c r="C33" t="s">
        <v>17</v>
      </c>
      <c r="D33" t="s">
        <v>12</v>
      </c>
      <c r="E33">
        <v>3</v>
      </c>
      <c r="F33">
        <v>2723</v>
      </c>
      <c r="G33">
        <v>8169</v>
      </c>
      <c r="H33" t="s">
        <v>18</v>
      </c>
      <c r="I33" t="s">
        <v>19</v>
      </c>
      <c r="J33" t="s">
        <v>20</v>
      </c>
    </row>
    <row r="34" spans="1:10" x14ac:dyDescent="0.35">
      <c r="A34">
        <v>1033</v>
      </c>
      <c r="B34" t="s">
        <v>68</v>
      </c>
      <c r="C34" t="s">
        <v>22</v>
      </c>
      <c r="D34" t="s">
        <v>23</v>
      </c>
      <c r="E34">
        <v>1</v>
      </c>
      <c r="F34">
        <v>4157</v>
      </c>
      <c r="G34">
        <v>4157</v>
      </c>
      <c r="H34" t="s">
        <v>51</v>
      </c>
      <c r="I34" t="s">
        <v>19</v>
      </c>
      <c r="J34" t="s">
        <v>33</v>
      </c>
    </row>
    <row r="35" spans="1:10" x14ac:dyDescent="0.35">
      <c r="A35">
        <v>1034</v>
      </c>
      <c r="B35" t="s">
        <v>69</v>
      </c>
      <c r="C35" t="s">
        <v>25</v>
      </c>
      <c r="D35" t="s">
        <v>26</v>
      </c>
      <c r="E35">
        <v>3</v>
      </c>
      <c r="F35">
        <v>3589</v>
      </c>
      <c r="G35">
        <v>10767</v>
      </c>
      <c r="H35" t="s">
        <v>27</v>
      </c>
      <c r="I35" t="s">
        <v>32</v>
      </c>
      <c r="J35" t="s">
        <v>20</v>
      </c>
    </row>
    <row r="36" spans="1:10" x14ac:dyDescent="0.35">
      <c r="A36">
        <v>1035</v>
      </c>
      <c r="B36" t="s">
        <v>70</v>
      </c>
      <c r="C36" t="s">
        <v>29</v>
      </c>
      <c r="D36" t="s">
        <v>26</v>
      </c>
      <c r="E36">
        <v>3</v>
      </c>
      <c r="F36">
        <v>414</v>
      </c>
      <c r="G36">
        <v>1242</v>
      </c>
      <c r="H36" t="s">
        <v>18</v>
      </c>
      <c r="I36" t="s">
        <v>32</v>
      </c>
      <c r="J36" t="s">
        <v>20</v>
      </c>
    </row>
    <row r="37" spans="1:10" x14ac:dyDescent="0.35">
      <c r="A37">
        <v>1036</v>
      </c>
      <c r="B37" t="s">
        <v>71</v>
      </c>
      <c r="C37" t="s">
        <v>31</v>
      </c>
      <c r="D37" t="s">
        <v>12</v>
      </c>
      <c r="E37">
        <v>2</v>
      </c>
      <c r="F37">
        <v>15134</v>
      </c>
      <c r="G37">
        <v>30268</v>
      </c>
      <c r="H37" t="s">
        <v>40</v>
      </c>
      <c r="I37" t="s">
        <v>32</v>
      </c>
      <c r="J37" t="s">
        <v>15</v>
      </c>
    </row>
    <row r="38" spans="1:10" x14ac:dyDescent="0.35">
      <c r="A38">
        <v>1037</v>
      </c>
      <c r="B38" t="s">
        <v>72</v>
      </c>
      <c r="C38" t="s">
        <v>35</v>
      </c>
      <c r="D38" t="s">
        <v>36</v>
      </c>
      <c r="E38">
        <v>5</v>
      </c>
      <c r="F38">
        <v>605</v>
      </c>
      <c r="G38">
        <v>3025</v>
      </c>
      <c r="H38" t="s">
        <v>37</v>
      </c>
      <c r="I38" t="s">
        <v>32</v>
      </c>
      <c r="J38" t="s">
        <v>15</v>
      </c>
    </row>
    <row r="39" spans="1:10" x14ac:dyDescent="0.35">
      <c r="A39">
        <v>1038</v>
      </c>
      <c r="B39" t="s">
        <v>73</v>
      </c>
      <c r="C39" t="s">
        <v>39</v>
      </c>
      <c r="D39" t="s">
        <v>23</v>
      </c>
      <c r="E39">
        <v>3</v>
      </c>
      <c r="F39">
        <v>1857</v>
      </c>
      <c r="G39">
        <v>5571</v>
      </c>
      <c r="H39" t="s">
        <v>18</v>
      </c>
      <c r="I39" t="s">
        <v>32</v>
      </c>
      <c r="J39" t="s">
        <v>15</v>
      </c>
    </row>
    <row r="40" spans="1:10" x14ac:dyDescent="0.35">
      <c r="A40">
        <v>1039</v>
      </c>
      <c r="B40" t="s">
        <v>74</v>
      </c>
      <c r="C40" t="s">
        <v>42</v>
      </c>
      <c r="D40" t="s">
        <v>12</v>
      </c>
      <c r="E40">
        <v>1</v>
      </c>
      <c r="F40">
        <v>5190</v>
      </c>
      <c r="G40">
        <v>5190</v>
      </c>
      <c r="H40" t="s">
        <v>13</v>
      </c>
      <c r="I40" t="s">
        <v>32</v>
      </c>
      <c r="J40" t="s">
        <v>33</v>
      </c>
    </row>
    <row r="41" spans="1:10" x14ac:dyDescent="0.35">
      <c r="A41">
        <v>1040</v>
      </c>
      <c r="B41" t="s">
        <v>75</v>
      </c>
      <c r="C41" t="s">
        <v>44</v>
      </c>
      <c r="D41" t="s">
        <v>26</v>
      </c>
      <c r="E41">
        <v>4</v>
      </c>
      <c r="F41">
        <v>338</v>
      </c>
      <c r="G41">
        <v>1352</v>
      </c>
      <c r="H41" t="s">
        <v>40</v>
      </c>
      <c r="I41" t="s">
        <v>14</v>
      </c>
      <c r="J41" t="s">
        <v>33</v>
      </c>
    </row>
    <row r="42" spans="1:10" x14ac:dyDescent="0.35">
      <c r="A42">
        <v>1041</v>
      </c>
      <c r="B42" t="s">
        <v>76</v>
      </c>
      <c r="C42" t="s">
        <v>11</v>
      </c>
      <c r="D42" t="s">
        <v>12</v>
      </c>
      <c r="E42">
        <v>1</v>
      </c>
      <c r="F42">
        <v>52555</v>
      </c>
      <c r="G42">
        <v>52555</v>
      </c>
      <c r="H42" t="s">
        <v>37</v>
      </c>
      <c r="I42" t="s">
        <v>19</v>
      </c>
      <c r="J42" t="s">
        <v>33</v>
      </c>
    </row>
    <row r="43" spans="1:10" x14ac:dyDescent="0.35">
      <c r="A43">
        <v>1042</v>
      </c>
      <c r="B43" t="s">
        <v>77</v>
      </c>
      <c r="C43" t="s">
        <v>17</v>
      </c>
      <c r="D43" t="s">
        <v>12</v>
      </c>
      <c r="E43">
        <v>1</v>
      </c>
      <c r="F43">
        <v>2478</v>
      </c>
      <c r="G43">
        <v>2478</v>
      </c>
      <c r="H43" t="s">
        <v>18</v>
      </c>
      <c r="I43" t="s">
        <v>32</v>
      </c>
      <c r="J43" t="s">
        <v>20</v>
      </c>
    </row>
    <row r="44" spans="1:10" x14ac:dyDescent="0.35">
      <c r="A44">
        <v>1043</v>
      </c>
      <c r="B44" t="s">
        <v>78</v>
      </c>
      <c r="C44" t="s">
        <v>22</v>
      </c>
      <c r="D44" t="s">
        <v>23</v>
      </c>
      <c r="E44">
        <v>2</v>
      </c>
      <c r="F44">
        <v>4368</v>
      </c>
      <c r="G44">
        <v>8736</v>
      </c>
      <c r="H44" t="s">
        <v>13</v>
      </c>
      <c r="I44" t="s">
        <v>32</v>
      </c>
      <c r="J44" t="s">
        <v>33</v>
      </c>
    </row>
    <row r="45" spans="1:10" x14ac:dyDescent="0.35">
      <c r="A45">
        <v>1044</v>
      </c>
      <c r="B45" t="s">
        <v>79</v>
      </c>
      <c r="C45" t="s">
        <v>25</v>
      </c>
      <c r="D45" t="s">
        <v>26</v>
      </c>
      <c r="E45">
        <v>5</v>
      </c>
      <c r="F45">
        <v>4294</v>
      </c>
      <c r="G45">
        <v>21470</v>
      </c>
      <c r="H45" t="s">
        <v>27</v>
      </c>
      <c r="I45" t="s">
        <v>32</v>
      </c>
      <c r="J45" t="s">
        <v>20</v>
      </c>
    </row>
    <row r="46" spans="1:10" x14ac:dyDescent="0.35">
      <c r="A46">
        <v>1045</v>
      </c>
      <c r="B46" t="s">
        <v>80</v>
      </c>
      <c r="C46" t="s">
        <v>29</v>
      </c>
      <c r="D46" t="s">
        <v>26</v>
      </c>
      <c r="E46">
        <v>5</v>
      </c>
      <c r="F46">
        <v>877</v>
      </c>
      <c r="G46">
        <v>4385</v>
      </c>
      <c r="H46" t="s">
        <v>13</v>
      </c>
      <c r="I46" t="s">
        <v>14</v>
      </c>
      <c r="J46" t="s">
        <v>15</v>
      </c>
    </row>
    <row r="47" spans="1:10" x14ac:dyDescent="0.35">
      <c r="A47">
        <v>1046</v>
      </c>
      <c r="B47" t="s">
        <v>81</v>
      </c>
      <c r="C47" t="s">
        <v>31</v>
      </c>
      <c r="D47" t="s">
        <v>12</v>
      </c>
      <c r="E47">
        <v>2</v>
      </c>
      <c r="F47">
        <v>35059</v>
      </c>
      <c r="G47">
        <v>70118</v>
      </c>
      <c r="H47" t="s">
        <v>37</v>
      </c>
      <c r="I47" t="s">
        <v>14</v>
      </c>
      <c r="J47" t="s">
        <v>20</v>
      </c>
    </row>
    <row r="48" spans="1:10" x14ac:dyDescent="0.35">
      <c r="A48">
        <v>1047</v>
      </c>
      <c r="B48" t="s">
        <v>82</v>
      </c>
      <c r="C48" t="s">
        <v>35</v>
      </c>
      <c r="D48" t="s">
        <v>36</v>
      </c>
      <c r="E48">
        <v>3</v>
      </c>
      <c r="F48">
        <v>935</v>
      </c>
      <c r="G48">
        <v>2805</v>
      </c>
      <c r="H48" t="s">
        <v>13</v>
      </c>
      <c r="I48" t="s">
        <v>19</v>
      </c>
      <c r="J48" t="s">
        <v>20</v>
      </c>
    </row>
    <row r="49" spans="1:10" x14ac:dyDescent="0.35">
      <c r="A49">
        <v>1048</v>
      </c>
      <c r="B49" t="s">
        <v>83</v>
      </c>
      <c r="C49" t="s">
        <v>39</v>
      </c>
      <c r="D49" t="s">
        <v>23</v>
      </c>
      <c r="E49">
        <v>1</v>
      </c>
      <c r="F49">
        <v>1978</v>
      </c>
      <c r="G49">
        <v>1978</v>
      </c>
      <c r="H49" t="s">
        <v>13</v>
      </c>
      <c r="I49" t="s">
        <v>19</v>
      </c>
      <c r="J49" t="s">
        <v>15</v>
      </c>
    </row>
    <row r="50" spans="1:10" x14ac:dyDescent="0.35">
      <c r="A50">
        <v>1049</v>
      </c>
      <c r="B50" t="s">
        <v>84</v>
      </c>
      <c r="C50" t="s">
        <v>42</v>
      </c>
      <c r="D50" t="s">
        <v>12</v>
      </c>
      <c r="E50">
        <v>2</v>
      </c>
      <c r="F50">
        <v>14326</v>
      </c>
      <c r="G50">
        <v>28652</v>
      </c>
      <c r="H50" t="s">
        <v>51</v>
      </c>
      <c r="I50" t="s">
        <v>14</v>
      </c>
      <c r="J50" t="s">
        <v>15</v>
      </c>
    </row>
    <row r="51" spans="1:10" x14ac:dyDescent="0.35">
      <c r="A51">
        <v>1050</v>
      </c>
      <c r="B51" t="s">
        <v>85</v>
      </c>
      <c r="C51" t="s">
        <v>44</v>
      </c>
      <c r="D51" t="s">
        <v>26</v>
      </c>
      <c r="E51">
        <v>3</v>
      </c>
      <c r="F51">
        <v>100</v>
      </c>
      <c r="G51">
        <v>300</v>
      </c>
      <c r="H51" t="s">
        <v>51</v>
      </c>
      <c r="I51" t="s">
        <v>19</v>
      </c>
      <c r="J51" t="s">
        <v>15</v>
      </c>
    </row>
    <row r="52" spans="1:10" x14ac:dyDescent="0.35">
      <c r="A52">
        <v>1051</v>
      </c>
      <c r="B52" t="s">
        <v>86</v>
      </c>
      <c r="C52" t="s">
        <v>11</v>
      </c>
      <c r="D52" t="s">
        <v>12</v>
      </c>
      <c r="E52">
        <v>2</v>
      </c>
      <c r="F52">
        <v>54846</v>
      </c>
      <c r="G52">
        <v>109692</v>
      </c>
      <c r="H52" t="s">
        <v>13</v>
      </c>
      <c r="I52" t="s">
        <v>19</v>
      </c>
      <c r="J52" t="s">
        <v>33</v>
      </c>
    </row>
    <row r="53" spans="1:10" x14ac:dyDescent="0.35">
      <c r="A53">
        <v>1052</v>
      </c>
      <c r="B53" t="s">
        <v>87</v>
      </c>
      <c r="C53" t="s">
        <v>17</v>
      </c>
      <c r="D53" t="s">
        <v>12</v>
      </c>
      <c r="E53">
        <v>3</v>
      </c>
      <c r="F53">
        <v>4855</v>
      </c>
      <c r="G53">
        <v>14565</v>
      </c>
      <c r="H53" t="s">
        <v>13</v>
      </c>
      <c r="I53" t="s">
        <v>19</v>
      </c>
      <c r="J53" t="s">
        <v>15</v>
      </c>
    </row>
    <row r="54" spans="1:10" x14ac:dyDescent="0.35">
      <c r="A54">
        <v>1053</v>
      </c>
      <c r="B54" t="s">
        <v>88</v>
      </c>
      <c r="C54" t="s">
        <v>22</v>
      </c>
      <c r="D54" t="s">
        <v>23</v>
      </c>
      <c r="E54">
        <v>3</v>
      </c>
      <c r="F54">
        <v>1718</v>
      </c>
      <c r="G54">
        <v>5154</v>
      </c>
      <c r="H54" t="s">
        <v>37</v>
      </c>
      <c r="I54" t="s">
        <v>14</v>
      </c>
      <c r="J54" t="s">
        <v>20</v>
      </c>
    </row>
    <row r="55" spans="1:10" x14ac:dyDescent="0.35">
      <c r="A55">
        <v>1054</v>
      </c>
      <c r="B55" t="s">
        <v>89</v>
      </c>
      <c r="C55" t="s">
        <v>25</v>
      </c>
      <c r="D55" t="s">
        <v>26</v>
      </c>
      <c r="E55">
        <v>5</v>
      </c>
      <c r="F55">
        <v>17415</v>
      </c>
      <c r="G55">
        <v>87075</v>
      </c>
      <c r="H55" t="s">
        <v>27</v>
      </c>
      <c r="I55" t="s">
        <v>19</v>
      </c>
      <c r="J55" t="s">
        <v>33</v>
      </c>
    </row>
    <row r="56" spans="1:10" x14ac:dyDescent="0.35">
      <c r="A56">
        <v>1055</v>
      </c>
      <c r="B56" t="s">
        <v>90</v>
      </c>
      <c r="C56" t="s">
        <v>29</v>
      </c>
      <c r="D56" t="s">
        <v>26</v>
      </c>
      <c r="E56">
        <v>3</v>
      </c>
      <c r="F56">
        <v>661</v>
      </c>
      <c r="G56">
        <v>1983</v>
      </c>
      <c r="H56" t="s">
        <v>51</v>
      </c>
      <c r="I56" t="s">
        <v>19</v>
      </c>
      <c r="J56" t="s">
        <v>20</v>
      </c>
    </row>
    <row r="57" spans="1:10" x14ac:dyDescent="0.35">
      <c r="A57">
        <v>1056</v>
      </c>
      <c r="B57" t="s">
        <v>91</v>
      </c>
      <c r="C57" t="s">
        <v>31</v>
      </c>
      <c r="D57" t="s">
        <v>12</v>
      </c>
      <c r="E57">
        <v>2</v>
      </c>
      <c r="F57">
        <v>30075</v>
      </c>
      <c r="G57">
        <v>60150</v>
      </c>
      <c r="H57" t="s">
        <v>27</v>
      </c>
      <c r="I57" t="s">
        <v>32</v>
      </c>
      <c r="J57" t="s">
        <v>15</v>
      </c>
    </row>
    <row r="58" spans="1:10" x14ac:dyDescent="0.35">
      <c r="A58">
        <v>1057</v>
      </c>
      <c r="B58" t="s">
        <v>92</v>
      </c>
      <c r="C58" t="s">
        <v>35</v>
      </c>
      <c r="D58" t="s">
        <v>36</v>
      </c>
      <c r="E58">
        <v>3</v>
      </c>
      <c r="F58">
        <v>387</v>
      </c>
      <c r="G58">
        <v>1161</v>
      </c>
      <c r="H58" t="s">
        <v>37</v>
      </c>
      <c r="I58" t="s">
        <v>14</v>
      </c>
      <c r="J58" t="s">
        <v>15</v>
      </c>
    </row>
    <row r="59" spans="1:10" x14ac:dyDescent="0.35">
      <c r="A59">
        <v>1058</v>
      </c>
      <c r="B59" t="s">
        <v>93</v>
      </c>
      <c r="C59" t="s">
        <v>39</v>
      </c>
      <c r="D59" t="s">
        <v>23</v>
      </c>
      <c r="E59">
        <v>5</v>
      </c>
      <c r="F59">
        <v>1084</v>
      </c>
      <c r="G59">
        <v>5420</v>
      </c>
      <c r="H59" t="s">
        <v>51</v>
      </c>
      <c r="I59" t="s">
        <v>19</v>
      </c>
      <c r="J59" t="s">
        <v>20</v>
      </c>
    </row>
    <row r="60" spans="1:10" x14ac:dyDescent="0.35">
      <c r="A60">
        <v>1059</v>
      </c>
      <c r="B60" t="s">
        <v>94</v>
      </c>
      <c r="C60" t="s">
        <v>42</v>
      </c>
      <c r="D60" t="s">
        <v>12</v>
      </c>
      <c r="E60">
        <v>1</v>
      </c>
      <c r="F60">
        <v>11559</v>
      </c>
      <c r="G60">
        <v>11559</v>
      </c>
      <c r="H60" t="s">
        <v>51</v>
      </c>
      <c r="I60" t="s">
        <v>19</v>
      </c>
      <c r="J60" t="s">
        <v>15</v>
      </c>
    </row>
    <row r="61" spans="1:10" x14ac:dyDescent="0.35">
      <c r="A61">
        <v>1060</v>
      </c>
      <c r="B61" t="s">
        <v>95</v>
      </c>
      <c r="C61" t="s">
        <v>44</v>
      </c>
      <c r="D61" t="s">
        <v>26</v>
      </c>
      <c r="E61">
        <v>5</v>
      </c>
      <c r="F61">
        <v>717</v>
      </c>
      <c r="G61">
        <v>3585</v>
      </c>
      <c r="H61" t="s">
        <v>18</v>
      </c>
      <c r="I61" t="s">
        <v>14</v>
      </c>
      <c r="J61" t="s">
        <v>20</v>
      </c>
    </row>
    <row r="62" spans="1:10" x14ac:dyDescent="0.35">
      <c r="A62">
        <v>1061</v>
      </c>
      <c r="B62" t="s">
        <v>96</v>
      </c>
      <c r="C62" t="s">
        <v>11</v>
      </c>
      <c r="D62" t="s">
        <v>12</v>
      </c>
      <c r="E62">
        <v>2</v>
      </c>
      <c r="F62">
        <v>51590</v>
      </c>
      <c r="G62">
        <v>103180</v>
      </c>
      <c r="H62" t="s">
        <v>27</v>
      </c>
      <c r="I62" t="s">
        <v>32</v>
      </c>
      <c r="J62" t="s">
        <v>33</v>
      </c>
    </row>
    <row r="63" spans="1:10" x14ac:dyDescent="0.35">
      <c r="A63">
        <v>1062</v>
      </c>
      <c r="B63" t="s">
        <v>97</v>
      </c>
      <c r="C63" t="s">
        <v>17</v>
      </c>
      <c r="D63" t="s">
        <v>12</v>
      </c>
      <c r="E63">
        <v>2</v>
      </c>
      <c r="F63">
        <v>2555</v>
      </c>
      <c r="G63">
        <v>5110</v>
      </c>
      <c r="H63" t="s">
        <v>40</v>
      </c>
      <c r="I63" t="s">
        <v>19</v>
      </c>
      <c r="J63" t="s">
        <v>20</v>
      </c>
    </row>
    <row r="64" spans="1:10" x14ac:dyDescent="0.35">
      <c r="A64">
        <v>1063</v>
      </c>
      <c r="B64" t="s">
        <v>98</v>
      </c>
      <c r="C64" t="s">
        <v>22</v>
      </c>
      <c r="D64" t="s">
        <v>23</v>
      </c>
      <c r="E64">
        <v>3</v>
      </c>
      <c r="F64">
        <v>3601</v>
      </c>
      <c r="G64">
        <v>10803</v>
      </c>
      <c r="H64" t="s">
        <v>27</v>
      </c>
      <c r="I64" t="s">
        <v>19</v>
      </c>
      <c r="J64" t="s">
        <v>33</v>
      </c>
    </row>
    <row r="65" spans="1:10" x14ac:dyDescent="0.35">
      <c r="A65">
        <v>1064</v>
      </c>
      <c r="B65" t="s">
        <v>99</v>
      </c>
      <c r="C65" t="s">
        <v>25</v>
      </c>
      <c r="D65" t="s">
        <v>26</v>
      </c>
      <c r="E65">
        <v>5</v>
      </c>
      <c r="F65">
        <v>9924</v>
      </c>
      <c r="G65">
        <v>49620</v>
      </c>
      <c r="H65" t="s">
        <v>13</v>
      </c>
      <c r="I65" t="s">
        <v>14</v>
      </c>
      <c r="J65" t="s">
        <v>20</v>
      </c>
    </row>
    <row r="66" spans="1:10" x14ac:dyDescent="0.35">
      <c r="A66">
        <v>1065</v>
      </c>
      <c r="B66" t="s">
        <v>100</v>
      </c>
      <c r="C66" t="s">
        <v>29</v>
      </c>
      <c r="D66" t="s">
        <v>26</v>
      </c>
      <c r="E66">
        <v>5</v>
      </c>
      <c r="F66">
        <v>511</v>
      </c>
      <c r="G66">
        <v>2555</v>
      </c>
      <c r="H66" t="s">
        <v>18</v>
      </c>
      <c r="I66" t="s">
        <v>32</v>
      </c>
      <c r="J66" t="s">
        <v>33</v>
      </c>
    </row>
    <row r="67" spans="1:10" x14ac:dyDescent="0.35">
      <c r="A67">
        <v>1066</v>
      </c>
      <c r="B67" t="s">
        <v>101</v>
      </c>
      <c r="C67" t="s">
        <v>31</v>
      </c>
      <c r="D67" t="s">
        <v>12</v>
      </c>
      <c r="E67">
        <v>1</v>
      </c>
      <c r="F67">
        <v>29247</v>
      </c>
      <c r="G67">
        <v>29247</v>
      </c>
      <c r="H67" t="s">
        <v>18</v>
      </c>
      <c r="I67" t="s">
        <v>19</v>
      </c>
      <c r="J67" t="s">
        <v>33</v>
      </c>
    </row>
    <row r="68" spans="1:10" x14ac:dyDescent="0.35">
      <c r="A68">
        <v>1067</v>
      </c>
      <c r="B68" t="s">
        <v>102</v>
      </c>
      <c r="C68" t="s">
        <v>35</v>
      </c>
      <c r="D68" t="s">
        <v>36</v>
      </c>
      <c r="E68">
        <v>4</v>
      </c>
      <c r="F68">
        <v>699</v>
      </c>
      <c r="G68">
        <v>2796</v>
      </c>
      <c r="H68" t="s">
        <v>27</v>
      </c>
      <c r="I68" t="s">
        <v>14</v>
      </c>
      <c r="J68" t="s">
        <v>20</v>
      </c>
    </row>
    <row r="69" spans="1:10" x14ac:dyDescent="0.35">
      <c r="A69">
        <v>1068</v>
      </c>
      <c r="B69" t="s">
        <v>103</v>
      </c>
      <c r="C69" t="s">
        <v>39</v>
      </c>
      <c r="D69" t="s">
        <v>23</v>
      </c>
      <c r="E69">
        <v>5</v>
      </c>
      <c r="F69">
        <v>566</v>
      </c>
      <c r="G69">
        <v>2830</v>
      </c>
      <c r="H69" t="s">
        <v>37</v>
      </c>
      <c r="I69" t="s">
        <v>32</v>
      </c>
      <c r="J69" t="s">
        <v>33</v>
      </c>
    </row>
    <row r="70" spans="1:10" x14ac:dyDescent="0.35">
      <c r="A70">
        <v>1069</v>
      </c>
      <c r="B70" t="s">
        <v>104</v>
      </c>
      <c r="C70" t="s">
        <v>42</v>
      </c>
      <c r="D70" t="s">
        <v>12</v>
      </c>
      <c r="E70">
        <v>1</v>
      </c>
      <c r="F70">
        <v>5629</v>
      </c>
      <c r="G70">
        <v>5629</v>
      </c>
      <c r="H70" t="s">
        <v>40</v>
      </c>
      <c r="I70" t="s">
        <v>14</v>
      </c>
      <c r="J70" t="s">
        <v>20</v>
      </c>
    </row>
    <row r="71" spans="1:10" x14ac:dyDescent="0.35">
      <c r="A71">
        <v>1070</v>
      </c>
      <c r="B71" t="s">
        <v>105</v>
      </c>
      <c r="C71" t="s">
        <v>44</v>
      </c>
      <c r="D71" t="s">
        <v>26</v>
      </c>
      <c r="E71">
        <v>3</v>
      </c>
      <c r="F71">
        <v>579</v>
      </c>
      <c r="G71">
        <v>1737</v>
      </c>
      <c r="H71" t="s">
        <v>18</v>
      </c>
      <c r="I71" t="s">
        <v>32</v>
      </c>
      <c r="J71" t="s">
        <v>15</v>
      </c>
    </row>
    <row r="72" spans="1:10" x14ac:dyDescent="0.35">
      <c r="A72">
        <v>1071</v>
      </c>
      <c r="B72" t="s">
        <v>106</v>
      </c>
      <c r="C72" t="s">
        <v>11</v>
      </c>
      <c r="D72" t="s">
        <v>12</v>
      </c>
      <c r="E72">
        <v>2</v>
      </c>
      <c r="F72">
        <v>58940</v>
      </c>
      <c r="G72">
        <v>117880</v>
      </c>
      <c r="H72" t="s">
        <v>27</v>
      </c>
      <c r="I72" t="s">
        <v>19</v>
      </c>
      <c r="J72" t="s">
        <v>15</v>
      </c>
    </row>
    <row r="73" spans="1:10" x14ac:dyDescent="0.35">
      <c r="A73">
        <v>1072</v>
      </c>
      <c r="B73" t="s">
        <v>107</v>
      </c>
      <c r="C73" t="s">
        <v>17</v>
      </c>
      <c r="D73" t="s">
        <v>12</v>
      </c>
      <c r="E73">
        <v>1</v>
      </c>
      <c r="F73">
        <v>3615</v>
      </c>
      <c r="G73">
        <v>3615</v>
      </c>
      <c r="H73" t="s">
        <v>27</v>
      </c>
      <c r="I73" t="s">
        <v>19</v>
      </c>
      <c r="J73" t="s">
        <v>20</v>
      </c>
    </row>
    <row r="74" spans="1:10" x14ac:dyDescent="0.35">
      <c r="A74">
        <v>1073</v>
      </c>
      <c r="B74" t="s">
        <v>108</v>
      </c>
      <c r="C74" t="s">
        <v>22</v>
      </c>
      <c r="D74" t="s">
        <v>23</v>
      </c>
      <c r="E74">
        <v>3</v>
      </c>
      <c r="F74">
        <v>3472</v>
      </c>
      <c r="G74">
        <v>10416</v>
      </c>
      <c r="H74" t="s">
        <v>18</v>
      </c>
      <c r="I74" t="s">
        <v>14</v>
      </c>
      <c r="J74" t="s">
        <v>33</v>
      </c>
    </row>
    <row r="75" spans="1:10" x14ac:dyDescent="0.35">
      <c r="A75">
        <v>1074</v>
      </c>
      <c r="B75" t="s">
        <v>109</v>
      </c>
      <c r="C75" t="s">
        <v>25</v>
      </c>
      <c r="D75" t="s">
        <v>26</v>
      </c>
      <c r="E75">
        <v>1</v>
      </c>
      <c r="F75">
        <v>2976</v>
      </c>
      <c r="G75">
        <v>2976</v>
      </c>
      <c r="H75" t="s">
        <v>18</v>
      </c>
      <c r="I75" t="s">
        <v>32</v>
      </c>
      <c r="J75" t="s">
        <v>15</v>
      </c>
    </row>
    <row r="76" spans="1:10" x14ac:dyDescent="0.35">
      <c r="A76">
        <v>1075</v>
      </c>
      <c r="B76" t="s">
        <v>110</v>
      </c>
      <c r="C76" t="s">
        <v>29</v>
      </c>
      <c r="D76" t="s">
        <v>26</v>
      </c>
      <c r="E76">
        <v>3</v>
      </c>
      <c r="F76">
        <v>359</v>
      </c>
      <c r="G76">
        <v>1077</v>
      </c>
      <c r="H76" t="s">
        <v>40</v>
      </c>
      <c r="I76" t="s">
        <v>14</v>
      </c>
      <c r="J76" t="s">
        <v>15</v>
      </c>
    </row>
    <row r="77" spans="1:10" x14ac:dyDescent="0.35">
      <c r="A77">
        <v>1076</v>
      </c>
      <c r="B77" t="s">
        <v>111</v>
      </c>
      <c r="C77" t="s">
        <v>31</v>
      </c>
      <c r="D77" t="s">
        <v>12</v>
      </c>
      <c r="E77">
        <v>1</v>
      </c>
      <c r="F77">
        <v>20775</v>
      </c>
      <c r="G77">
        <v>20775</v>
      </c>
      <c r="H77" t="s">
        <v>40</v>
      </c>
      <c r="I77" t="s">
        <v>19</v>
      </c>
      <c r="J77" t="s">
        <v>33</v>
      </c>
    </row>
    <row r="78" spans="1:10" x14ac:dyDescent="0.35">
      <c r="A78">
        <v>1077</v>
      </c>
      <c r="B78" t="s">
        <v>112</v>
      </c>
      <c r="C78" t="s">
        <v>35</v>
      </c>
      <c r="D78" t="s">
        <v>36</v>
      </c>
      <c r="E78">
        <v>4</v>
      </c>
      <c r="F78">
        <v>920</v>
      </c>
      <c r="G78">
        <v>3680</v>
      </c>
      <c r="H78" t="s">
        <v>18</v>
      </c>
      <c r="I78" t="s">
        <v>19</v>
      </c>
      <c r="J78" t="s">
        <v>15</v>
      </c>
    </row>
    <row r="79" spans="1:10" x14ac:dyDescent="0.35">
      <c r="A79">
        <v>1078</v>
      </c>
      <c r="B79" t="s">
        <v>113</v>
      </c>
      <c r="C79" t="s">
        <v>39</v>
      </c>
      <c r="D79" t="s">
        <v>23</v>
      </c>
      <c r="E79">
        <v>2</v>
      </c>
      <c r="F79">
        <v>907</v>
      </c>
      <c r="G79">
        <v>1814</v>
      </c>
      <c r="H79" t="s">
        <v>27</v>
      </c>
      <c r="I79" t="s">
        <v>14</v>
      </c>
      <c r="J79" t="s">
        <v>20</v>
      </c>
    </row>
    <row r="80" spans="1:10" x14ac:dyDescent="0.35">
      <c r="A80">
        <v>1079</v>
      </c>
      <c r="B80" t="s">
        <v>114</v>
      </c>
      <c r="C80" t="s">
        <v>42</v>
      </c>
      <c r="D80" t="s">
        <v>12</v>
      </c>
      <c r="E80">
        <v>1</v>
      </c>
      <c r="F80">
        <v>13388</v>
      </c>
      <c r="G80">
        <v>13388</v>
      </c>
      <c r="H80" t="s">
        <v>27</v>
      </c>
      <c r="I80" t="s">
        <v>32</v>
      </c>
      <c r="J80" t="s">
        <v>33</v>
      </c>
    </row>
    <row r="81" spans="1:10" x14ac:dyDescent="0.35">
      <c r="A81">
        <v>1080</v>
      </c>
      <c r="B81" t="s">
        <v>115</v>
      </c>
      <c r="C81" t="s">
        <v>44</v>
      </c>
      <c r="D81" t="s">
        <v>26</v>
      </c>
      <c r="E81">
        <v>2</v>
      </c>
      <c r="F81">
        <v>372</v>
      </c>
      <c r="G81">
        <v>744</v>
      </c>
      <c r="H81" t="s">
        <v>37</v>
      </c>
      <c r="I81" t="s">
        <v>19</v>
      </c>
      <c r="J81" t="s">
        <v>20</v>
      </c>
    </row>
    <row r="82" spans="1:10" x14ac:dyDescent="0.35">
      <c r="A82">
        <v>1081</v>
      </c>
      <c r="B82" t="s">
        <v>116</v>
      </c>
      <c r="C82" t="s">
        <v>11</v>
      </c>
      <c r="D82" t="s">
        <v>12</v>
      </c>
      <c r="E82">
        <v>1</v>
      </c>
      <c r="F82">
        <v>44531</v>
      </c>
      <c r="G82">
        <v>44531</v>
      </c>
      <c r="H82" t="s">
        <v>18</v>
      </c>
      <c r="I82" t="s">
        <v>14</v>
      </c>
      <c r="J82" t="s">
        <v>33</v>
      </c>
    </row>
    <row r="83" spans="1:10" x14ac:dyDescent="0.35">
      <c r="A83">
        <v>1082</v>
      </c>
      <c r="B83" t="s">
        <v>117</v>
      </c>
      <c r="C83" t="s">
        <v>17</v>
      </c>
      <c r="D83" t="s">
        <v>12</v>
      </c>
      <c r="E83">
        <v>2</v>
      </c>
      <c r="F83">
        <v>1963</v>
      </c>
      <c r="G83">
        <v>3926</v>
      </c>
      <c r="H83" t="s">
        <v>37</v>
      </c>
      <c r="I83" t="s">
        <v>14</v>
      </c>
      <c r="J83" t="s">
        <v>15</v>
      </c>
    </row>
    <row r="84" spans="1:10" x14ac:dyDescent="0.35">
      <c r="A84">
        <v>1083</v>
      </c>
      <c r="B84" t="s">
        <v>118</v>
      </c>
      <c r="C84" t="s">
        <v>22</v>
      </c>
      <c r="D84" t="s">
        <v>23</v>
      </c>
      <c r="E84">
        <v>1</v>
      </c>
      <c r="F84">
        <v>2483</v>
      </c>
      <c r="G84">
        <v>2483</v>
      </c>
      <c r="H84" t="s">
        <v>27</v>
      </c>
      <c r="I84" t="s">
        <v>19</v>
      </c>
      <c r="J84" t="s">
        <v>15</v>
      </c>
    </row>
    <row r="85" spans="1:10" x14ac:dyDescent="0.35">
      <c r="A85">
        <v>1084</v>
      </c>
      <c r="B85" t="s">
        <v>119</v>
      </c>
      <c r="C85" t="s">
        <v>25</v>
      </c>
      <c r="D85" t="s">
        <v>26</v>
      </c>
      <c r="E85">
        <v>5</v>
      </c>
      <c r="F85">
        <v>18677</v>
      </c>
      <c r="G85">
        <v>93385</v>
      </c>
      <c r="H85" t="s">
        <v>51</v>
      </c>
      <c r="I85" t="s">
        <v>19</v>
      </c>
      <c r="J85" t="s">
        <v>33</v>
      </c>
    </row>
    <row r="86" spans="1:10" x14ac:dyDescent="0.35">
      <c r="A86">
        <v>1085</v>
      </c>
      <c r="B86" t="s">
        <v>120</v>
      </c>
      <c r="C86" t="s">
        <v>29</v>
      </c>
      <c r="D86" t="s">
        <v>26</v>
      </c>
      <c r="E86">
        <v>1</v>
      </c>
      <c r="F86">
        <v>583</v>
      </c>
      <c r="G86">
        <v>583</v>
      </c>
      <c r="H86" t="s">
        <v>27</v>
      </c>
      <c r="I86" t="s">
        <v>19</v>
      </c>
      <c r="J86" t="s">
        <v>15</v>
      </c>
    </row>
    <row r="87" spans="1:10" x14ac:dyDescent="0.35">
      <c r="A87">
        <v>1086</v>
      </c>
      <c r="B87" t="s">
        <v>121</v>
      </c>
      <c r="C87" t="s">
        <v>31</v>
      </c>
      <c r="D87" t="s">
        <v>12</v>
      </c>
      <c r="E87">
        <v>1</v>
      </c>
      <c r="F87">
        <v>34775</v>
      </c>
      <c r="G87">
        <v>34775</v>
      </c>
      <c r="H87" t="s">
        <v>27</v>
      </c>
      <c r="I87" t="s">
        <v>32</v>
      </c>
      <c r="J87" t="s">
        <v>15</v>
      </c>
    </row>
    <row r="88" spans="1:10" x14ac:dyDescent="0.35">
      <c r="A88">
        <v>1087</v>
      </c>
      <c r="B88" t="s">
        <v>122</v>
      </c>
      <c r="C88" t="s">
        <v>35</v>
      </c>
      <c r="D88" t="s">
        <v>36</v>
      </c>
      <c r="E88">
        <v>3</v>
      </c>
      <c r="F88">
        <v>635</v>
      </c>
      <c r="G88">
        <v>1905</v>
      </c>
      <c r="H88" t="s">
        <v>27</v>
      </c>
      <c r="I88" t="s">
        <v>19</v>
      </c>
      <c r="J88" t="s">
        <v>15</v>
      </c>
    </row>
    <row r="89" spans="1:10" x14ac:dyDescent="0.35">
      <c r="A89">
        <v>1088</v>
      </c>
      <c r="B89" t="s">
        <v>123</v>
      </c>
      <c r="C89" t="s">
        <v>39</v>
      </c>
      <c r="D89" t="s">
        <v>23</v>
      </c>
      <c r="E89">
        <v>5</v>
      </c>
      <c r="F89">
        <v>527</v>
      </c>
      <c r="G89">
        <v>2635</v>
      </c>
      <c r="H89" t="s">
        <v>27</v>
      </c>
      <c r="I89" t="s">
        <v>32</v>
      </c>
      <c r="J89" t="s">
        <v>33</v>
      </c>
    </row>
    <row r="90" spans="1:10" x14ac:dyDescent="0.35">
      <c r="A90">
        <v>1089</v>
      </c>
      <c r="B90" t="s">
        <v>124</v>
      </c>
      <c r="C90" t="s">
        <v>42</v>
      </c>
      <c r="D90" t="s">
        <v>12</v>
      </c>
      <c r="E90">
        <v>2</v>
      </c>
      <c r="F90">
        <v>3327</v>
      </c>
      <c r="G90">
        <v>6654</v>
      </c>
      <c r="H90" t="s">
        <v>51</v>
      </c>
      <c r="I90" t="s">
        <v>32</v>
      </c>
      <c r="J90" t="s">
        <v>33</v>
      </c>
    </row>
    <row r="91" spans="1:10" x14ac:dyDescent="0.35">
      <c r="A91">
        <v>1090</v>
      </c>
      <c r="B91" t="s">
        <v>125</v>
      </c>
      <c r="C91" t="s">
        <v>44</v>
      </c>
      <c r="D91" t="s">
        <v>26</v>
      </c>
      <c r="E91">
        <v>1</v>
      </c>
      <c r="F91">
        <v>383</v>
      </c>
      <c r="G91">
        <v>383</v>
      </c>
      <c r="H91" t="s">
        <v>37</v>
      </c>
      <c r="I91" t="s">
        <v>19</v>
      </c>
      <c r="J91" t="s">
        <v>20</v>
      </c>
    </row>
    <row r="92" spans="1:10" x14ac:dyDescent="0.35">
      <c r="A92">
        <v>1091</v>
      </c>
      <c r="B92" t="s">
        <v>126</v>
      </c>
      <c r="C92" t="s">
        <v>11</v>
      </c>
      <c r="D92" t="s">
        <v>12</v>
      </c>
      <c r="E92">
        <v>1</v>
      </c>
      <c r="F92">
        <v>61156</v>
      </c>
      <c r="G92">
        <v>61156</v>
      </c>
      <c r="H92" t="s">
        <v>13</v>
      </c>
      <c r="I92" t="s">
        <v>14</v>
      </c>
      <c r="J92" t="s">
        <v>20</v>
      </c>
    </row>
    <row r="93" spans="1:10" x14ac:dyDescent="0.35">
      <c r="A93">
        <v>1092</v>
      </c>
      <c r="B93" t="s">
        <v>127</v>
      </c>
      <c r="C93" t="s">
        <v>17</v>
      </c>
      <c r="D93" t="s">
        <v>12</v>
      </c>
      <c r="E93">
        <v>1</v>
      </c>
      <c r="F93">
        <v>3607</v>
      </c>
      <c r="G93">
        <v>3607</v>
      </c>
      <c r="H93" t="s">
        <v>18</v>
      </c>
      <c r="I93" t="s">
        <v>32</v>
      </c>
      <c r="J93" t="s">
        <v>33</v>
      </c>
    </row>
    <row r="94" spans="1:10" x14ac:dyDescent="0.35">
      <c r="A94">
        <v>1093</v>
      </c>
      <c r="B94" t="s">
        <v>128</v>
      </c>
      <c r="C94" t="s">
        <v>22</v>
      </c>
      <c r="D94" t="s">
        <v>23</v>
      </c>
      <c r="E94">
        <v>3</v>
      </c>
      <c r="F94">
        <v>3055</v>
      </c>
      <c r="G94">
        <v>9165</v>
      </c>
      <c r="H94" t="s">
        <v>27</v>
      </c>
      <c r="I94" t="s">
        <v>14</v>
      </c>
      <c r="J94" t="s">
        <v>33</v>
      </c>
    </row>
    <row r="95" spans="1:10" x14ac:dyDescent="0.35">
      <c r="A95">
        <v>1094</v>
      </c>
      <c r="B95" t="s">
        <v>129</v>
      </c>
      <c r="C95" t="s">
        <v>25</v>
      </c>
      <c r="D95" t="s">
        <v>26</v>
      </c>
      <c r="E95">
        <v>4</v>
      </c>
      <c r="F95">
        <v>18106</v>
      </c>
      <c r="G95">
        <v>72424</v>
      </c>
      <c r="H95" t="s">
        <v>27</v>
      </c>
      <c r="I95" t="s">
        <v>19</v>
      </c>
      <c r="J95" t="s">
        <v>33</v>
      </c>
    </row>
    <row r="96" spans="1:10" x14ac:dyDescent="0.35">
      <c r="A96">
        <v>1095</v>
      </c>
      <c r="B96" t="s">
        <v>130</v>
      </c>
      <c r="C96" t="s">
        <v>29</v>
      </c>
      <c r="D96" t="s">
        <v>26</v>
      </c>
      <c r="E96">
        <v>5</v>
      </c>
      <c r="F96">
        <v>103</v>
      </c>
      <c r="G96">
        <v>515</v>
      </c>
      <c r="H96" t="s">
        <v>18</v>
      </c>
      <c r="I96" t="s">
        <v>14</v>
      </c>
      <c r="J96" t="s">
        <v>20</v>
      </c>
    </row>
    <row r="97" spans="1:10" x14ac:dyDescent="0.35">
      <c r="A97">
        <v>1096</v>
      </c>
      <c r="B97" t="s">
        <v>131</v>
      </c>
      <c r="C97" t="s">
        <v>31</v>
      </c>
      <c r="D97" t="s">
        <v>12</v>
      </c>
      <c r="E97">
        <v>1</v>
      </c>
      <c r="F97">
        <v>13217</v>
      </c>
      <c r="G97">
        <v>13217</v>
      </c>
      <c r="H97" t="s">
        <v>27</v>
      </c>
      <c r="I97" t="s">
        <v>32</v>
      </c>
      <c r="J97" t="s">
        <v>15</v>
      </c>
    </row>
    <row r="98" spans="1:10" x14ac:dyDescent="0.35">
      <c r="A98">
        <v>1097</v>
      </c>
      <c r="B98" t="s">
        <v>132</v>
      </c>
      <c r="C98" t="s">
        <v>35</v>
      </c>
      <c r="D98" t="s">
        <v>36</v>
      </c>
      <c r="E98">
        <v>2</v>
      </c>
      <c r="F98">
        <v>511</v>
      </c>
      <c r="G98">
        <v>1022</v>
      </c>
      <c r="H98" t="s">
        <v>37</v>
      </c>
      <c r="I98" t="s">
        <v>14</v>
      </c>
      <c r="J98" t="s">
        <v>33</v>
      </c>
    </row>
    <row r="99" spans="1:10" x14ac:dyDescent="0.35">
      <c r="A99">
        <v>1098</v>
      </c>
      <c r="B99" t="s">
        <v>133</v>
      </c>
      <c r="C99" t="s">
        <v>39</v>
      </c>
      <c r="D99" t="s">
        <v>23</v>
      </c>
      <c r="E99">
        <v>2</v>
      </c>
      <c r="F99">
        <v>513</v>
      </c>
      <c r="G99">
        <v>1026</v>
      </c>
      <c r="H99" t="s">
        <v>51</v>
      </c>
      <c r="I99" t="s">
        <v>14</v>
      </c>
      <c r="J99" t="s">
        <v>20</v>
      </c>
    </row>
    <row r="100" spans="1:10" x14ac:dyDescent="0.35">
      <c r="A100">
        <v>1099</v>
      </c>
      <c r="B100" t="s">
        <v>134</v>
      </c>
      <c r="C100" t="s">
        <v>42</v>
      </c>
      <c r="D100" t="s">
        <v>12</v>
      </c>
      <c r="E100">
        <v>2</v>
      </c>
      <c r="F100">
        <v>6283</v>
      </c>
      <c r="G100">
        <v>12566</v>
      </c>
      <c r="H100" t="s">
        <v>13</v>
      </c>
      <c r="I100" t="s">
        <v>14</v>
      </c>
      <c r="J100" t="s">
        <v>20</v>
      </c>
    </row>
    <row r="101" spans="1:10" x14ac:dyDescent="0.35">
      <c r="A101">
        <v>1100</v>
      </c>
      <c r="B101" t="s">
        <v>135</v>
      </c>
      <c r="C101" t="s">
        <v>44</v>
      </c>
      <c r="D101" t="s">
        <v>26</v>
      </c>
      <c r="E101">
        <v>4</v>
      </c>
      <c r="F101">
        <v>552</v>
      </c>
      <c r="G101">
        <v>2208</v>
      </c>
      <c r="H101" t="s">
        <v>18</v>
      </c>
      <c r="I101" t="s">
        <v>14</v>
      </c>
      <c r="J101" t="s">
        <v>33</v>
      </c>
    </row>
    <row r="102" spans="1:10" x14ac:dyDescent="0.35">
      <c r="A102">
        <v>1101</v>
      </c>
      <c r="B102" t="s">
        <v>136</v>
      </c>
      <c r="C102" t="s">
        <v>11</v>
      </c>
      <c r="D102" t="s">
        <v>12</v>
      </c>
      <c r="E102">
        <v>1</v>
      </c>
      <c r="F102">
        <v>56441</v>
      </c>
      <c r="G102">
        <v>56441</v>
      </c>
      <c r="H102" t="s">
        <v>13</v>
      </c>
      <c r="I102" t="s">
        <v>32</v>
      </c>
      <c r="J102" t="s">
        <v>15</v>
      </c>
    </row>
    <row r="103" spans="1:10" x14ac:dyDescent="0.35">
      <c r="A103">
        <v>1102</v>
      </c>
      <c r="B103" t="s">
        <v>137</v>
      </c>
      <c r="C103" t="s">
        <v>17</v>
      </c>
      <c r="D103" t="s">
        <v>12</v>
      </c>
      <c r="E103">
        <v>2</v>
      </c>
      <c r="F103">
        <v>4833</v>
      </c>
      <c r="G103">
        <v>9666</v>
      </c>
      <c r="H103" t="s">
        <v>37</v>
      </c>
      <c r="I103" t="s">
        <v>14</v>
      </c>
      <c r="J103" t="s">
        <v>20</v>
      </c>
    </row>
    <row r="104" spans="1:10" x14ac:dyDescent="0.35">
      <c r="A104">
        <v>1103</v>
      </c>
      <c r="B104" t="s">
        <v>138</v>
      </c>
      <c r="C104" t="s">
        <v>22</v>
      </c>
      <c r="D104" t="s">
        <v>23</v>
      </c>
      <c r="E104">
        <v>1</v>
      </c>
      <c r="F104">
        <v>1314</v>
      </c>
      <c r="G104">
        <v>1314</v>
      </c>
      <c r="H104" t="s">
        <v>37</v>
      </c>
      <c r="I104" t="s">
        <v>14</v>
      </c>
      <c r="J104" t="s">
        <v>15</v>
      </c>
    </row>
    <row r="105" spans="1:10" x14ac:dyDescent="0.35">
      <c r="A105">
        <v>1104</v>
      </c>
      <c r="B105" t="s">
        <v>139</v>
      </c>
      <c r="C105" t="s">
        <v>25</v>
      </c>
      <c r="D105" t="s">
        <v>26</v>
      </c>
      <c r="E105">
        <v>1</v>
      </c>
      <c r="F105">
        <v>5201</v>
      </c>
      <c r="G105">
        <v>5201</v>
      </c>
      <c r="H105" t="s">
        <v>13</v>
      </c>
      <c r="I105" t="s">
        <v>19</v>
      </c>
      <c r="J105" t="s">
        <v>33</v>
      </c>
    </row>
    <row r="106" spans="1:10" x14ac:dyDescent="0.35">
      <c r="A106">
        <v>1105</v>
      </c>
      <c r="B106" t="s">
        <v>140</v>
      </c>
      <c r="C106" t="s">
        <v>29</v>
      </c>
      <c r="D106" t="s">
        <v>26</v>
      </c>
      <c r="E106">
        <v>2</v>
      </c>
      <c r="F106">
        <v>469</v>
      </c>
      <c r="G106">
        <v>938</v>
      </c>
      <c r="H106" t="s">
        <v>13</v>
      </c>
      <c r="I106" t="s">
        <v>19</v>
      </c>
      <c r="J106" t="s">
        <v>15</v>
      </c>
    </row>
    <row r="107" spans="1:10" x14ac:dyDescent="0.35">
      <c r="A107">
        <v>1106</v>
      </c>
      <c r="B107" t="s">
        <v>141</v>
      </c>
      <c r="C107" t="s">
        <v>31</v>
      </c>
      <c r="D107" t="s">
        <v>12</v>
      </c>
      <c r="E107">
        <v>2</v>
      </c>
      <c r="F107">
        <v>24448</v>
      </c>
      <c r="G107">
        <v>48896</v>
      </c>
      <c r="H107" t="s">
        <v>27</v>
      </c>
      <c r="I107" t="s">
        <v>19</v>
      </c>
      <c r="J107" t="s">
        <v>20</v>
      </c>
    </row>
    <row r="108" spans="1:10" x14ac:dyDescent="0.35">
      <c r="A108">
        <v>1107</v>
      </c>
      <c r="B108" t="s">
        <v>142</v>
      </c>
      <c r="C108" t="s">
        <v>35</v>
      </c>
      <c r="D108" t="s">
        <v>36</v>
      </c>
      <c r="E108">
        <v>3</v>
      </c>
      <c r="F108">
        <v>378</v>
      </c>
      <c r="G108">
        <v>1134</v>
      </c>
      <c r="H108" t="s">
        <v>51</v>
      </c>
      <c r="I108" t="s">
        <v>19</v>
      </c>
      <c r="J108" t="s">
        <v>20</v>
      </c>
    </row>
    <row r="109" spans="1:10" x14ac:dyDescent="0.35">
      <c r="A109">
        <v>1108</v>
      </c>
      <c r="B109" t="s">
        <v>143</v>
      </c>
      <c r="C109" t="s">
        <v>39</v>
      </c>
      <c r="D109" t="s">
        <v>23</v>
      </c>
      <c r="E109">
        <v>1</v>
      </c>
      <c r="F109">
        <v>1310</v>
      </c>
      <c r="G109">
        <v>1310</v>
      </c>
      <c r="H109" t="s">
        <v>51</v>
      </c>
      <c r="I109" t="s">
        <v>19</v>
      </c>
      <c r="J109" t="s">
        <v>20</v>
      </c>
    </row>
    <row r="110" spans="1:10" x14ac:dyDescent="0.35">
      <c r="A110">
        <v>1109</v>
      </c>
      <c r="B110" t="s">
        <v>144</v>
      </c>
      <c r="C110" t="s">
        <v>42</v>
      </c>
      <c r="D110" t="s">
        <v>12</v>
      </c>
      <c r="E110">
        <v>1</v>
      </c>
      <c r="F110">
        <v>5590</v>
      </c>
      <c r="G110">
        <v>5590</v>
      </c>
      <c r="H110" t="s">
        <v>51</v>
      </c>
      <c r="I110" t="s">
        <v>32</v>
      </c>
      <c r="J110" t="s">
        <v>33</v>
      </c>
    </row>
    <row r="111" spans="1:10" x14ac:dyDescent="0.35">
      <c r="A111">
        <v>1110</v>
      </c>
      <c r="B111" t="s">
        <v>145</v>
      </c>
      <c r="C111" t="s">
        <v>44</v>
      </c>
      <c r="D111" t="s">
        <v>26</v>
      </c>
      <c r="E111">
        <v>3</v>
      </c>
      <c r="F111">
        <v>405</v>
      </c>
      <c r="G111">
        <v>1215</v>
      </c>
      <c r="H111" t="s">
        <v>18</v>
      </c>
      <c r="I111" t="s">
        <v>14</v>
      </c>
      <c r="J111" t="s">
        <v>33</v>
      </c>
    </row>
    <row r="112" spans="1:10" x14ac:dyDescent="0.35">
      <c r="A112">
        <v>1111</v>
      </c>
      <c r="B112" t="s">
        <v>146</v>
      </c>
      <c r="C112" t="s">
        <v>11</v>
      </c>
      <c r="D112" t="s">
        <v>12</v>
      </c>
      <c r="E112">
        <v>1</v>
      </c>
      <c r="F112">
        <v>51984</v>
      </c>
      <c r="G112">
        <v>51984</v>
      </c>
      <c r="H112" t="s">
        <v>40</v>
      </c>
      <c r="I112" t="s">
        <v>14</v>
      </c>
      <c r="J112" t="s">
        <v>33</v>
      </c>
    </row>
    <row r="113" spans="1:10" x14ac:dyDescent="0.35">
      <c r="A113">
        <v>1112</v>
      </c>
      <c r="B113" t="s">
        <v>147</v>
      </c>
      <c r="C113" t="s">
        <v>17</v>
      </c>
      <c r="D113" t="s">
        <v>12</v>
      </c>
      <c r="E113">
        <v>3</v>
      </c>
      <c r="F113">
        <v>2766</v>
      </c>
      <c r="G113">
        <v>8298</v>
      </c>
      <c r="H113" t="s">
        <v>13</v>
      </c>
      <c r="I113" t="s">
        <v>32</v>
      </c>
      <c r="J113" t="s">
        <v>33</v>
      </c>
    </row>
    <row r="114" spans="1:10" x14ac:dyDescent="0.35">
      <c r="A114">
        <v>1113</v>
      </c>
      <c r="B114" t="s">
        <v>148</v>
      </c>
      <c r="C114" t="s">
        <v>22</v>
      </c>
      <c r="D114" t="s">
        <v>23</v>
      </c>
      <c r="E114">
        <v>3</v>
      </c>
      <c r="F114">
        <v>2625</v>
      </c>
      <c r="G114">
        <v>7875</v>
      </c>
      <c r="H114" t="s">
        <v>51</v>
      </c>
      <c r="I114" t="s">
        <v>14</v>
      </c>
      <c r="J114" t="s">
        <v>20</v>
      </c>
    </row>
    <row r="115" spans="1:10" x14ac:dyDescent="0.35">
      <c r="A115">
        <v>1114</v>
      </c>
      <c r="B115" t="s">
        <v>149</v>
      </c>
      <c r="C115" t="s">
        <v>25</v>
      </c>
      <c r="D115" t="s">
        <v>26</v>
      </c>
      <c r="E115">
        <v>2</v>
      </c>
      <c r="F115">
        <v>2573</v>
      </c>
      <c r="G115">
        <v>5146</v>
      </c>
      <c r="H115" t="s">
        <v>27</v>
      </c>
      <c r="I115" t="s">
        <v>32</v>
      </c>
      <c r="J115" t="s">
        <v>20</v>
      </c>
    </row>
    <row r="116" spans="1:10" x14ac:dyDescent="0.35">
      <c r="A116">
        <v>1115</v>
      </c>
      <c r="B116" t="s">
        <v>150</v>
      </c>
      <c r="C116" t="s">
        <v>29</v>
      </c>
      <c r="D116" t="s">
        <v>26</v>
      </c>
      <c r="E116">
        <v>2</v>
      </c>
      <c r="F116">
        <v>798</v>
      </c>
      <c r="G116">
        <v>1596</v>
      </c>
      <c r="H116" t="s">
        <v>18</v>
      </c>
      <c r="I116" t="s">
        <v>14</v>
      </c>
      <c r="J116" t="s">
        <v>33</v>
      </c>
    </row>
    <row r="117" spans="1:10" x14ac:dyDescent="0.35">
      <c r="A117">
        <v>1116</v>
      </c>
      <c r="B117" t="s">
        <v>151</v>
      </c>
      <c r="C117" t="s">
        <v>31</v>
      </c>
      <c r="D117" t="s">
        <v>12</v>
      </c>
      <c r="E117">
        <v>2</v>
      </c>
      <c r="F117">
        <v>31517</v>
      </c>
      <c r="G117">
        <v>63034</v>
      </c>
      <c r="H117" t="s">
        <v>51</v>
      </c>
      <c r="I117" t="s">
        <v>14</v>
      </c>
      <c r="J117" t="s">
        <v>15</v>
      </c>
    </row>
    <row r="118" spans="1:10" x14ac:dyDescent="0.35">
      <c r="A118">
        <v>1117</v>
      </c>
      <c r="B118" t="s">
        <v>152</v>
      </c>
      <c r="C118" t="s">
        <v>35</v>
      </c>
      <c r="D118" t="s">
        <v>36</v>
      </c>
      <c r="E118">
        <v>1</v>
      </c>
      <c r="F118">
        <v>343</v>
      </c>
      <c r="G118">
        <v>343</v>
      </c>
      <c r="H118" t="s">
        <v>13</v>
      </c>
      <c r="I118" t="s">
        <v>32</v>
      </c>
      <c r="J118" t="s">
        <v>20</v>
      </c>
    </row>
    <row r="119" spans="1:10" x14ac:dyDescent="0.35">
      <c r="A119">
        <v>1118</v>
      </c>
      <c r="B119" t="s">
        <v>153</v>
      </c>
      <c r="C119" t="s">
        <v>39</v>
      </c>
      <c r="D119" t="s">
        <v>23</v>
      </c>
      <c r="E119">
        <v>3</v>
      </c>
      <c r="F119">
        <v>1021</v>
      </c>
      <c r="G119">
        <v>3063</v>
      </c>
      <c r="H119" t="s">
        <v>13</v>
      </c>
      <c r="I119" t="s">
        <v>32</v>
      </c>
      <c r="J119" t="s">
        <v>33</v>
      </c>
    </row>
    <row r="120" spans="1:10" x14ac:dyDescent="0.35">
      <c r="A120">
        <v>1119</v>
      </c>
      <c r="B120" t="s">
        <v>154</v>
      </c>
      <c r="C120" t="s">
        <v>42</v>
      </c>
      <c r="D120" t="s">
        <v>12</v>
      </c>
      <c r="E120">
        <v>1</v>
      </c>
      <c r="F120">
        <v>8543</v>
      </c>
      <c r="G120">
        <v>8543</v>
      </c>
      <c r="H120" t="s">
        <v>51</v>
      </c>
      <c r="I120" t="s">
        <v>14</v>
      </c>
      <c r="J120" t="s">
        <v>15</v>
      </c>
    </row>
    <row r="121" spans="1:10" x14ac:dyDescent="0.35">
      <c r="A121">
        <v>1120</v>
      </c>
      <c r="B121" t="s">
        <v>155</v>
      </c>
      <c r="C121" t="s">
        <v>44</v>
      </c>
      <c r="D121" t="s">
        <v>26</v>
      </c>
      <c r="E121">
        <v>2</v>
      </c>
      <c r="F121">
        <v>235</v>
      </c>
      <c r="G121">
        <v>470</v>
      </c>
      <c r="H121" t="s">
        <v>18</v>
      </c>
      <c r="I121" t="s">
        <v>32</v>
      </c>
      <c r="J121" t="s">
        <v>15</v>
      </c>
    </row>
    <row r="122" spans="1:10" x14ac:dyDescent="0.35">
      <c r="A122">
        <v>1121</v>
      </c>
      <c r="B122" t="s">
        <v>156</v>
      </c>
      <c r="C122" t="s">
        <v>11</v>
      </c>
      <c r="D122" t="s">
        <v>12</v>
      </c>
      <c r="E122">
        <v>1</v>
      </c>
      <c r="F122">
        <v>51840</v>
      </c>
      <c r="G122">
        <v>51840</v>
      </c>
      <c r="H122" t="s">
        <v>18</v>
      </c>
      <c r="I122" t="s">
        <v>14</v>
      </c>
      <c r="J122" t="s">
        <v>33</v>
      </c>
    </row>
    <row r="123" spans="1:10" x14ac:dyDescent="0.35">
      <c r="A123">
        <v>1122</v>
      </c>
      <c r="B123" t="s">
        <v>157</v>
      </c>
      <c r="C123" t="s">
        <v>17</v>
      </c>
      <c r="D123" t="s">
        <v>12</v>
      </c>
      <c r="E123">
        <v>2</v>
      </c>
      <c r="F123">
        <v>4435</v>
      </c>
      <c r="G123">
        <v>8870</v>
      </c>
      <c r="H123" t="s">
        <v>13</v>
      </c>
      <c r="I123" t="s">
        <v>14</v>
      </c>
      <c r="J123" t="s">
        <v>33</v>
      </c>
    </row>
    <row r="124" spans="1:10" x14ac:dyDescent="0.35">
      <c r="A124">
        <v>1123</v>
      </c>
      <c r="B124" t="s">
        <v>158</v>
      </c>
      <c r="C124" t="s">
        <v>22</v>
      </c>
      <c r="D124" t="s">
        <v>23</v>
      </c>
      <c r="E124">
        <v>3</v>
      </c>
      <c r="F124">
        <v>2138</v>
      </c>
      <c r="G124">
        <v>6414</v>
      </c>
      <c r="H124" t="s">
        <v>13</v>
      </c>
      <c r="I124" t="s">
        <v>14</v>
      </c>
      <c r="J124" t="s">
        <v>15</v>
      </c>
    </row>
    <row r="125" spans="1:10" x14ac:dyDescent="0.35">
      <c r="A125">
        <v>1124</v>
      </c>
      <c r="B125" t="s">
        <v>159</v>
      </c>
      <c r="C125" t="s">
        <v>25</v>
      </c>
      <c r="D125" t="s">
        <v>26</v>
      </c>
      <c r="E125">
        <v>5</v>
      </c>
      <c r="F125">
        <v>5434</v>
      </c>
      <c r="G125">
        <v>27170</v>
      </c>
      <c r="H125" t="s">
        <v>37</v>
      </c>
      <c r="I125" t="s">
        <v>14</v>
      </c>
      <c r="J125" t="s">
        <v>15</v>
      </c>
    </row>
    <row r="126" spans="1:10" x14ac:dyDescent="0.35">
      <c r="A126">
        <v>1125</v>
      </c>
      <c r="B126" t="s">
        <v>160</v>
      </c>
      <c r="C126" t="s">
        <v>29</v>
      </c>
      <c r="D126" t="s">
        <v>26</v>
      </c>
      <c r="E126">
        <v>1</v>
      </c>
      <c r="F126">
        <v>961</v>
      </c>
      <c r="G126">
        <v>961</v>
      </c>
      <c r="H126" t="s">
        <v>13</v>
      </c>
      <c r="I126" t="s">
        <v>14</v>
      </c>
      <c r="J126" t="s">
        <v>20</v>
      </c>
    </row>
    <row r="127" spans="1:10" x14ac:dyDescent="0.35">
      <c r="A127">
        <v>1126</v>
      </c>
      <c r="B127" t="s">
        <v>161</v>
      </c>
      <c r="C127" t="s">
        <v>31</v>
      </c>
      <c r="D127" t="s">
        <v>12</v>
      </c>
      <c r="E127">
        <v>2</v>
      </c>
      <c r="F127">
        <v>28891</v>
      </c>
      <c r="G127">
        <v>57782</v>
      </c>
      <c r="H127" t="s">
        <v>27</v>
      </c>
      <c r="I127" t="s">
        <v>19</v>
      </c>
      <c r="J127" t="s">
        <v>15</v>
      </c>
    </row>
    <row r="128" spans="1:10" x14ac:dyDescent="0.35">
      <c r="A128">
        <v>1127</v>
      </c>
      <c r="B128" t="s">
        <v>162</v>
      </c>
      <c r="C128" t="s">
        <v>35</v>
      </c>
      <c r="D128" t="s">
        <v>36</v>
      </c>
      <c r="E128">
        <v>3</v>
      </c>
      <c r="F128">
        <v>433</v>
      </c>
      <c r="G128">
        <v>1299</v>
      </c>
      <c r="H128" t="s">
        <v>51</v>
      </c>
      <c r="I128" t="s">
        <v>14</v>
      </c>
      <c r="J128" t="s">
        <v>33</v>
      </c>
    </row>
    <row r="129" spans="1:10" x14ac:dyDescent="0.35">
      <c r="A129">
        <v>1128</v>
      </c>
      <c r="B129" t="s">
        <v>163</v>
      </c>
      <c r="C129" t="s">
        <v>39</v>
      </c>
      <c r="D129" t="s">
        <v>23</v>
      </c>
      <c r="E129">
        <v>2</v>
      </c>
      <c r="F129">
        <v>912</v>
      </c>
      <c r="G129">
        <v>1824</v>
      </c>
      <c r="H129" t="s">
        <v>51</v>
      </c>
      <c r="I129" t="s">
        <v>14</v>
      </c>
      <c r="J129" t="s">
        <v>33</v>
      </c>
    </row>
    <row r="130" spans="1:10" x14ac:dyDescent="0.35">
      <c r="A130">
        <v>1129</v>
      </c>
      <c r="B130" t="s">
        <v>164</v>
      </c>
      <c r="C130" t="s">
        <v>42</v>
      </c>
      <c r="D130" t="s">
        <v>12</v>
      </c>
      <c r="E130">
        <v>2</v>
      </c>
      <c r="F130">
        <v>12792</v>
      </c>
      <c r="G130">
        <v>25584</v>
      </c>
      <c r="H130" t="s">
        <v>13</v>
      </c>
      <c r="I130" t="s">
        <v>19</v>
      </c>
      <c r="J130" t="s">
        <v>15</v>
      </c>
    </row>
    <row r="131" spans="1:10" x14ac:dyDescent="0.35">
      <c r="A131">
        <v>1130</v>
      </c>
      <c r="B131" t="s">
        <v>165</v>
      </c>
      <c r="C131" t="s">
        <v>44</v>
      </c>
      <c r="D131" t="s">
        <v>26</v>
      </c>
      <c r="E131">
        <v>3</v>
      </c>
      <c r="F131">
        <v>150</v>
      </c>
      <c r="G131">
        <v>450</v>
      </c>
      <c r="H131" t="s">
        <v>40</v>
      </c>
      <c r="I131" t="s">
        <v>19</v>
      </c>
      <c r="J131" t="s">
        <v>33</v>
      </c>
    </row>
    <row r="132" spans="1:10" x14ac:dyDescent="0.35">
      <c r="A132">
        <v>1131</v>
      </c>
      <c r="B132" t="s">
        <v>166</v>
      </c>
      <c r="C132" t="s">
        <v>11</v>
      </c>
      <c r="D132" t="s">
        <v>12</v>
      </c>
      <c r="E132">
        <v>1</v>
      </c>
      <c r="F132">
        <v>61259</v>
      </c>
      <c r="G132">
        <v>61259</v>
      </c>
      <c r="H132" t="s">
        <v>37</v>
      </c>
      <c r="I132" t="s">
        <v>19</v>
      </c>
      <c r="J132" t="s">
        <v>15</v>
      </c>
    </row>
    <row r="133" spans="1:10" x14ac:dyDescent="0.35">
      <c r="A133">
        <v>1132</v>
      </c>
      <c r="B133" t="s">
        <v>167</v>
      </c>
      <c r="C133" t="s">
        <v>17</v>
      </c>
      <c r="D133" t="s">
        <v>12</v>
      </c>
      <c r="E133">
        <v>1</v>
      </c>
      <c r="F133">
        <v>2998</v>
      </c>
      <c r="G133">
        <v>2998</v>
      </c>
      <c r="H133" t="s">
        <v>13</v>
      </c>
      <c r="I133" t="s">
        <v>14</v>
      </c>
      <c r="J133" t="s">
        <v>15</v>
      </c>
    </row>
    <row r="134" spans="1:10" x14ac:dyDescent="0.35">
      <c r="A134">
        <v>1133</v>
      </c>
      <c r="B134" t="s">
        <v>168</v>
      </c>
      <c r="C134" t="s">
        <v>22</v>
      </c>
      <c r="D134" t="s">
        <v>23</v>
      </c>
      <c r="E134">
        <v>3</v>
      </c>
      <c r="F134">
        <v>1682</v>
      </c>
      <c r="G134">
        <v>5046</v>
      </c>
      <c r="H134" t="s">
        <v>37</v>
      </c>
      <c r="I134" t="s">
        <v>19</v>
      </c>
      <c r="J134" t="s">
        <v>20</v>
      </c>
    </row>
    <row r="135" spans="1:10" x14ac:dyDescent="0.35">
      <c r="A135">
        <v>1134</v>
      </c>
      <c r="B135" t="s">
        <v>169</v>
      </c>
      <c r="C135" t="s">
        <v>25</v>
      </c>
      <c r="D135" t="s">
        <v>26</v>
      </c>
      <c r="E135">
        <v>1</v>
      </c>
      <c r="F135">
        <v>12576</v>
      </c>
      <c r="G135">
        <v>12576</v>
      </c>
      <c r="H135" t="s">
        <v>13</v>
      </c>
      <c r="I135" t="s">
        <v>14</v>
      </c>
      <c r="J135" t="s">
        <v>20</v>
      </c>
    </row>
    <row r="136" spans="1:10" x14ac:dyDescent="0.35">
      <c r="A136">
        <v>1135</v>
      </c>
      <c r="B136" t="s">
        <v>170</v>
      </c>
      <c r="C136" t="s">
        <v>29</v>
      </c>
      <c r="D136" t="s">
        <v>26</v>
      </c>
      <c r="E136">
        <v>1</v>
      </c>
      <c r="F136">
        <v>740</v>
      </c>
      <c r="G136">
        <v>740</v>
      </c>
      <c r="H136" t="s">
        <v>51</v>
      </c>
      <c r="I136" t="s">
        <v>32</v>
      </c>
      <c r="J136" t="s">
        <v>33</v>
      </c>
    </row>
    <row r="137" spans="1:10" x14ac:dyDescent="0.35">
      <c r="A137">
        <v>1136</v>
      </c>
      <c r="B137" t="s">
        <v>171</v>
      </c>
      <c r="C137" t="s">
        <v>31</v>
      </c>
      <c r="D137" t="s">
        <v>12</v>
      </c>
      <c r="E137">
        <v>2</v>
      </c>
      <c r="F137">
        <v>38690</v>
      </c>
      <c r="G137">
        <v>77380</v>
      </c>
      <c r="H137" t="s">
        <v>37</v>
      </c>
      <c r="I137" t="s">
        <v>19</v>
      </c>
      <c r="J137" t="s">
        <v>20</v>
      </c>
    </row>
    <row r="138" spans="1:10" x14ac:dyDescent="0.35">
      <c r="A138">
        <v>1137</v>
      </c>
      <c r="B138" t="s">
        <v>172</v>
      </c>
      <c r="C138" t="s">
        <v>35</v>
      </c>
      <c r="D138" t="s">
        <v>36</v>
      </c>
      <c r="E138">
        <v>1</v>
      </c>
      <c r="F138">
        <v>309</v>
      </c>
      <c r="G138">
        <v>309</v>
      </c>
      <c r="H138" t="s">
        <v>51</v>
      </c>
      <c r="I138" t="s">
        <v>32</v>
      </c>
      <c r="J138" t="s">
        <v>15</v>
      </c>
    </row>
    <row r="139" spans="1:10" x14ac:dyDescent="0.35">
      <c r="A139">
        <v>1138</v>
      </c>
      <c r="B139" t="s">
        <v>173</v>
      </c>
      <c r="C139" t="s">
        <v>39</v>
      </c>
      <c r="D139" t="s">
        <v>23</v>
      </c>
      <c r="E139">
        <v>3</v>
      </c>
      <c r="F139">
        <v>1670</v>
      </c>
      <c r="G139">
        <v>5010</v>
      </c>
      <c r="H139" t="s">
        <v>37</v>
      </c>
      <c r="I139" t="s">
        <v>32</v>
      </c>
      <c r="J139" t="s">
        <v>20</v>
      </c>
    </row>
    <row r="140" spans="1:10" x14ac:dyDescent="0.35">
      <c r="A140">
        <v>1139</v>
      </c>
      <c r="B140" t="s">
        <v>174</v>
      </c>
      <c r="C140" t="s">
        <v>42</v>
      </c>
      <c r="D140" t="s">
        <v>12</v>
      </c>
      <c r="E140">
        <v>1</v>
      </c>
      <c r="F140">
        <v>13908</v>
      </c>
      <c r="G140">
        <v>13908</v>
      </c>
      <c r="H140" t="s">
        <v>27</v>
      </c>
      <c r="I140" t="s">
        <v>14</v>
      </c>
      <c r="J140" t="s">
        <v>15</v>
      </c>
    </row>
    <row r="141" spans="1:10" x14ac:dyDescent="0.35">
      <c r="A141">
        <v>1140</v>
      </c>
      <c r="B141" t="s">
        <v>175</v>
      </c>
      <c r="C141" t="s">
        <v>44</v>
      </c>
      <c r="D141" t="s">
        <v>26</v>
      </c>
      <c r="E141">
        <v>1</v>
      </c>
      <c r="F141">
        <v>619</v>
      </c>
      <c r="G141">
        <v>619</v>
      </c>
      <c r="H141" t="s">
        <v>27</v>
      </c>
      <c r="I141" t="s">
        <v>19</v>
      </c>
      <c r="J141" t="s">
        <v>33</v>
      </c>
    </row>
    <row r="142" spans="1:10" x14ac:dyDescent="0.35">
      <c r="A142">
        <v>1141</v>
      </c>
      <c r="B142" t="s">
        <v>176</v>
      </c>
      <c r="C142" t="s">
        <v>11</v>
      </c>
      <c r="D142" t="s">
        <v>12</v>
      </c>
      <c r="E142">
        <v>1</v>
      </c>
      <c r="F142">
        <v>58661</v>
      </c>
      <c r="G142">
        <v>58661</v>
      </c>
      <c r="H142" t="s">
        <v>18</v>
      </c>
      <c r="I142" t="s">
        <v>14</v>
      </c>
      <c r="J142" t="s">
        <v>33</v>
      </c>
    </row>
    <row r="143" spans="1:10" x14ac:dyDescent="0.35">
      <c r="A143">
        <v>1142</v>
      </c>
      <c r="B143" t="s">
        <v>177</v>
      </c>
      <c r="C143" t="s">
        <v>17</v>
      </c>
      <c r="D143" t="s">
        <v>12</v>
      </c>
      <c r="E143">
        <v>3</v>
      </c>
      <c r="F143">
        <v>3441</v>
      </c>
      <c r="G143">
        <v>10323</v>
      </c>
      <c r="H143" t="s">
        <v>27</v>
      </c>
      <c r="I143" t="s">
        <v>19</v>
      </c>
      <c r="J143" t="s">
        <v>33</v>
      </c>
    </row>
    <row r="144" spans="1:10" x14ac:dyDescent="0.35">
      <c r="A144">
        <v>1143</v>
      </c>
      <c r="B144" t="s">
        <v>178</v>
      </c>
      <c r="C144" t="s">
        <v>22</v>
      </c>
      <c r="D144" t="s">
        <v>23</v>
      </c>
      <c r="E144">
        <v>2</v>
      </c>
      <c r="F144">
        <v>4503</v>
      </c>
      <c r="G144">
        <v>9006</v>
      </c>
      <c r="H144" t="s">
        <v>18</v>
      </c>
      <c r="I144" t="s">
        <v>19</v>
      </c>
      <c r="J144" t="s">
        <v>15</v>
      </c>
    </row>
    <row r="145" spans="1:10" x14ac:dyDescent="0.35">
      <c r="A145">
        <v>1144</v>
      </c>
      <c r="B145" t="s">
        <v>179</v>
      </c>
      <c r="C145" t="s">
        <v>25</v>
      </c>
      <c r="D145" t="s">
        <v>26</v>
      </c>
      <c r="E145">
        <v>5</v>
      </c>
      <c r="F145">
        <v>10835</v>
      </c>
      <c r="G145">
        <v>54175</v>
      </c>
      <c r="H145" t="s">
        <v>13</v>
      </c>
      <c r="I145" t="s">
        <v>32</v>
      </c>
      <c r="J145" t="s">
        <v>20</v>
      </c>
    </row>
    <row r="146" spans="1:10" x14ac:dyDescent="0.35">
      <c r="A146">
        <v>1145</v>
      </c>
      <c r="B146" t="s">
        <v>180</v>
      </c>
      <c r="C146" t="s">
        <v>29</v>
      </c>
      <c r="D146" t="s">
        <v>26</v>
      </c>
      <c r="E146">
        <v>2</v>
      </c>
      <c r="F146">
        <v>334</v>
      </c>
      <c r="G146">
        <v>668</v>
      </c>
      <c r="H146" t="s">
        <v>27</v>
      </c>
      <c r="I146" t="s">
        <v>32</v>
      </c>
      <c r="J146" t="s">
        <v>20</v>
      </c>
    </row>
    <row r="147" spans="1:10" x14ac:dyDescent="0.35">
      <c r="A147">
        <v>1146</v>
      </c>
      <c r="B147" t="s">
        <v>181</v>
      </c>
      <c r="C147" t="s">
        <v>31</v>
      </c>
      <c r="D147" t="s">
        <v>12</v>
      </c>
      <c r="E147">
        <v>2</v>
      </c>
      <c r="F147">
        <v>14992</v>
      </c>
      <c r="G147">
        <v>29984</v>
      </c>
      <c r="H147" t="s">
        <v>18</v>
      </c>
      <c r="I147" t="s">
        <v>14</v>
      </c>
      <c r="J147" t="s">
        <v>33</v>
      </c>
    </row>
    <row r="148" spans="1:10" x14ac:dyDescent="0.35">
      <c r="A148">
        <v>1147</v>
      </c>
      <c r="B148" t="s">
        <v>182</v>
      </c>
      <c r="C148" t="s">
        <v>35</v>
      </c>
      <c r="D148" t="s">
        <v>36</v>
      </c>
      <c r="E148">
        <v>3</v>
      </c>
      <c r="F148">
        <v>385</v>
      </c>
      <c r="G148">
        <v>1155</v>
      </c>
      <c r="H148" t="s">
        <v>18</v>
      </c>
      <c r="I148" t="s">
        <v>19</v>
      </c>
      <c r="J148" t="s">
        <v>15</v>
      </c>
    </row>
    <row r="149" spans="1:10" x14ac:dyDescent="0.35">
      <c r="A149">
        <v>1148</v>
      </c>
      <c r="B149" t="s">
        <v>183</v>
      </c>
      <c r="C149" t="s">
        <v>39</v>
      </c>
      <c r="D149" t="s">
        <v>23</v>
      </c>
      <c r="E149">
        <v>1</v>
      </c>
      <c r="F149">
        <v>1196</v>
      </c>
      <c r="G149">
        <v>1196</v>
      </c>
      <c r="H149" t="s">
        <v>51</v>
      </c>
      <c r="I149" t="s">
        <v>32</v>
      </c>
      <c r="J149" t="s">
        <v>20</v>
      </c>
    </row>
    <row r="150" spans="1:10" x14ac:dyDescent="0.35">
      <c r="A150">
        <v>1149</v>
      </c>
      <c r="B150" t="s">
        <v>184</v>
      </c>
      <c r="C150" t="s">
        <v>42</v>
      </c>
      <c r="D150" t="s">
        <v>12</v>
      </c>
      <c r="E150">
        <v>2</v>
      </c>
      <c r="F150">
        <v>4766</v>
      </c>
      <c r="G150">
        <v>9532</v>
      </c>
      <c r="H150" t="s">
        <v>40</v>
      </c>
      <c r="I150" t="s">
        <v>32</v>
      </c>
      <c r="J150" t="s">
        <v>15</v>
      </c>
    </row>
    <row r="151" spans="1:10" x14ac:dyDescent="0.35">
      <c r="A151">
        <v>1150</v>
      </c>
      <c r="B151" t="s">
        <v>185</v>
      </c>
      <c r="C151" t="s">
        <v>44</v>
      </c>
      <c r="D151" t="s">
        <v>26</v>
      </c>
      <c r="E151">
        <v>4</v>
      </c>
      <c r="F151">
        <v>317</v>
      </c>
      <c r="G151">
        <v>1268</v>
      </c>
      <c r="H151" t="s">
        <v>13</v>
      </c>
      <c r="I151" t="s">
        <v>14</v>
      </c>
      <c r="J151" t="s">
        <v>33</v>
      </c>
    </row>
    <row r="152" spans="1:10" x14ac:dyDescent="0.35">
      <c r="A152">
        <v>1151</v>
      </c>
      <c r="B152" t="s">
        <v>186</v>
      </c>
      <c r="C152" t="s">
        <v>11</v>
      </c>
      <c r="D152" t="s">
        <v>12</v>
      </c>
      <c r="E152">
        <v>2</v>
      </c>
      <c r="F152">
        <v>59735</v>
      </c>
      <c r="G152">
        <v>119470</v>
      </c>
      <c r="H152" t="s">
        <v>18</v>
      </c>
      <c r="I152" t="s">
        <v>32</v>
      </c>
      <c r="J152" t="s">
        <v>20</v>
      </c>
    </row>
    <row r="153" spans="1:10" x14ac:dyDescent="0.35">
      <c r="A153">
        <v>1152</v>
      </c>
      <c r="B153" t="s">
        <v>187</v>
      </c>
      <c r="C153" t="s">
        <v>17</v>
      </c>
      <c r="D153" t="s">
        <v>12</v>
      </c>
      <c r="E153">
        <v>2</v>
      </c>
      <c r="F153">
        <v>3950</v>
      </c>
      <c r="G153">
        <v>7900</v>
      </c>
      <c r="H153" t="s">
        <v>27</v>
      </c>
      <c r="I153" t="s">
        <v>19</v>
      </c>
      <c r="J153" t="s">
        <v>20</v>
      </c>
    </row>
    <row r="154" spans="1:10" x14ac:dyDescent="0.35">
      <c r="A154">
        <v>1153</v>
      </c>
      <c r="B154" t="s">
        <v>188</v>
      </c>
      <c r="C154" t="s">
        <v>22</v>
      </c>
      <c r="D154" t="s">
        <v>23</v>
      </c>
      <c r="E154">
        <v>2</v>
      </c>
      <c r="F154">
        <v>3263</v>
      </c>
      <c r="G154">
        <v>6526</v>
      </c>
      <c r="H154" t="s">
        <v>13</v>
      </c>
      <c r="I154" t="s">
        <v>19</v>
      </c>
      <c r="J154" t="s">
        <v>20</v>
      </c>
    </row>
    <row r="155" spans="1:10" x14ac:dyDescent="0.35">
      <c r="A155">
        <v>1154</v>
      </c>
      <c r="B155" t="s">
        <v>189</v>
      </c>
      <c r="C155" t="s">
        <v>25</v>
      </c>
      <c r="D155" t="s">
        <v>26</v>
      </c>
      <c r="E155">
        <v>4</v>
      </c>
      <c r="F155">
        <v>8514</v>
      </c>
      <c r="G155">
        <v>34056</v>
      </c>
      <c r="H155" t="s">
        <v>18</v>
      </c>
      <c r="I155" t="s">
        <v>19</v>
      </c>
      <c r="J155" t="s">
        <v>33</v>
      </c>
    </row>
    <row r="156" spans="1:10" x14ac:dyDescent="0.35">
      <c r="A156">
        <v>1155</v>
      </c>
      <c r="B156" t="s">
        <v>190</v>
      </c>
      <c r="C156" t="s">
        <v>29</v>
      </c>
      <c r="D156" t="s">
        <v>26</v>
      </c>
      <c r="E156">
        <v>2</v>
      </c>
      <c r="F156">
        <v>172</v>
      </c>
      <c r="G156">
        <v>344</v>
      </c>
      <c r="H156" t="s">
        <v>40</v>
      </c>
      <c r="I156" t="s">
        <v>14</v>
      </c>
      <c r="J156" t="s">
        <v>33</v>
      </c>
    </row>
    <row r="157" spans="1:10" x14ac:dyDescent="0.35">
      <c r="A157">
        <v>1156</v>
      </c>
      <c r="B157" t="s">
        <v>191</v>
      </c>
      <c r="C157" t="s">
        <v>31</v>
      </c>
      <c r="D157" t="s">
        <v>12</v>
      </c>
      <c r="E157">
        <v>1</v>
      </c>
      <c r="F157">
        <v>21077</v>
      </c>
      <c r="G157">
        <v>21077</v>
      </c>
      <c r="H157" t="s">
        <v>40</v>
      </c>
      <c r="I157" t="s">
        <v>19</v>
      </c>
      <c r="J157" t="s">
        <v>20</v>
      </c>
    </row>
    <row r="158" spans="1:10" x14ac:dyDescent="0.35">
      <c r="A158">
        <v>1157</v>
      </c>
      <c r="B158" t="s">
        <v>192</v>
      </c>
      <c r="C158" t="s">
        <v>35</v>
      </c>
      <c r="D158" t="s">
        <v>36</v>
      </c>
      <c r="E158">
        <v>5</v>
      </c>
      <c r="F158">
        <v>747</v>
      </c>
      <c r="G158">
        <v>3735</v>
      </c>
      <c r="H158" t="s">
        <v>40</v>
      </c>
      <c r="I158" t="s">
        <v>32</v>
      </c>
      <c r="J158" t="s">
        <v>33</v>
      </c>
    </row>
    <row r="159" spans="1:10" x14ac:dyDescent="0.35">
      <c r="A159">
        <v>1158</v>
      </c>
      <c r="B159" t="s">
        <v>193</v>
      </c>
      <c r="C159" t="s">
        <v>39</v>
      </c>
      <c r="D159" t="s">
        <v>23</v>
      </c>
      <c r="E159">
        <v>2</v>
      </c>
      <c r="F159">
        <v>850</v>
      </c>
      <c r="G159">
        <v>1700</v>
      </c>
      <c r="H159" t="s">
        <v>27</v>
      </c>
      <c r="I159" t="s">
        <v>14</v>
      </c>
      <c r="J159" t="s">
        <v>15</v>
      </c>
    </row>
    <row r="160" spans="1:10" x14ac:dyDescent="0.35">
      <c r="A160">
        <v>1159</v>
      </c>
      <c r="B160" t="s">
        <v>194</v>
      </c>
      <c r="C160" t="s">
        <v>42</v>
      </c>
      <c r="D160" t="s">
        <v>12</v>
      </c>
      <c r="E160">
        <v>2</v>
      </c>
      <c r="F160">
        <v>13771</v>
      </c>
      <c r="G160">
        <v>27542</v>
      </c>
      <c r="H160" t="s">
        <v>13</v>
      </c>
      <c r="I160" t="s">
        <v>14</v>
      </c>
      <c r="J160" t="s">
        <v>15</v>
      </c>
    </row>
    <row r="161" spans="1:10" x14ac:dyDescent="0.35">
      <c r="A161">
        <v>1160</v>
      </c>
      <c r="B161" t="s">
        <v>195</v>
      </c>
      <c r="C161" t="s">
        <v>44</v>
      </c>
      <c r="D161" t="s">
        <v>26</v>
      </c>
      <c r="E161">
        <v>4</v>
      </c>
      <c r="F161">
        <v>258</v>
      </c>
      <c r="G161">
        <v>1032</v>
      </c>
      <c r="H161" t="s">
        <v>40</v>
      </c>
      <c r="I161" t="s">
        <v>19</v>
      </c>
      <c r="J161" t="s">
        <v>20</v>
      </c>
    </row>
    <row r="162" spans="1:10" x14ac:dyDescent="0.35">
      <c r="A162">
        <v>1161</v>
      </c>
      <c r="B162" t="s">
        <v>196</v>
      </c>
      <c r="C162" t="s">
        <v>11</v>
      </c>
      <c r="D162" t="s">
        <v>12</v>
      </c>
      <c r="E162">
        <v>2</v>
      </c>
      <c r="F162">
        <v>44856</v>
      </c>
      <c r="G162">
        <v>89712</v>
      </c>
      <c r="H162" t="s">
        <v>51</v>
      </c>
      <c r="I162" t="s">
        <v>19</v>
      </c>
      <c r="J162" t="s">
        <v>33</v>
      </c>
    </row>
    <row r="163" spans="1:10" x14ac:dyDescent="0.35">
      <c r="A163">
        <v>1162</v>
      </c>
      <c r="B163" t="s">
        <v>197</v>
      </c>
      <c r="C163" t="s">
        <v>17</v>
      </c>
      <c r="D163" t="s">
        <v>12</v>
      </c>
      <c r="E163">
        <v>3</v>
      </c>
      <c r="F163">
        <v>3161</v>
      </c>
      <c r="G163">
        <v>9483</v>
      </c>
      <c r="H163" t="s">
        <v>13</v>
      </c>
      <c r="I163" t="s">
        <v>19</v>
      </c>
      <c r="J163" t="s">
        <v>33</v>
      </c>
    </row>
    <row r="164" spans="1:10" x14ac:dyDescent="0.35">
      <c r="A164">
        <v>1163</v>
      </c>
      <c r="B164" t="s">
        <v>198</v>
      </c>
      <c r="C164" t="s">
        <v>22</v>
      </c>
      <c r="D164" t="s">
        <v>23</v>
      </c>
      <c r="E164">
        <v>1</v>
      </c>
      <c r="F164">
        <v>4464</v>
      </c>
      <c r="G164">
        <v>4464</v>
      </c>
      <c r="H164" t="s">
        <v>13</v>
      </c>
      <c r="I164" t="s">
        <v>32</v>
      </c>
      <c r="J164" t="s">
        <v>33</v>
      </c>
    </row>
    <row r="165" spans="1:10" x14ac:dyDescent="0.35">
      <c r="A165">
        <v>1164</v>
      </c>
      <c r="B165" t="s">
        <v>199</v>
      </c>
      <c r="C165" t="s">
        <v>25</v>
      </c>
      <c r="D165" t="s">
        <v>26</v>
      </c>
      <c r="E165">
        <v>1</v>
      </c>
      <c r="F165">
        <v>4758</v>
      </c>
      <c r="G165">
        <v>4758</v>
      </c>
      <c r="H165" t="s">
        <v>18</v>
      </c>
      <c r="I165" t="s">
        <v>32</v>
      </c>
      <c r="J165" t="s">
        <v>33</v>
      </c>
    </row>
    <row r="166" spans="1:10" x14ac:dyDescent="0.35">
      <c r="A166">
        <v>1165</v>
      </c>
      <c r="B166" t="s">
        <v>200</v>
      </c>
      <c r="C166" t="s">
        <v>29</v>
      </c>
      <c r="D166" t="s">
        <v>26</v>
      </c>
      <c r="E166">
        <v>4</v>
      </c>
      <c r="F166">
        <v>490</v>
      </c>
      <c r="G166">
        <v>1960</v>
      </c>
      <c r="H166" t="s">
        <v>13</v>
      </c>
      <c r="I166" t="s">
        <v>32</v>
      </c>
      <c r="J166" t="s">
        <v>20</v>
      </c>
    </row>
    <row r="167" spans="1:10" x14ac:dyDescent="0.35">
      <c r="A167">
        <v>1166</v>
      </c>
      <c r="B167" t="s">
        <v>201</v>
      </c>
      <c r="C167" t="s">
        <v>31</v>
      </c>
      <c r="D167" t="s">
        <v>12</v>
      </c>
      <c r="E167">
        <v>1</v>
      </c>
      <c r="F167">
        <v>38739</v>
      </c>
      <c r="G167">
        <v>38739</v>
      </c>
      <c r="H167" t="s">
        <v>40</v>
      </c>
      <c r="I167" t="s">
        <v>14</v>
      </c>
      <c r="J167" t="s">
        <v>20</v>
      </c>
    </row>
    <row r="168" spans="1:10" x14ac:dyDescent="0.35">
      <c r="A168">
        <v>1167</v>
      </c>
      <c r="B168" t="s">
        <v>202</v>
      </c>
      <c r="C168" t="s">
        <v>35</v>
      </c>
      <c r="D168" t="s">
        <v>36</v>
      </c>
      <c r="E168">
        <v>3</v>
      </c>
      <c r="F168">
        <v>368</v>
      </c>
      <c r="G168">
        <v>1104</v>
      </c>
      <c r="H168" t="s">
        <v>13</v>
      </c>
      <c r="I168" t="s">
        <v>19</v>
      </c>
      <c r="J168" t="s">
        <v>33</v>
      </c>
    </row>
    <row r="169" spans="1:10" x14ac:dyDescent="0.35">
      <c r="A169">
        <v>1168</v>
      </c>
      <c r="B169" t="s">
        <v>203</v>
      </c>
      <c r="C169" t="s">
        <v>39</v>
      </c>
      <c r="D169" t="s">
        <v>23</v>
      </c>
      <c r="E169">
        <v>1</v>
      </c>
      <c r="F169">
        <v>1931</v>
      </c>
      <c r="G169">
        <v>1931</v>
      </c>
      <c r="H169" t="s">
        <v>27</v>
      </c>
      <c r="I169" t="s">
        <v>19</v>
      </c>
      <c r="J169" t="s">
        <v>15</v>
      </c>
    </row>
    <row r="170" spans="1:10" x14ac:dyDescent="0.35">
      <c r="A170">
        <v>1169</v>
      </c>
      <c r="B170" t="s">
        <v>204</v>
      </c>
      <c r="C170" t="s">
        <v>42</v>
      </c>
      <c r="D170" t="s">
        <v>12</v>
      </c>
      <c r="E170">
        <v>2</v>
      </c>
      <c r="F170">
        <v>14370</v>
      </c>
      <c r="G170">
        <v>28740</v>
      </c>
      <c r="H170" t="s">
        <v>51</v>
      </c>
      <c r="I170" t="s">
        <v>19</v>
      </c>
      <c r="J170" t="s">
        <v>20</v>
      </c>
    </row>
    <row r="171" spans="1:10" x14ac:dyDescent="0.35">
      <c r="A171">
        <v>1170</v>
      </c>
      <c r="B171" t="s">
        <v>205</v>
      </c>
      <c r="C171" t="s">
        <v>44</v>
      </c>
      <c r="D171" t="s">
        <v>26</v>
      </c>
      <c r="E171">
        <v>2</v>
      </c>
      <c r="F171">
        <v>780</v>
      </c>
      <c r="G171">
        <v>1560</v>
      </c>
      <c r="H171" t="s">
        <v>13</v>
      </c>
      <c r="I171" t="s">
        <v>32</v>
      </c>
      <c r="J171" t="s">
        <v>33</v>
      </c>
    </row>
    <row r="172" spans="1:10" x14ac:dyDescent="0.35">
      <c r="A172">
        <v>1171</v>
      </c>
      <c r="B172" t="s">
        <v>206</v>
      </c>
      <c r="C172" t="s">
        <v>11</v>
      </c>
      <c r="D172" t="s">
        <v>12</v>
      </c>
      <c r="E172">
        <v>2</v>
      </c>
      <c r="F172">
        <v>54865</v>
      </c>
      <c r="G172">
        <v>109730</v>
      </c>
      <c r="H172" t="s">
        <v>40</v>
      </c>
      <c r="I172" t="s">
        <v>14</v>
      </c>
      <c r="J172" t="s">
        <v>20</v>
      </c>
    </row>
    <row r="173" spans="1:10" x14ac:dyDescent="0.35">
      <c r="A173">
        <v>1172</v>
      </c>
      <c r="B173" t="s">
        <v>207</v>
      </c>
      <c r="C173" t="s">
        <v>17</v>
      </c>
      <c r="D173" t="s">
        <v>12</v>
      </c>
      <c r="E173">
        <v>2</v>
      </c>
      <c r="F173">
        <v>4481</v>
      </c>
      <c r="G173">
        <v>8962</v>
      </c>
      <c r="H173" t="s">
        <v>37</v>
      </c>
      <c r="I173" t="s">
        <v>14</v>
      </c>
      <c r="J173" t="s">
        <v>20</v>
      </c>
    </row>
    <row r="174" spans="1:10" x14ac:dyDescent="0.35">
      <c r="A174">
        <v>1173</v>
      </c>
      <c r="B174" t="s">
        <v>208</v>
      </c>
      <c r="C174" t="s">
        <v>22</v>
      </c>
      <c r="D174" t="s">
        <v>23</v>
      </c>
      <c r="E174">
        <v>2</v>
      </c>
      <c r="F174">
        <v>1972</v>
      </c>
      <c r="G174">
        <v>3944</v>
      </c>
      <c r="H174" t="s">
        <v>27</v>
      </c>
      <c r="I174" t="s">
        <v>14</v>
      </c>
      <c r="J174" t="s">
        <v>15</v>
      </c>
    </row>
    <row r="175" spans="1:10" x14ac:dyDescent="0.35">
      <c r="A175">
        <v>1174</v>
      </c>
      <c r="B175" t="s">
        <v>209</v>
      </c>
      <c r="C175" t="s">
        <v>25</v>
      </c>
      <c r="D175" t="s">
        <v>26</v>
      </c>
      <c r="E175">
        <v>1</v>
      </c>
      <c r="F175">
        <v>9837</v>
      </c>
      <c r="G175">
        <v>9837</v>
      </c>
      <c r="H175" t="s">
        <v>40</v>
      </c>
      <c r="I175" t="s">
        <v>14</v>
      </c>
      <c r="J175" t="s">
        <v>15</v>
      </c>
    </row>
    <row r="176" spans="1:10" x14ac:dyDescent="0.35">
      <c r="A176">
        <v>1175</v>
      </c>
      <c r="B176" t="s">
        <v>210</v>
      </c>
      <c r="C176" t="s">
        <v>29</v>
      </c>
      <c r="D176" t="s">
        <v>26</v>
      </c>
      <c r="E176">
        <v>5</v>
      </c>
      <c r="F176">
        <v>857</v>
      </c>
      <c r="G176">
        <v>4285</v>
      </c>
      <c r="H176" t="s">
        <v>13</v>
      </c>
      <c r="I176" t="s">
        <v>19</v>
      </c>
      <c r="J176" t="s">
        <v>15</v>
      </c>
    </row>
    <row r="177" spans="1:10" x14ac:dyDescent="0.35">
      <c r="A177">
        <v>1176</v>
      </c>
      <c r="B177" t="s">
        <v>211</v>
      </c>
      <c r="C177" t="s">
        <v>31</v>
      </c>
      <c r="D177" t="s">
        <v>12</v>
      </c>
      <c r="E177">
        <v>1</v>
      </c>
      <c r="F177">
        <v>20323</v>
      </c>
      <c r="G177">
        <v>20323</v>
      </c>
      <c r="H177" t="s">
        <v>13</v>
      </c>
      <c r="I177" t="s">
        <v>14</v>
      </c>
      <c r="J177" t="s">
        <v>15</v>
      </c>
    </row>
    <row r="178" spans="1:10" x14ac:dyDescent="0.35">
      <c r="A178">
        <v>1177</v>
      </c>
      <c r="B178" t="s">
        <v>212</v>
      </c>
      <c r="C178" t="s">
        <v>35</v>
      </c>
      <c r="D178" t="s">
        <v>36</v>
      </c>
      <c r="E178">
        <v>5</v>
      </c>
      <c r="F178">
        <v>1000</v>
      </c>
      <c r="G178">
        <v>5000</v>
      </c>
      <c r="H178" t="s">
        <v>40</v>
      </c>
      <c r="I178" t="s">
        <v>19</v>
      </c>
      <c r="J178" t="s">
        <v>33</v>
      </c>
    </row>
    <row r="179" spans="1:10" x14ac:dyDescent="0.35">
      <c r="A179">
        <v>1178</v>
      </c>
      <c r="B179" t="s">
        <v>213</v>
      </c>
      <c r="C179" t="s">
        <v>39</v>
      </c>
      <c r="D179" t="s">
        <v>23</v>
      </c>
      <c r="E179">
        <v>5</v>
      </c>
      <c r="F179">
        <v>1359</v>
      </c>
      <c r="G179">
        <v>6795</v>
      </c>
      <c r="H179" t="s">
        <v>13</v>
      </c>
      <c r="I179" t="s">
        <v>32</v>
      </c>
      <c r="J179" t="s">
        <v>33</v>
      </c>
    </row>
    <row r="180" spans="1:10" x14ac:dyDescent="0.35">
      <c r="A180">
        <v>1179</v>
      </c>
      <c r="B180" t="s">
        <v>214</v>
      </c>
      <c r="C180" t="s">
        <v>42</v>
      </c>
      <c r="D180" t="s">
        <v>12</v>
      </c>
      <c r="E180">
        <v>1</v>
      </c>
      <c r="F180">
        <v>14026</v>
      </c>
      <c r="G180">
        <v>14026</v>
      </c>
      <c r="H180" t="s">
        <v>27</v>
      </c>
      <c r="I180" t="s">
        <v>32</v>
      </c>
      <c r="J180" t="s">
        <v>15</v>
      </c>
    </row>
    <row r="181" spans="1:10" x14ac:dyDescent="0.35">
      <c r="A181">
        <v>1180</v>
      </c>
      <c r="B181" t="s">
        <v>215</v>
      </c>
      <c r="C181" t="s">
        <v>44</v>
      </c>
      <c r="D181" t="s">
        <v>26</v>
      </c>
      <c r="E181">
        <v>2</v>
      </c>
      <c r="F181">
        <v>685</v>
      </c>
      <c r="G181">
        <v>1370</v>
      </c>
      <c r="H181" t="s">
        <v>40</v>
      </c>
      <c r="I181" t="s">
        <v>19</v>
      </c>
      <c r="J181" t="s">
        <v>20</v>
      </c>
    </row>
    <row r="182" spans="1:10" x14ac:dyDescent="0.35">
      <c r="A182">
        <v>1181</v>
      </c>
      <c r="B182" t="s">
        <v>216</v>
      </c>
      <c r="C182" t="s">
        <v>11</v>
      </c>
      <c r="D182" t="s">
        <v>12</v>
      </c>
      <c r="E182">
        <v>1</v>
      </c>
      <c r="F182">
        <v>54311</v>
      </c>
      <c r="G182">
        <v>54311</v>
      </c>
      <c r="H182" t="s">
        <v>18</v>
      </c>
      <c r="I182" t="s">
        <v>32</v>
      </c>
      <c r="J182" t="s">
        <v>20</v>
      </c>
    </row>
    <row r="183" spans="1:10" x14ac:dyDescent="0.35">
      <c r="A183">
        <v>1182</v>
      </c>
      <c r="B183" t="s">
        <v>217</v>
      </c>
      <c r="C183" t="s">
        <v>17</v>
      </c>
      <c r="D183" t="s">
        <v>12</v>
      </c>
      <c r="E183">
        <v>2</v>
      </c>
      <c r="F183">
        <v>1713</v>
      </c>
      <c r="G183">
        <v>3426</v>
      </c>
      <c r="H183" t="s">
        <v>27</v>
      </c>
      <c r="I183" t="s">
        <v>14</v>
      </c>
      <c r="J183" t="s">
        <v>15</v>
      </c>
    </row>
    <row r="184" spans="1:10" x14ac:dyDescent="0.35">
      <c r="A184">
        <v>1183</v>
      </c>
      <c r="B184" t="s">
        <v>218</v>
      </c>
      <c r="C184" t="s">
        <v>22</v>
      </c>
      <c r="D184" t="s">
        <v>23</v>
      </c>
      <c r="E184">
        <v>2</v>
      </c>
      <c r="F184">
        <v>3204</v>
      </c>
      <c r="G184">
        <v>6408</v>
      </c>
      <c r="H184" t="s">
        <v>40</v>
      </c>
      <c r="I184" t="s">
        <v>32</v>
      </c>
      <c r="J184" t="s">
        <v>20</v>
      </c>
    </row>
    <row r="185" spans="1:10" x14ac:dyDescent="0.35">
      <c r="A185">
        <v>1184</v>
      </c>
      <c r="B185" t="s">
        <v>219</v>
      </c>
      <c r="C185" t="s">
        <v>25</v>
      </c>
      <c r="D185" t="s">
        <v>26</v>
      </c>
      <c r="E185">
        <v>5</v>
      </c>
      <c r="F185">
        <v>18542</v>
      </c>
      <c r="G185">
        <v>92710</v>
      </c>
      <c r="H185" t="s">
        <v>40</v>
      </c>
      <c r="I185" t="s">
        <v>19</v>
      </c>
      <c r="J185" t="s">
        <v>20</v>
      </c>
    </row>
    <row r="186" spans="1:10" x14ac:dyDescent="0.35">
      <c r="A186">
        <v>1185</v>
      </c>
      <c r="B186" t="s">
        <v>220</v>
      </c>
      <c r="C186" t="s">
        <v>29</v>
      </c>
      <c r="D186" t="s">
        <v>26</v>
      </c>
      <c r="E186">
        <v>1</v>
      </c>
      <c r="F186">
        <v>521</v>
      </c>
      <c r="G186">
        <v>521</v>
      </c>
      <c r="H186" t="s">
        <v>13</v>
      </c>
      <c r="I186" t="s">
        <v>14</v>
      </c>
      <c r="J186" t="s">
        <v>20</v>
      </c>
    </row>
    <row r="187" spans="1:10" x14ac:dyDescent="0.35">
      <c r="A187">
        <v>1186</v>
      </c>
      <c r="B187" t="s">
        <v>221</v>
      </c>
      <c r="C187" t="s">
        <v>31</v>
      </c>
      <c r="D187" t="s">
        <v>12</v>
      </c>
      <c r="E187">
        <v>1</v>
      </c>
      <c r="F187">
        <v>13218</v>
      </c>
      <c r="G187">
        <v>13218</v>
      </c>
      <c r="H187" t="s">
        <v>40</v>
      </c>
      <c r="I187" t="s">
        <v>14</v>
      </c>
      <c r="J187" t="s">
        <v>20</v>
      </c>
    </row>
    <row r="188" spans="1:10" x14ac:dyDescent="0.35">
      <c r="A188">
        <v>1187</v>
      </c>
      <c r="B188" t="s">
        <v>222</v>
      </c>
      <c r="C188" t="s">
        <v>35</v>
      </c>
      <c r="D188" t="s">
        <v>36</v>
      </c>
      <c r="E188">
        <v>2</v>
      </c>
      <c r="F188">
        <v>248</v>
      </c>
      <c r="G188">
        <v>496</v>
      </c>
      <c r="H188" t="s">
        <v>27</v>
      </c>
      <c r="I188" t="s">
        <v>19</v>
      </c>
      <c r="J188" t="s">
        <v>20</v>
      </c>
    </row>
    <row r="189" spans="1:10" x14ac:dyDescent="0.35">
      <c r="A189">
        <v>1188</v>
      </c>
      <c r="B189" t="s">
        <v>223</v>
      </c>
      <c r="C189" t="s">
        <v>39</v>
      </c>
      <c r="D189" t="s">
        <v>23</v>
      </c>
      <c r="E189">
        <v>4</v>
      </c>
      <c r="F189">
        <v>1353</v>
      </c>
      <c r="G189">
        <v>5412</v>
      </c>
      <c r="H189" t="s">
        <v>27</v>
      </c>
      <c r="I189" t="s">
        <v>32</v>
      </c>
      <c r="J189" t="s">
        <v>33</v>
      </c>
    </row>
    <row r="190" spans="1:10" x14ac:dyDescent="0.35">
      <c r="A190">
        <v>1189</v>
      </c>
      <c r="B190" t="s">
        <v>224</v>
      </c>
      <c r="C190" t="s">
        <v>42</v>
      </c>
      <c r="D190" t="s">
        <v>12</v>
      </c>
      <c r="E190">
        <v>2</v>
      </c>
      <c r="F190">
        <v>13462</v>
      </c>
      <c r="G190">
        <v>26924</v>
      </c>
      <c r="H190" t="s">
        <v>13</v>
      </c>
      <c r="I190" t="s">
        <v>19</v>
      </c>
      <c r="J190" t="s">
        <v>33</v>
      </c>
    </row>
    <row r="191" spans="1:10" x14ac:dyDescent="0.35">
      <c r="A191">
        <v>1190</v>
      </c>
      <c r="B191" t="s">
        <v>225</v>
      </c>
      <c r="C191" t="s">
        <v>44</v>
      </c>
      <c r="D191" t="s">
        <v>26</v>
      </c>
      <c r="E191">
        <v>5</v>
      </c>
      <c r="F191">
        <v>404</v>
      </c>
      <c r="G191">
        <v>2020</v>
      </c>
      <c r="H191" t="s">
        <v>40</v>
      </c>
      <c r="I191" t="s">
        <v>19</v>
      </c>
      <c r="J191" t="s">
        <v>15</v>
      </c>
    </row>
    <row r="192" spans="1:10" x14ac:dyDescent="0.35">
      <c r="A192">
        <v>1191</v>
      </c>
      <c r="B192" t="s">
        <v>226</v>
      </c>
      <c r="C192" t="s">
        <v>11</v>
      </c>
      <c r="D192" t="s">
        <v>12</v>
      </c>
      <c r="E192">
        <v>1</v>
      </c>
      <c r="F192">
        <v>59800</v>
      </c>
      <c r="G192">
        <v>59800</v>
      </c>
      <c r="H192" t="s">
        <v>37</v>
      </c>
      <c r="I192" t="s">
        <v>19</v>
      </c>
      <c r="J192" t="s">
        <v>33</v>
      </c>
    </row>
    <row r="193" spans="1:10" x14ac:dyDescent="0.35">
      <c r="A193">
        <v>1192</v>
      </c>
      <c r="B193" t="s">
        <v>227</v>
      </c>
      <c r="C193" t="s">
        <v>17</v>
      </c>
      <c r="D193" t="s">
        <v>12</v>
      </c>
      <c r="E193">
        <v>2</v>
      </c>
      <c r="F193">
        <v>2639</v>
      </c>
      <c r="G193">
        <v>5278</v>
      </c>
      <c r="H193" t="s">
        <v>18</v>
      </c>
      <c r="I193" t="s">
        <v>32</v>
      </c>
      <c r="J193" t="s">
        <v>20</v>
      </c>
    </row>
    <row r="194" spans="1:10" x14ac:dyDescent="0.35">
      <c r="A194">
        <v>1193</v>
      </c>
      <c r="B194" t="s">
        <v>228</v>
      </c>
      <c r="C194" t="s">
        <v>22</v>
      </c>
      <c r="D194" t="s">
        <v>23</v>
      </c>
      <c r="E194">
        <v>1</v>
      </c>
      <c r="F194">
        <v>2167</v>
      </c>
      <c r="G194">
        <v>2167</v>
      </c>
      <c r="H194" t="s">
        <v>51</v>
      </c>
      <c r="I194" t="s">
        <v>14</v>
      </c>
      <c r="J194" t="s">
        <v>20</v>
      </c>
    </row>
    <row r="195" spans="1:10" x14ac:dyDescent="0.35">
      <c r="A195">
        <v>1194</v>
      </c>
      <c r="B195" t="s">
        <v>229</v>
      </c>
      <c r="C195" t="s">
        <v>25</v>
      </c>
      <c r="D195" t="s">
        <v>26</v>
      </c>
      <c r="E195">
        <v>3</v>
      </c>
      <c r="F195">
        <v>8179</v>
      </c>
      <c r="G195">
        <v>24537</v>
      </c>
      <c r="H195" t="s">
        <v>13</v>
      </c>
      <c r="I195" t="s">
        <v>32</v>
      </c>
      <c r="J195" t="s">
        <v>15</v>
      </c>
    </row>
    <row r="196" spans="1:10" x14ac:dyDescent="0.35">
      <c r="A196">
        <v>1195</v>
      </c>
      <c r="B196" t="s">
        <v>230</v>
      </c>
      <c r="C196" t="s">
        <v>29</v>
      </c>
      <c r="D196" t="s">
        <v>26</v>
      </c>
      <c r="E196">
        <v>1</v>
      </c>
      <c r="F196">
        <v>374</v>
      </c>
      <c r="G196">
        <v>374</v>
      </c>
      <c r="H196" t="s">
        <v>40</v>
      </c>
      <c r="I196" t="s">
        <v>14</v>
      </c>
      <c r="J196" t="s">
        <v>15</v>
      </c>
    </row>
    <row r="197" spans="1:10" x14ac:dyDescent="0.35">
      <c r="A197">
        <v>1196</v>
      </c>
      <c r="B197" t="s">
        <v>231</v>
      </c>
      <c r="C197" t="s">
        <v>31</v>
      </c>
      <c r="D197" t="s">
        <v>12</v>
      </c>
      <c r="E197">
        <v>1</v>
      </c>
      <c r="F197">
        <v>36595</v>
      </c>
      <c r="G197">
        <v>36595</v>
      </c>
      <c r="H197" t="s">
        <v>27</v>
      </c>
      <c r="I197" t="s">
        <v>14</v>
      </c>
      <c r="J197" t="s">
        <v>33</v>
      </c>
    </row>
    <row r="198" spans="1:10" x14ac:dyDescent="0.35">
      <c r="A198">
        <v>1197</v>
      </c>
      <c r="B198" t="s">
        <v>232</v>
      </c>
      <c r="C198" t="s">
        <v>35</v>
      </c>
      <c r="D198" t="s">
        <v>36</v>
      </c>
      <c r="E198">
        <v>5</v>
      </c>
      <c r="F198">
        <v>570</v>
      </c>
      <c r="G198">
        <v>2850</v>
      </c>
      <c r="H198" t="s">
        <v>37</v>
      </c>
      <c r="I198" t="s">
        <v>19</v>
      </c>
      <c r="J198" t="s">
        <v>20</v>
      </c>
    </row>
    <row r="199" spans="1:10" x14ac:dyDescent="0.35">
      <c r="A199">
        <v>1198</v>
      </c>
      <c r="B199" t="s">
        <v>233</v>
      </c>
      <c r="C199" t="s">
        <v>39</v>
      </c>
      <c r="D199" t="s">
        <v>23</v>
      </c>
      <c r="E199">
        <v>3</v>
      </c>
      <c r="F199">
        <v>1005</v>
      </c>
      <c r="G199">
        <v>3015</v>
      </c>
      <c r="H199" t="s">
        <v>37</v>
      </c>
      <c r="I199" t="s">
        <v>19</v>
      </c>
      <c r="J199" t="s">
        <v>33</v>
      </c>
    </row>
    <row r="200" spans="1:10" x14ac:dyDescent="0.35">
      <c r="A200">
        <v>1199</v>
      </c>
      <c r="B200" t="s">
        <v>234</v>
      </c>
      <c r="C200" t="s">
        <v>42</v>
      </c>
      <c r="D200" t="s">
        <v>12</v>
      </c>
      <c r="E200">
        <v>2</v>
      </c>
      <c r="F200">
        <v>14435</v>
      </c>
      <c r="G200">
        <v>28870</v>
      </c>
      <c r="H200" t="s">
        <v>18</v>
      </c>
      <c r="I200" t="s">
        <v>19</v>
      </c>
      <c r="J200" t="s">
        <v>15</v>
      </c>
    </row>
    <row r="201" spans="1:10" x14ac:dyDescent="0.35">
      <c r="A201">
        <v>1200</v>
      </c>
      <c r="B201" t="s">
        <v>235</v>
      </c>
      <c r="C201" t="s">
        <v>44</v>
      </c>
      <c r="D201" t="s">
        <v>26</v>
      </c>
      <c r="E201">
        <v>5</v>
      </c>
      <c r="F201">
        <v>351</v>
      </c>
      <c r="G201">
        <v>1755</v>
      </c>
      <c r="H201" t="s">
        <v>40</v>
      </c>
      <c r="I201" t="s">
        <v>32</v>
      </c>
      <c r="J201" t="s">
        <v>15</v>
      </c>
    </row>
    <row r="202" spans="1:10" x14ac:dyDescent="0.35">
      <c r="A202">
        <v>1201</v>
      </c>
      <c r="B202" t="s">
        <v>236</v>
      </c>
      <c r="C202" t="s">
        <v>11</v>
      </c>
      <c r="D202" t="s">
        <v>12</v>
      </c>
      <c r="E202">
        <v>2</v>
      </c>
      <c r="F202">
        <v>60581</v>
      </c>
      <c r="G202">
        <v>121162</v>
      </c>
      <c r="H202" t="s">
        <v>27</v>
      </c>
      <c r="I202" t="s">
        <v>14</v>
      </c>
      <c r="J202" t="s">
        <v>33</v>
      </c>
    </row>
    <row r="203" spans="1:10" x14ac:dyDescent="0.35">
      <c r="A203">
        <v>1202</v>
      </c>
      <c r="B203" t="s">
        <v>237</v>
      </c>
      <c r="C203" t="s">
        <v>17</v>
      </c>
      <c r="D203" t="s">
        <v>12</v>
      </c>
      <c r="E203">
        <v>1</v>
      </c>
      <c r="F203">
        <v>2742</v>
      </c>
      <c r="G203">
        <v>2742</v>
      </c>
      <c r="H203" t="s">
        <v>51</v>
      </c>
      <c r="I203" t="s">
        <v>32</v>
      </c>
      <c r="J203" t="s">
        <v>33</v>
      </c>
    </row>
    <row r="204" spans="1:10" x14ac:dyDescent="0.35">
      <c r="A204">
        <v>1203</v>
      </c>
      <c r="B204" t="s">
        <v>238</v>
      </c>
      <c r="C204" t="s">
        <v>22</v>
      </c>
      <c r="D204" t="s">
        <v>23</v>
      </c>
      <c r="E204">
        <v>3</v>
      </c>
      <c r="F204">
        <v>3576</v>
      </c>
      <c r="G204">
        <v>10728</v>
      </c>
      <c r="H204" t="s">
        <v>37</v>
      </c>
      <c r="I204" t="s">
        <v>14</v>
      </c>
      <c r="J204" t="s">
        <v>15</v>
      </c>
    </row>
    <row r="205" spans="1:10" x14ac:dyDescent="0.35">
      <c r="A205">
        <v>1204</v>
      </c>
      <c r="B205" t="s">
        <v>239</v>
      </c>
      <c r="C205" t="s">
        <v>25</v>
      </c>
      <c r="D205" t="s">
        <v>26</v>
      </c>
      <c r="E205">
        <v>4</v>
      </c>
      <c r="F205">
        <v>15524</v>
      </c>
      <c r="G205">
        <v>62096</v>
      </c>
      <c r="H205" t="s">
        <v>13</v>
      </c>
      <c r="I205" t="s">
        <v>19</v>
      </c>
      <c r="J205" t="s">
        <v>15</v>
      </c>
    </row>
    <row r="206" spans="1:10" x14ac:dyDescent="0.35">
      <c r="A206">
        <v>1205</v>
      </c>
      <c r="B206" t="s">
        <v>240</v>
      </c>
      <c r="C206" t="s">
        <v>29</v>
      </c>
      <c r="D206" t="s">
        <v>26</v>
      </c>
      <c r="E206">
        <v>3</v>
      </c>
      <c r="F206">
        <v>973</v>
      </c>
      <c r="G206">
        <v>2919</v>
      </c>
      <c r="H206" t="s">
        <v>27</v>
      </c>
      <c r="I206" t="s">
        <v>19</v>
      </c>
      <c r="J206" t="s">
        <v>20</v>
      </c>
    </row>
    <row r="207" spans="1:10" x14ac:dyDescent="0.35">
      <c r="A207">
        <v>1206</v>
      </c>
      <c r="B207" t="s">
        <v>241</v>
      </c>
      <c r="C207" t="s">
        <v>31</v>
      </c>
      <c r="D207" t="s">
        <v>12</v>
      </c>
      <c r="E207">
        <v>2</v>
      </c>
      <c r="F207">
        <v>19223</v>
      </c>
      <c r="G207">
        <v>38446</v>
      </c>
      <c r="H207" t="s">
        <v>27</v>
      </c>
      <c r="I207" t="s">
        <v>14</v>
      </c>
      <c r="J207" t="s">
        <v>20</v>
      </c>
    </row>
    <row r="208" spans="1:10" x14ac:dyDescent="0.35">
      <c r="A208">
        <v>1207</v>
      </c>
      <c r="B208" t="s">
        <v>242</v>
      </c>
      <c r="C208" t="s">
        <v>35</v>
      </c>
      <c r="D208" t="s">
        <v>36</v>
      </c>
      <c r="E208">
        <v>3</v>
      </c>
      <c r="F208">
        <v>197</v>
      </c>
      <c r="G208">
        <v>591</v>
      </c>
      <c r="H208" t="s">
        <v>51</v>
      </c>
      <c r="I208" t="s">
        <v>32</v>
      </c>
      <c r="J208" t="s">
        <v>15</v>
      </c>
    </row>
    <row r="209" spans="1:10" x14ac:dyDescent="0.35">
      <c r="A209">
        <v>1208</v>
      </c>
      <c r="B209" t="s">
        <v>243</v>
      </c>
      <c r="C209" t="s">
        <v>39</v>
      </c>
      <c r="D209" t="s">
        <v>23</v>
      </c>
      <c r="E209">
        <v>4</v>
      </c>
      <c r="F209">
        <v>1862</v>
      </c>
      <c r="G209">
        <v>7448</v>
      </c>
      <c r="H209" t="s">
        <v>13</v>
      </c>
      <c r="I209" t="s">
        <v>32</v>
      </c>
      <c r="J209" t="s">
        <v>20</v>
      </c>
    </row>
    <row r="210" spans="1:10" x14ac:dyDescent="0.35">
      <c r="A210">
        <v>1209</v>
      </c>
      <c r="B210" t="s">
        <v>244</v>
      </c>
      <c r="C210" t="s">
        <v>42</v>
      </c>
      <c r="D210" t="s">
        <v>12</v>
      </c>
      <c r="E210">
        <v>2</v>
      </c>
      <c r="F210">
        <v>7732</v>
      </c>
      <c r="G210">
        <v>15464</v>
      </c>
      <c r="H210" t="s">
        <v>40</v>
      </c>
      <c r="I210" t="s">
        <v>32</v>
      </c>
      <c r="J210" t="s">
        <v>33</v>
      </c>
    </row>
    <row r="211" spans="1:10" x14ac:dyDescent="0.35">
      <c r="A211">
        <v>1210</v>
      </c>
      <c r="B211" t="s">
        <v>245</v>
      </c>
      <c r="C211" t="s">
        <v>44</v>
      </c>
      <c r="D211" t="s">
        <v>26</v>
      </c>
      <c r="E211">
        <v>3</v>
      </c>
      <c r="F211">
        <v>508</v>
      </c>
      <c r="G211">
        <v>1524</v>
      </c>
      <c r="H211" t="s">
        <v>51</v>
      </c>
      <c r="I211" t="s">
        <v>14</v>
      </c>
      <c r="J211" t="s">
        <v>33</v>
      </c>
    </row>
    <row r="212" spans="1:10" x14ac:dyDescent="0.35">
      <c r="A212">
        <v>1211</v>
      </c>
      <c r="B212" t="s">
        <v>246</v>
      </c>
      <c r="C212" t="s">
        <v>11</v>
      </c>
      <c r="D212" t="s">
        <v>12</v>
      </c>
      <c r="E212">
        <v>1</v>
      </c>
      <c r="F212">
        <v>55970</v>
      </c>
      <c r="G212">
        <v>55970</v>
      </c>
      <c r="H212" t="s">
        <v>27</v>
      </c>
      <c r="I212" t="s">
        <v>14</v>
      </c>
      <c r="J212" t="s">
        <v>33</v>
      </c>
    </row>
    <row r="213" spans="1:10" x14ac:dyDescent="0.35">
      <c r="A213">
        <v>1212</v>
      </c>
      <c r="B213" t="s">
        <v>247</v>
      </c>
      <c r="C213" t="s">
        <v>17</v>
      </c>
      <c r="D213" t="s">
        <v>12</v>
      </c>
      <c r="E213">
        <v>2</v>
      </c>
      <c r="F213">
        <v>2129</v>
      </c>
      <c r="G213">
        <v>4258</v>
      </c>
      <c r="H213" t="s">
        <v>37</v>
      </c>
      <c r="I213" t="s">
        <v>32</v>
      </c>
      <c r="J213" t="s">
        <v>33</v>
      </c>
    </row>
    <row r="214" spans="1:10" x14ac:dyDescent="0.35">
      <c r="A214">
        <v>1213</v>
      </c>
      <c r="B214" t="s">
        <v>248</v>
      </c>
      <c r="C214" t="s">
        <v>22</v>
      </c>
      <c r="D214" t="s">
        <v>23</v>
      </c>
      <c r="E214">
        <v>3</v>
      </c>
      <c r="F214">
        <v>2280</v>
      </c>
      <c r="G214">
        <v>6840</v>
      </c>
      <c r="H214" t="s">
        <v>27</v>
      </c>
      <c r="I214" t="s">
        <v>14</v>
      </c>
      <c r="J214" t="s">
        <v>20</v>
      </c>
    </row>
    <row r="215" spans="1:10" x14ac:dyDescent="0.35">
      <c r="A215">
        <v>1214</v>
      </c>
      <c r="B215" t="s">
        <v>249</v>
      </c>
      <c r="C215" t="s">
        <v>25</v>
      </c>
      <c r="D215" t="s">
        <v>26</v>
      </c>
      <c r="E215">
        <v>1</v>
      </c>
      <c r="F215">
        <v>2260</v>
      </c>
      <c r="G215">
        <v>2260</v>
      </c>
      <c r="H215" t="s">
        <v>18</v>
      </c>
      <c r="I215" t="s">
        <v>14</v>
      </c>
      <c r="J215" t="s">
        <v>15</v>
      </c>
    </row>
    <row r="216" spans="1:10" x14ac:dyDescent="0.35">
      <c r="A216">
        <v>1215</v>
      </c>
      <c r="B216" t="s">
        <v>250</v>
      </c>
      <c r="C216" t="s">
        <v>29</v>
      </c>
      <c r="D216" t="s">
        <v>26</v>
      </c>
      <c r="E216">
        <v>4</v>
      </c>
      <c r="F216">
        <v>962</v>
      </c>
      <c r="G216">
        <v>3848</v>
      </c>
      <c r="H216" t="s">
        <v>37</v>
      </c>
      <c r="I216" t="s">
        <v>14</v>
      </c>
      <c r="J216" t="s">
        <v>20</v>
      </c>
    </row>
    <row r="217" spans="1:10" x14ac:dyDescent="0.35">
      <c r="A217">
        <v>1216</v>
      </c>
      <c r="B217" t="s">
        <v>251</v>
      </c>
      <c r="C217" t="s">
        <v>31</v>
      </c>
      <c r="D217" t="s">
        <v>12</v>
      </c>
      <c r="E217">
        <v>2</v>
      </c>
      <c r="F217">
        <v>12775</v>
      </c>
      <c r="G217">
        <v>25550</v>
      </c>
      <c r="H217" t="s">
        <v>40</v>
      </c>
      <c r="I217" t="s">
        <v>32</v>
      </c>
      <c r="J217" t="s">
        <v>15</v>
      </c>
    </row>
    <row r="218" spans="1:10" x14ac:dyDescent="0.35">
      <c r="A218">
        <v>1217</v>
      </c>
      <c r="B218" t="s">
        <v>252</v>
      </c>
      <c r="C218" t="s">
        <v>35</v>
      </c>
      <c r="D218" t="s">
        <v>36</v>
      </c>
      <c r="E218">
        <v>2</v>
      </c>
      <c r="F218">
        <v>685</v>
      </c>
      <c r="G218">
        <v>1370</v>
      </c>
      <c r="H218" t="s">
        <v>13</v>
      </c>
      <c r="I218" t="s">
        <v>19</v>
      </c>
      <c r="J218" t="s">
        <v>33</v>
      </c>
    </row>
    <row r="219" spans="1:10" x14ac:dyDescent="0.35">
      <c r="A219">
        <v>1218</v>
      </c>
      <c r="B219" t="s">
        <v>253</v>
      </c>
      <c r="C219" t="s">
        <v>39</v>
      </c>
      <c r="D219" t="s">
        <v>23</v>
      </c>
      <c r="E219">
        <v>4</v>
      </c>
      <c r="F219">
        <v>1218</v>
      </c>
      <c r="G219">
        <v>4872</v>
      </c>
      <c r="H219" t="s">
        <v>51</v>
      </c>
      <c r="I219" t="s">
        <v>19</v>
      </c>
      <c r="J219" t="s">
        <v>33</v>
      </c>
    </row>
    <row r="220" spans="1:10" x14ac:dyDescent="0.35">
      <c r="A220">
        <v>1219</v>
      </c>
      <c r="B220" t="s">
        <v>254</v>
      </c>
      <c r="C220" t="s">
        <v>42</v>
      </c>
      <c r="D220" t="s">
        <v>12</v>
      </c>
      <c r="E220">
        <v>1</v>
      </c>
      <c r="F220">
        <v>4031</v>
      </c>
      <c r="G220">
        <v>4031</v>
      </c>
      <c r="H220" t="s">
        <v>27</v>
      </c>
      <c r="I220" t="s">
        <v>14</v>
      </c>
      <c r="J220" t="s">
        <v>15</v>
      </c>
    </row>
    <row r="221" spans="1:10" x14ac:dyDescent="0.35">
      <c r="A221">
        <v>1220</v>
      </c>
      <c r="B221" t="s">
        <v>255</v>
      </c>
      <c r="C221" t="s">
        <v>44</v>
      </c>
      <c r="D221" t="s">
        <v>26</v>
      </c>
      <c r="E221">
        <v>2</v>
      </c>
      <c r="F221">
        <v>140</v>
      </c>
      <c r="G221">
        <v>280</v>
      </c>
      <c r="H221" t="s">
        <v>40</v>
      </c>
      <c r="I221" t="s">
        <v>14</v>
      </c>
      <c r="J221" t="s">
        <v>15</v>
      </c>
    </row>
    <row r="222" spans="1:10" x14ac:dyDescent="0.35">
      <c r="A222">
        <v>1221</v>
      </c>
      <c r="B222" t="s">
        <v>256</v>
      </c>
      <c r="C222" t="s">
        <v>11</v>
      </c>
      <c r="D222" t="s">
        <v>12</v>
      </c>
      <c r="E222">
        <v>2</v>
      </c>
      <c r="F222">
        <v>54557</v>
      </c>
      <c r="G222">
        <v>109114</v>
      </c>
      <c r="H222" t="s">
        <v>37</v>
      </c>
      <c r="I222" t="s">
        <v>32</v>
      </c>
      <c r="J222" t="s">
        <v>33</v>
      </c>
    </row>
    <row r="223" spans="1:10" x14ac:dyDescent="0.35">
      <c r="A223">
        <v>1222</v>
      </c>
      <c r="B223" t="s">
        <v>257</v>
      </c>
      <c r="C223" t="s">
        <v>17</v>
      </c>
      <c r="D223" t="s">
        <v>12</v>
      </c>
      <c r="E223">
        <v>2</v>
      </c>
      <c r="F223">
        <v>1892</v>
      </c>
      <c r="G223">
        <v>3784</v>
      </c>
      <c r="H223" t="s">
        <v>40</v>
      </c>
      <c r="I223" t="s">
        <v>14</v>
      </c>
      <c r="J223" t="s">
        <v>15</v>
      </c>
    </row>
    <row r="224" spans="1:10" x14ac:dyDescent="0.35">
      <c r="A224">
        <v>1223</v>
      </c>
      <c r="B224" t="s">
        <v>258</v>
      </c>
      <c r="C224" t="s">
        <v>22</v>
      </c>
      <c r="D224" t="s">
        <v>23</v>
      </c>
      <c r="E224">
        <v>3</v>
      </c>
      <c r="F224">
        <v>3197</v>
      </c>
      <c r="G224">
        <v>9591</v>
      </c>
      <c r="H224" t="s">
        <v>18</v>
      </c>
      <c r="I224" t="s">
        <v>14</v>
      </c>
      <c r="J224" t="s">
        <v>33</v>
      </c>
    </row>
    <row r="225" spans="1:10" x14ac:dyDescent="0.35">
      <c r="A225">
        <v>1224</v>
      </c>
      <c r="B225" t="s">
        <v>259</v>
      </c>
      <c r="C225" t="s">
        <v>25</v>
      </c>
      <c r="D225" t="s">
        <v>26</v>
      </c>
      <c r="E225">
        <v>5</v>
      </c>
      <c r="F225">
        <v>10225</v>
      </c>
      <c r="G225">
        <v>51125</v>
      </c>
      <c r="H225" t="s">
        <v>18</v>
      </c>
      <c r="I225" t="s">
        <v>32</v>
      </c>
      <c r="J225" t="s">
        <v>33</v>
      </c>
    </row>
    <row r="226" spans="1:10" x14ac:dyDescent="0.35">
      <c r="A226">
        <v>1225</v>
      </c>
      <c r="B226" t="s">
        <v>260</v>
      </c>
      <c r="C226" t="s">
        <v>29</v>
      </c>
      <c r="D226" t="s">
        <v>26</v>
      </c>
      <c r="E226">
        <v>2</v>
      </c>
      <c r="F226">
        <v>899</v>
      </c>
      <c r="G226">
        <v>1798</v>
      </c>
      <c r="H226" t="s">
        <v>51</v>
      </c>
      <c r="I226" t="s">
        <v>19</v>
      </c>
      <c r="J226" t="s">
        <v>20</v>
      </c>
    </row>
    <row r="227" spans="1:10" x14ac:dyDescent="0.35">
      <c r="A227">
        <v>1226</v>
      </c>
      <c r="B227" t="s">
        <v>261</v>
      </c>
      <c r="C227" t="s">
        <v>31</v>
      </c>
      <c r="D227" t="s">
        <v>12</v>
      </c>
      <c r="E227">
        <v>1</v>
      </c>
      <c r="F227">
        <v>32743</v>
      </c>
      <c r="G227">
        <v>32743</v>
      </c>
      <c r="H227" t="s">
        <v>51</v>
      </c>
      <c r="I227" t="s">
        <v>14</v>
      </c>
      <c r="J227" t="s">
        <v>15</v>
      </c>
    </row>
    <row r="228" spans="1:10" x14ac:dyDescent="0.35">
      <c r="A228">
        <v>1227</v>
      </c>
      <c r="B228" t="s">
        <v>262</v>
      </c>
      <c r="C228" t="s">
        <v>35</v>
      </c>
      <c r="D228" t="s">
        <v>36</v>
      </c>
      <c r="E228">
        <v>3</v>
      </c>
      <c r="F228">
        <v>736</v>
      </c>
      <c r="G228">
        <v>2208</v>
      </c>
      <c r="H228" t="s">
        <v>40</v>
      </c>
      <c r="I228" t="s">
        <v>32</v>
      </c>
      <c r="J228" t="s">
        <v>33</v>
      </c>
    </row>
    <row r="229" spans="1:10" x14ac:dyDescent="0.35">
      <c r="A229">
        <v>1228</v>
      </c>
      <c r="B229" t="s">
        <v>263</v>
      </c>
      <c r="C229" t="s">
        <v>39</v>
      </c>
      <c r="D229" t="s">
        <v>23</v>
      </c>
      <c r="E229">
        <v>4</v>
      </c>
      <c r="F229">
        <v>1504</v>
      </c>
      <c r="G229">
        <v>6016</v>
      </c>
      <c r="H229" t="s">
        <v>18</v>
      </c>
      <c r="I229" t="s">
        <v>14</v>
      </c>
      <c r="J229" t="s">
        <v>33</v>
      </c>
    </row>
    <row r="230" spans="1:10" x14ac:dyDescent="0.35">
      <c r="A230">
        <v>1229</v>
      </c>
      <c r="B230" t="s">
        <v>264</v>
      </c>
      <c r="C230" t="s">
        <v>42</v>
      </c>
      <c r="D230" t="s">
        <v>12</v>
      </c>
      <c r="E230">
        <v>2</v>
      </c>
      <c r="F230">
        <v>7086</v>
      </c>
      <c r="G230">
        <v>14172</v>
      </c>
      <c r="H230" t="s">
        <v>27</v>
      </c>
      <c r="I230" t="s">
        <v>14</v>
      </c>
      <c r="J230" t="s">
        <v>15</v>
      </c>
    </row>
    <row r="231" spans="1:10" x14ac:dyDescent="0.35">
      <c r="A231">
        <v>1230</v>
      </c>
      <c r="B231" t="s">
        <v>265</v>
      </c>
      <c r="C231" t="s">
        <v>44</v>
      </c>
      <c r="D231" t="s">
        <v>26</v>
      </c>
      <c r="E231">
        <v>1</v>
      </c>
      <c r="F231">
        <v>783</v>
      </c>
      <c r="G231">
        <v>783</v>
      </c>
      <c r="H231" t="s">
        <v>37</v>
      </c>
      <c r="I231" t="s">
        <v>32</v>
      </c>
      <c r="J231" t="s">
        <v>20</v>
      </c>
    </row>
    <row r="232" spans="1:10" x14ac:dyDescent="0.35">
      <c r="A232">
        <v>1231</v>
      </c>
      <c r="B232" t="s">
        <v>266</v>
      </c>
      <c r="C232" t="s">
        <v>11</v>
      </c>
      <c r="D232" t="s">
        <v>12</v>
      </c>
      <c r="E232">
        <v>1</v>
      </c>
      <c r="F232">
        <v>67161</v>
      </c>
      <c r="G232">
        <v>67161</v>
      </c>
      <c r="H232" t="s">
        <v>27</v>
      </c>
      <c r="I232" t="s">
        <v>19</v>
      </c>
      <c r="J232" t="s">
        <v>33</v>
      </c>
    </row>
    <row r="233" spans="1:10" x14ac:dyDescent="0.35">
      <c r="A233">
        <v>1232</v>
      </c>
      <c r="B233" t="s">
        <v>267</v>
      </c>
      <c r="C233" t="s">
        <v>17</v>
      </c>
      <c r="D233" t="s">
        <v>12</v>
      </c>
      <c r="E233">
        <v>3</v>
      </c>
      <c r="F233">
        <v>2774</v>
      </c>
      <c r="G233">
        <v>8322</v>
      </c>
      <c r="H233" t="s">
        <v>13</v>
      </c>
      <c r="I233" t="s">
        <v>19</v>
      </c>
      <c r="J233" t="s">
        <v>20</v>
      </c>
    </row>
    <row r="234" spans="1:10" x14ac:dyDescent="0.35">
      <c r="A234">
        <v>1233</v>
      </c>
      <c r="B234" t="s">
        <v>268</v>
      </c>
      <c r="C234" t="s">
        <v>22</v>
      </c>
      <c r="D234" t="s">
        <v>23</v>
      </c>
      <c r="E234">
        <v>2</v>
      </c>
      <c r="F234">
        <v>1961</v>
      </c>
      <c r="G234">
        <v>3922</v>
      </c>
      <c r="H234" t="s">
        <v>18</v>
      </c>
      <c r="I234" t="s">
        <v>14</v>
      </c>
      <c r="J234" t="s">
        <v>15</v>
      </c>
    </row>
    <row r="235" spans="1:10" x14ac:dyDescent="0.35">
      <c r="A235">
        <v>1234</v>
      </c>
      <c r="B235" t="s">
        <v>269</v>
      </c>
      <c r="C235" t="s">
        <v>25</v>
      </c>
      <c r="D235" t="s">
        <v>26</v>
      </c>
      <c r="E235">
        <v>3</v>
      </c>
      <c r="F235">
        <v>3843</v>
      </c>
      <c r="G235">
        <v>11529</v>
      </c>
      <c r="H235" t="s">
        <v>37</v>
      </c>
      <c r="I235" t="s">
        <v>19</v>
      </c>
      <c r="J235" t="s">
        <v>15</v>
      </c>
    </row>
    <row r="236" spans="1:10" x14ac:dyDescent="0.35">
      <c r="A236">
        <v>1235</v>
      </c>
      <c r="B236" t="s">
        <v>270</v>
      </c>
      <c r="C236" t="s">
        <v>29</v>
      </c>
      <c r="D236" t="s">
        <v>26</v>
      </c>
      <c r="E236">
        <v>2</v>
      </c>
      <c r="F236">
        <v>515</v>
      </c>
      <c r="G236">
        <v>1030</v>
      </c>
      <c r="H236" t="s">
        <v>51</v>
      </c>
      <c r="I236" t="s">
        <v>14</v>
      </c>
      <c r="J236" t="s">
        <v>33</v>
      </c>
    </row>
    <row r="237" spans="1:10" x14ac:dyDescent="0.35">
      <c r="A237">
        <v>1236</v>
      </c>
      <c r="B237" t="s">
        <v>271</v>
      </c>
      <c r="C237" t="s">
        <v>31</v>
      </c>
      <c r="D237" t="s">
        <v>12</v>
      </c>
      <c r="E237">
        <v>2</v>
      </c>
      <c r="F237">
        <v>18773</v>
      </c>
      <c r="G237">
        <v>37546</v>
      </c>
      <c r="H237" t="s">
        <v>37</v>
      </c>
      <c r="I237" t="s">
        <v>19</v>
      </c>
      <c r="J237" t="s">
        <v>33</v>
      </c>
    </row>
    <row r="238" spans="1:10" x14ac:dyDescent="0.35">
      <c r="A238">
        <v>1237</v>
      </c>
      <c r="B238" t="s">
        <v>272</v>
      </c>
      <c r="C238" t="s">
        <v>35</v>
      </c>
      <c r="D238" t="s">
        <v>36</v>
      </c>
      <c r="E238">
        <v>2</v>
      </c>
      <c r="F238">
        <v>418</v>
      </c>
      <c r="G238">
        <v>836</v>
      </c>
      <c r="H238" t="s">
        <v>37</v>
      </c>
      <c r="I238" t="s">
        <v>19</v>
      </c>
      <c r="J238" t="s">
        <v>15</v>
      </c>
    </row>
    <row r="239" spans="1:10" x14ac:dyDescent="0.35">
      <c r="A239">
        <v>1238</v>
      </c>
      <c r="B239" t="s">
        <v>273</v>
      </c>
      <c r="C239" t="s">
        <v>39</v>
      </c>
      <c r="D239" t="s">
        <v>23</v>
      </c>
      <c r="E239">
        <v>2</v>
      </c>
      <c r="F239">
        <v>996</v>
      </c>
      <c r="G239">
        <v>1992</v>
      </c>
      <c r="H239" t="s">
        <v>51</v>
      </c>
      <c r="I239" t="s">
        <v>32</v>
      </c>
      <c r="J239" t="s">
        <v>15</v>
      </c>
    </row>
    <row r="240" spans="1:10" x14ac:dyDescent="0.35">
      <c r="A240">
        <v>1239</v>
      </c>
      <c r="B240" t="s">
        <v>274</v>
      </c>
      <c r="C240" t="s">
        <v>42</v>
      </c>
      <c r="D240" t="s">
        <v>12</v>
      </c>
      <c r="E240">
        <v>2</v>
      </c>
      <c r="F240">
        <v>12569</v>
      </c>
      <c r="G240">
        <v>25138</v>
      </c>
      <c r="H240" t="s">
        <v>37</v>
      </c>
      <c r="I240" t="s">
        <v>14</v>
      </c>
      <c r="J240" t="s">
        <v>20</v>
      </c>
    </row>
    <row r="241" spans="1:10" x14ac:dyDescent="0.35">
      <c r="A241">
        <v>1240</v>
      </c>
      <c r="B241" t="s">
        <v>275</v>
      </c>
      <c r="C241" t="s">
        <v>44</v>
      </c>
      <c r="D241" t="s">
        <v>26</v>
      </c>
      <c r="E241">
        <v>3</v>
      </c>
      <c r="F241">
        <v>241</v>
      </c>
      <c r="G241">
        <v>723</v>
      </c>
      <c r="H241" t="s">
        <v>18</v>
      </c>
      <c r="I241" t="s">
        <v>32</v>
      </c>
      <c r="J241" t="s">
        <v>15</v>
      </c>
    </row>
    <row r="242" spans="1:10" x14ac:dyDescent="0.35">
      <c r="A242">
        <v>1241</v>
      </c>
      <c r="B242" t="s">
        <v>276</v>
      </c>
      <c r="C242" t="s">
        <v>11</v>
      </c>
      <c r="D242" t="s">
        <v>12</v>
      </c>
      <c r="E242">
        <v>1</v>
      </c>
      <c r="F242">
        <v>51561</v>
      </c>
      <c r="G242">
        <v>51561</v>
      </c>
      <c r="H242" t="s">
        <v>27</v>
      </c>
      <c r="I242" t="s">
        <v>19</v>
      </c>
      <c r="J242" t="s">
        <v>20</v>
      </c>
    </row>
    <row r="243" spans="1:10" x14ac:dyDescent="0.35">
      <c r="A243">
        <v>1242</v>
      </c>
      <c r="B243" t="s">
        <v>277</v>
      </c>
      <c r="C243" t="s">
        <v>17</v>
      </c>
      <c r="D243" t="s">
        <v>12</v>
      </c>
      <c r="E243">
        <v>3</v>
      </c>
      <c r="F243">
        <v>2846</v>
      </c>
      <c r="G243">
        <v>8538</v>
      </c>
      <c r="H243" t="s">
        <v>18</v>
      </c>
      <c r="I243" t="s">
        <v>14</v>
      </c>
      <c r="J243" t="s">
        <v>15</v>
      </c>
    </row>
    <row r="244" spans="1:10" x14ac:dyDescent="0.35">
      <c r="A244">
        <v>1243</v>
      </c>
      <c r="B244" t="s">
        <v>278</v>
      </c>
      <c r="C244" t="s">
        <v>22</v>
      </c>
      <c r="D244" t="s">
        <v>23</v>
      </c>
      <c r="E244">
        <v>2</v>
      </c>
      <c r="F244">
        <v>1792</v>
      </c>
      <c r="G244">
        <v>3584</v>
      </c>
      <c r="H244" t="s">
        <v>37</v>
      </c>
      <c r="I244" t="s">
        <v>14</v>
      </c>
      <c r="J244" t="s">
        <v>20</v>
      </c>
    </row>
    <row r="245" spans="1:10" x14ac:dyDescent="0.35">
      <c r="A245">
        <v>1244</v>
      </c>
      <c r="B245" t="s">
        <v>279</v>
      </c>
      <c r="C245" t="s">
        <v>25</v>
      </c>
      <c r="D245" t="s">
        <v>26</v>
      </c>
      <c r="E245">
        <v>1</v>
      </c>
      <c r="F245">
        <v>17414</v>
      </c>
      <c r="G245">
        <v>17414</v>
      </c>
      <c r="H245" t="s">
        <v>37</v>
      </c>
      <c r="I245" t="s">
        <v>14</v>
      </c>
      <c r="J245" t="s">
        <v>20</v>
      </c>
    </row>
    <row r="246" spans="1:10" x14ac:dyDescent="0.35">
      <c r="A246">
        <v>1245</v>
      </c>
      <c r="B246" t="s">
        <v>280</v>
      </c>
      <c r="C246" t="s">
        <v>29</v>
      </c>
      <c r="D246" t="s">
        <v>26</v>
      </c>
      <c r="E246">
        <v>5</v>
      </c>
      <c r="F246">
        <v>417</v>
      </c>
      <c r="G246">
        <v>2085</v>
      </c>
      <c r="H246" t="s">
        <v>51</v>
      </c>
      <c r="I246" t="s">
        <v>19</v>
      </c>
      <c r="J246" t="s">
        <v>33</v>
      </c>
    </row>
    <row r="247" spans="1:10" x14ac:dyDescent="0.35">
      <c r="A247">
        <v>1246</v>
      </c>
      <c r="B247" t="s">
        <v>281</v>
      </c>
      <c r="C247" t="s">
        <v>31</v>
      </c>
      <c r="D247" t="s">
        <v>12</v>
      </c>
      <c r="E247">
        <v>1</v>
      </c>
      <c r="F247">
        <v>32293</v>
      </c>
      <c r="G247">
        <v>32293</v>
      </c>
      <c r="H247" t="s">
        <v>27</v>
      </c>
      <c r="I247" t="s">
        <v>14</v>
      </c>
      <c r="J247" t="s">
        <v>20</v>
      </c>
    </row>
    <row r="248" spans="1:10" x14ac:dyDescent="0.35">
      <c r="A248">
        <v>1247</v>
      </c>
      <c r="B248" t="s">
        <v>282</v>
      </c>
      <c r="C248" t="s">
        <v>35</v>
      </c>
      <c r="D248" t="s">
        <v>36</v>
      </c>
      <c r="E248">
        <v>2</v>
      </c>
      <c r="F248">
        <v>750</v>
      </c>
      <c r="G248">
        <v>1500</v>
      </c>
      <c r="H248" t="s">
        <v>51</v>
      </c>
      <c r="I248" t="s">
        <v>32</v>
      </c>
      <c r="J248" t="s">
        <v>33</v>
      </c>
    </row>
    <row r="249" spans="1:10" x14ac:dyDescent="0.35">
      <c r="A249">
        <v>1248</v>
      </c>
      <c r="B249" t="s">
        <v>283</v>
      </c>
      <c r="C249" t="s">
        <v>39</v>
      </c>
      <c r="D249" t="s">
        <v>23</v>
      </c>
      <c r="E249">
        <v>3</v>
      </c>
      <c r="F249">
        <v>1702</v>
      </c>
      <c r="G249">
        <v>5106</v>
      </c>
      <c r="H249" t="s">
        <v>51</v>
      </c>
      <c r="I249" t="s">
        <v>14</v>
      </c>
      <c r="J249" t="s">
        <v>33</v>
      </c>
    </row>
    <row r="250" spans="1:10" x14ac:dyDescent="0.35">
      <c r="A250">
        <v>1249</v>
      </c>
      <c r="B250" t="s">
        <v>284</v>
      </c>
      <c r="C250" t="s">
        <v>42</v>
      </c>
      <c r="D250" t="s">
        <v>12</v>
      </c>
      <c r="E250">
        <v>1</v>
      </c>
      <c r="F250">
        <v>10698</v>
      </c>
      <c r="G250">
        <v>10698</v>
      </c>
      <c r="H250" t="s">
        <v>18</v>
      </c>
      <c r="I250" t="s">
        <v>19</v>
      </c>
      <c r="J250" t="s">
        <v>15</v>
      </c>
    </row>
    <row r="251" spans="1:10" x14ac:dyDescent="0.35">
      <c r="A251">
        <v>1250</v>
      </c>
      <c r="B251" t="s">
        <v>285</v>
      </c>
      <c r="C251" t="s">
        <v>44</v>
      </c>
      <c r="D251" t="s">
        <v>26</v>
      </c>
      <c r="E251">
        <v>3</v>
      </c>
      <c r="F251">
        <v>468</v>
      </c>
      <c r="G251">
        <v>1404</v>
      </c>
      <c r="H251" t="s">
        <v>18</v>
      </c>
      <c r="I251" t="s">
        <v>14</v>
      </c>
      <c r="J251" t="s">
        <v>20</v>
      </c>
    </row>
    <row r="252" spans="1:10" x14ac:dyDescent="0.35">
      <c r="A252">
        <v>1251</v>
      </c>
      <c r="B252" t="s">
        <v>286</v>
      </c>
      <c r="C252" t="s">
        <v>11</v>
      </c>
      <c r="D252" t="s">
        <v>12</v>
      </c>
      <c r="E252">
        <v>2</v>
      </c>
      <c r="F252">
        <v>57310</v>
      </c>
      <c r="G252">
        <v>114620</v>
      </c>
      <c r="H252" t="s">
        <v>27</v>
      </c>
      <c r="I252" t="s">
        <v>19</v>
      </c>
      <c r="J252" t="s">
        <v>33</v>
      </c>
    </row>
    <row r="253" spans="1:10" x14ac:dyDescent="0.35">
      <c r="A253">
        <v>1252</v>
      </c>
      <c r="B253" t="s">
        <v>287</v>
      </c>
      <c r="C253" t="s">
        <v>17</v>
      </c>
      <c r="D253" t="s">
        <v>12</v>
      </c>
      <c r="E253">
        <v>1</v>
      </c>
      <c r="F253">
        <v>1155</v>
      </c>
      <c r="G253">
        <v>1155</v>
      </c>
      <c r="H253" t="s">
        <v>51</v>
      </c>
      <c r="I253" t="s">
        <v>19</v>
      </c>
      <c r="J253" t="s">
        <v>33</v>
      </c>
    </row>
    <row r="254" spans="1:10" x14ac:dyDescent="0.35">
      <c r="A254">
        <v>1253</v>
      </c>
      <c r="B254" t="s">
        <v>288</v>
      </c>
      <c r="C254" t="s">
        <v>22</v>
      </c>
      <c r="D254" t="s">
        <v>23</v>
      </c>
      <c r="E254">
        <v>1</v>
      </c>
      <c r="F254">
        <v>3955</v>
      </c>
      <c r="G254">
        <v>3955</v>
      </c>
      <c r="H254" t="s">
        <v>27</v>
      </c>
      <c r="I254" t="s">
        <v>19</v>
      </c>
      <c r="J254" t="s">
        <v>20</v>
      </c>
    </row>
    <row r="255" spans="1:10" x14ac:dyDescent="0.35">
      <c r="A255">
        <v>1254</v>
      </c>
      <c r="B255" t="s">
        <v>289</v>
      </c>
      <c r="C255" t="s">
        <v>25</v>
      </c>
      <c r="D255" t="s">
        <v>26</v>
      </c>
      <c r="E255">
        <v>2</v>
      </c>
      <c r="F255">
        <v>11560</v>
      </c>
      <c r="G255">
        <v>23120</v>
      </c>
      <c r="H255" t="s">
        <v>27</v>
      </c>
      <c r="I255" t="s">
        <v>32</v>
      </c>
      <c r="J255" t="s">
        <v>33</v>
      </c>
    </row>
    <row r="256" spans="1:10" x14ac:dyDescent="0.35">
      <c r="A256">
        <v>1255</v>
      </c>
      <c r="B256" t="s">
        <v>290</v>
      </c>
      <c r="C256" t="s">
        <v>29</v>
      </c>
      <c r="D256" t="s">
        <v>26</v>
      </c>
      <c r="E256">
        <v>3</v>
      </c>
      <c r="F256">
        <v>457</v>
      </c>
      <c r="G256">
        <v>1371</v>
      </c>
      <c r="H256" t="s">
        <v>27</v>
      </c>
      <c r="I256" t="s">
        <v>19</v>
      </c>
      <c r="J256" t="s">
        <v>20</v>
      </c>
    </row>
    <row r="257" spans="1:10" x14ac:dyDescent="0.35">
      <c r="A257">
        <v>1256</v>
      </c>
      <c r="B257" t="s">
        <v>291</v>
      </c>
      <c r="C257" t="s">
        <v>31</v>
      </c>
      <c r="D257" t="s">
        <v>12</v>
      </c>
      <c r="E257">
        <v>2</v>
      </c>
      <c r="F257">
        <v>22337</v>
      </c>
      <c r="G257">
        <v>44674</v>
      </c>
      <c r="H257" t="s">
        <v>51</v>
      </c>
      <c r="I257" t="s">
        <v>19</v>
      </c>
      <c r="J257" t="s">
        <v>15</v>
      </c>
    </row>
    <row r="258" spans="1:10" x14ac:dyDescent="0.35">
      <c r="A258">
        <v>1257</v>
      </c>
      <c r="B258" t="s">
        <v>292</v>
      </c>
      <c r="C258" t="s">
        <v>35</v>
      </c>
      <c r="D258" t="s">
        <v>36</v>
      </c>
      <c r="E258">
        <v>5</v>
      </c>
      <c r="F258">
        <v>379</v>
      </c>
      <c r="G258">
        <v>1895</v>
      </c>
      <c r="H258" t="s">
        <v>51</v>
      </c>
      <c r="I258" t="s">
        <v>32</v>
      </c>
      <c r="J258" t="s">
        <v>33</v>
      </c>
    </row>
    <row r="259" spans="1:10" x14ac:dyDescent="0.35">
      <c r="A259">
        <v>1258</v>
      </c>
      <c r="B259" t="s">
        <v>293</v>
      </c>
      <c r="C259" t="s">
        <v>39</v>
      </c>
      <c r="D259" t="s">
        <v>23</v>
      </c>
      <c r="E259">
        <v>5</v>
      </c>
      <c r="F259">
        <v>667</v>
      </c>
      <c r="G259">
        <v>3335</v>
      </c>
      <c r="H259" t="s">
        <v>13</v>
      </c>
      <c r="I259" t="s">
        <v>19</v>
      </c>
      <c r="J259" t="s">
        <v>15</v>
      </c>
    </row>
    <row r="260" spans="1:10" x14ac:dyDescent="0.35">
      <c r="A260">
        <v>1259</v>
      </c>
      <c r="B260" t="s">
        <v>294</v>
      </c>
      <c r="C260" t="s">
        <v>42</v>
      </c>
      <c r="D260" t="s">
        <v>12</v>
      </c>
      <c r="E260">
        <v>2</v>
      </c>
      <c r="F260">
        <v>13263</v>
      </c>
      <c r="G260">
        <v>26526</v>
      </c>
      <c r="H260" t="s">
        <v>37</v>
      </c>
      <c r="I260" t="s">
        <v>19</v>
      </c>
      <c r="J260" t="s">
        <v>20</v>
      </c>
    </row>
    <row r="261" spans="1:10" x14ac:dyDescent="0.35">
      <c r="A261">
        <v>1260</v>
      </c>
      <c r="B261" t="s">
        <v>295</v>
      </c>
      <c r="C261" t="s">
        <v>44</v>
      </c>
      <c r="D261" t="s">
        <v>26</v>
      </c>
      <c r="E261">
        <v>4</v>
      </c>
      <c r="F261">
        <v>503</v>
      </c>
      <c r="G261">
        <v>2012</v>
      </c>
      <c r="H261" t="s">
        <v>27</v>
      </c>
      <c r="I261" t="s">
        <v>14</v>
      </c>
      <c r="J261" t="s">
        <v>20</v>
      </c>
    </row>
    <row r="262" spans="1:10" x14ac:dyDescent="0.35">
      <c r="A262">
        <v>1261</v>
      </c>
      <c r="B262" t="s">
        <v>296</v>
      </c>
      <c r="C262" t="s">
        <v>11</v>
      </c>
      <c r="D262" t="s">
        <v>12</v>
      </c>
      <c r="E262">
        <v>1</v>
      </c>
      <c r="F262">
        <v>53499</v>
      </c>
      <c r="G262">
        <v>53499</v>
      </c>
      <c r="H262" t="s">
        <v>13</v>
      </c>
      <c r="I262" t="s">
        <v>14</v>
      </c>
      <c r="J262" t="s">
        <v>15</v>
      </c>
    </row>
    <row r="263" spans="1:10" x14ac:dyDescent="0.35">
      <c r="A263">
        <v>1262</v>
      </c>
      <c r="B263" t="s">
        <v>297</v>
      </c>
      <c r="C263" t="s">
        <v>17</v>
      </c>
      <c r="D263" t="s">
        <v>12</v>
      </c>
      <c r="E263">
        <v>1</v>
      </c>
      <c r="F263">
        <v>3910</v>
      </c>
      <c r="G263">
        <v>3910</v>
      </c>
      <c r="H263" t="s">
        <v>40</v>
      </c>
      <c r="I263" t="s">
        <v>14</v>
      </c>
      <c r="J263" t="s">
        <v>20</v>
      </c>
    </row>
    <row r="264" spans="1:10" x14ac:dyDescent="0.35">
      <c r="A264">
        <v>1263</v>
      </c>
      <c r="B264" t="s">
        <v>298</v>
      </c>
      <c r="C264" t="s">
        <v>22</v>
      </c>
      <c r="D264" t="s">
        <v>23</v>
      </c>
      <c r="E264">
        <v>1</v>
      </c>
      <c r="F264">
        <v>3590</v>
      </c>
      <c r="G264">
        <v>3590</v>
      </c>
      <c r="H264" t="s">
        <v>37</v>
      </c>
      <c r="I264" t="s">
        <v>32</v>
      </c>
      <c r="J264" t="s">
        <v>15</v>
      </c>
    </row>
    <row r="265" spans="1:10" x14ac:dyDescent="0.35">
      <c r="A265">
        <v>1264</v>
      </c>
      <c r="B265" t="s">
        <v>299</v>
      </c>
      <c r="C265" t="s">
        <v>25</v>
      </c>
      <c r="D265" t="s">
        <v>26</v>
      </c>
      <c r="E265">
        <v>5</v>
      </c>
      <c r="F265">
        <v>4354</v>
      </c>
      <c r="G265">
        <v>21770</v>
      </c>
      <c r="H265" t="s">
        <v>40</v>
      </c>
      <c r="I265" t="s">
        <v>32</v>
      </c>
      <c r="J265" t="s">
        <v>20</v>
      </c>
    </row>
    <row r="266" spans="1:10" x14ac:dyDescent="0.35">
      <c r="A266">
        <v>1265</v>
      </c>
      <c r="B266" t="s">
        <v>300</v>
      </c>
      <c r="C266" t="s">
        <v>29</v>
      </c>
      <c r="D266" t="s">
        <v>26</v>
      </c>
      <c r="E266">
        <v>1</v>
      </c>
      <c r="F266">
        <v>878</v>
      </c>
      <c r="G266">
        <v>878</v>
      </c>
      <c r="H266" t="s">
        <v>13</v>
      </c>
      <c r="I266" t="s">
        <v>14</v>
      </c>
      <c r="J266" t="s">
        <v>15</v>
      </c>
    </row>
    <row r="267" spans="1:10" x14ac:dyDescent="0.35">
      <c r="A267">
        <v>1266</v>
      </c>
      <c r="B267" t="s">
        <v>301</v>
      </c>
      <c r="C267" t="s">
        <v>31</v>
      </c>
      <c r="D267" t="s">
        <v>12</v>
      </c>
      <c r="E267">
        <v>1</v>
      </c>
      <c r="F267">
        <v>28657</v>
      </c>
      <c r="G267">
        <v>28657</v>
      </c>
      <c r="H267" t="s">
        <v>51</v>
      </c>
      <c r="I267" t="s">
        <v>32</v>
      </c>
      <c r="J267" t="s">
        <v>33</v>
      </c>
    </row>
    <row r="268" spans="1:10" x14ac:dyDescent="0.35">
      <c r="A268">
        <v>1267</v>
      </c>
      <c r="B268" t="s">
        <v>302</v>
      </c>
      <c r="C268" t="s">
        <v>35</v>
      </c>
      <c r="D268" t="s">
        <v>36</v>
      </c>
      <c r="E268">
        <v>1</v>
      </c>
      <c r="F268">
        <v>394</v>
      </c>
      <c r="G268">
        <v>394</v>
      </c>
      <c r="H268" t="s">
        <v>18</v>
      </c>
      <c r="I268" t="s">
        <v>14</v>
      </c>
      <c r="J268" t="s">
        <v>33</v>
      </c>
    </row>
    <row r="269" spans="1:10" x14ac:dyDescent="0.35">
      <c r="A269">
        <v>1268</v>
      </c>
      <c r="B269" t="s">
        <v>303</v>
      </c>
      <c r="C269" t="s">
        <v>39</v>
      </c>
      <c r="D269" t="s">
        <v>23</v>
      </c>
      <c r="E269">
        <v>3</v>
      </c>
      <c r="F269">
        <v>1554</v>
      </c>
      <c r="G269">
        <v>4662</v>
      </c>
      <c r="H269" t="s">
        <v>37</v>
      </c>
      <c r="I269" t="s">
        <v>14</v>
      </c>
      <c r="J269" t="s">
        <v>20</v>
      </c>
    </row>
    <row r="270" spans="1:10" x14ac:dyDescent="0.35">
      <c r="A270">
        <v>1269</v>
      </c>
      <c r="B270" t="s">
        <v>304</v>
      </c>
      <c r="C270" t="s">
        <v>42</v>
      </c>
      <c r="D270" t="s">
        <v>12</v>
      </c>
      <c r="E270">
        <v>1</v>
      </c>
      <c r="F270">
        <v>4066</v>
      </c>
      <c r="G270">
        <v>4066</v>
      </c>
      <c r="H270" t="s">
        <v>40</v>
      </c>
      <c r="I270" t="s">
        <v>32</v>
      </c>
      <c r="J270" t="s">
        <v>20</v>
      </c>
    </row>
    <row r="271" spans="1:10" x14ac:dyDescent="0.35">
      <c r="A271">
        <v>1270</v>
      </c>
      <c r="B271" t="s">
        <v>305</v>
      </c>
      <c r="C271" t="s">
        <v>44</v>
      </c>
      <c r="D271" t="s">
        <v>26</v>
      </c>
      <c r="E271">
        <v>5</v>
      </c>
      <c r="F271">
        <v>210</v>
      </c>
      <c r="G271">
        <v>1050</v>
      </c>
      <c r="H271" t="s">
        <v>18</v>
      </c>
      <c r="I271" t="s">
        <v>19</v>
      </c>
      <c r="J271" t="s">
        <v>20</v>
      </c>
    </row>
    <row r="272" spans="1:10" x14ac:dyDescent="0.35">
      <c r="A272">
        <v>1271</v>
      </c>
      <c r="B272" t="s">
        <v>306</v>
      </c>
      <c r="C272" t="s">
        <v>11</v>
      </c>
      <c r="D272" t="s">
        <v>12</v>
      </c>
      <c r="E272">
        <v>1</v>
      </c>
      <c r="F272">
        <v>40792</v>
      </c>
      <c r="G272">
        <v>40792</v>
      </c>
      <c r="H272" t="s">
        <v>40</v>
      </c>
      <c r="I272" t="s">
        <v>32</v>
      </c>
      <c r="J272" t="s">
        <v>15</v>
      </c>
    </row>
    <row r="273" spans="1:10" x14ac:dyDescent="0.35">
      <c r="A273">
        <v>1272</v>
      </c>
      <c r="B273" t="s">
        <v>307</v>
      </c>
      <c r="C273" t="s">
        <v>17</v>
      </c>
      <c r="D273" t="s">
        <v>12</v>
      </c>
      <c r="E273">
        <v>2</v>
      </c>
      <c r="F273">
        <v>3380</v>
      </c>
      <c r="G273">
        <v>6760</v>
      </c>
      <c r="H273" t="s">
        <v>18</v>
      </c>
      <c r="I273" t="s">
        <v>19</v>
      </c>
      <c r="J273" t="s">
        <v>15</v>
      </c>
    </row>
    <row r="274" spans="1:10" x14ac:dyDescent="0.35">
      <c r="A274">
        <v>1273</v>
      </c>
      <c r="B274" t="s">
        <v>308</v>
      </c>
      <c r="C274" t="s">
        <v>22</v>
      </c>
      <c r="D274" t="s">
        <v>23</v>
      </c>
      <c r="E274">
        <v>2</v>
      </c>
      <c r="F274">
        <v>1061</v>
      </c>
      <c r="G274">
        <v>2122</v>
      </c>
      <c r="H274" t="s">
        <v>37</v>
      </c>
      <c r="I274" t="s">
        <v>14</v>
      </c>
      <c r="J274" t="s">
        <v>15</v>
      </c>
    </row>
    <row r="275" spans="1:10" x14ac:dyDescent="0.35">
      <c r="A275">
        <v>1274</v>
      </c>
      <c r="B275" t="s">
        <v>309</v>
      </c>
      <c r="C275" t="s">
        <v>25</v>
      </c>
      <c r="D275" t="s">
        <v>26</v>
      </c>
      <c r="E275">
        <v>5</v>
      </c>
      <c r="F275">
        <v>9610</v>
      </c>
      <c r="G275">
        <v>48050</v>
      </c>
      <c r="H275" t="s">
        <v>37</v>
      </c>
      <c r="I275" t="s">
        <v>32</v>
      </c>
      <c r="J275" t="s">
        <v>20</v>
      </c>
    </row>
    <row r="276" spans="1:10" x14ac:dyDescent="0.35">
      <c r="A276">
        <v>1275</v>
      </c>
      <c r="B276" t="s">
        <v>310</v>
      </c>
      <c r="C276" t="s">
        <v>29</v>
      </c>
      <c r="D276" t="s">
        <v>26</v>
      </c>
      <c r="E276">
        <v>1</v>
      </c>
      <c r="F276">
        <v>901</v>
      </c>
      <c r="G276">
        <v>901</v>
      </c>
      <c r="H276" t="s">
        <v>18</v>
      </c>
      <c r="I276" t="s">
        <v>32</v>
      </c>
      <c r="J276" t="s">
        <v>20</v>
      </c>
    </row>
    <row r="277" spans="1:10" x14ac:dyDescent="0.35">
      <c r="A277">
        <v>1276</v>
      </c>
      <c r="B277" t="s">
        <v>311</v>
      </c>
      <c r="C277" t="s">
        <v>31</v>
      </c>
      <c r="D277" t="s">
        <v>12</v>
      </c>
      <c r="E277">
        <v>2</v>
      </c>
      <c r="F277">
        <v>18752</v>
      </c>
      <c r="G277">
        <v>37504</v>
      </c>
      <c r="H277" t="s">
        <v>27</v>
      </c>
      <c r="I277" t="s">
        <v>32</v>
      </c>
      <c r="J277" t="s">
        <v>15</v>
      </c>
    </row>
    <row r="278" spans="1:10" x14ac:dyDescent="0.35">
      <c r="A278">
        <v>1277</v>
      </c>
      <c r="B278" t="s">
        <v>312</v>
      </c>
      <c r="C278" t="s">
        <v>35</v>
      </c>
      <c r="D278" t="s">
        <v>36</v>
      </c>
      <c r="E278">
        <v>1</v>
      </c>
      <c r="F278">
        <v>129</v>
      </c>
      <c r="G278">
        <v>129</v>
      </c>
      <c r="H278" t="s">
        <v>18</v>
      </c>
      <c r="I278" t="s">
        <v>14</v>
      </c>
      <c r="J278" t="s">
        <v>15</v>
      </c>
    </row>
    <row r="279" spans="1:10" x14ac:dyDescent="0.35">
      <c r="A279">
        <v>1278</v>
      </c>
      <c r="B279" t="s">
        <v>313</v>
      </c>
      <c r="C279" t="s">
        <v>39</v>
      </c>
      <c r="D279" t="s">
        <v>23</v>
      </c>
      <c r="E279">
        <v>1</v>
      </c>
      <c r="F279">
        <v>828</v>
      </c>
      <c r="G279">
        <v>828</v>
      </c>
      <c r="H279" t="s">
        <v>37</v>
      </c>
      <c r="I279" t="s">
        <v>14</v>
      </c>
      <c r="J279" t="s">
        <v>20</v>
      </c>
    </row>
    <row r="280" spans="1:10" x14ac:dyDescent="0.35">
      <c r="A280">
        <v>1279</v>
      </c>
      <c r="B280" t="s">
        <v>314</v>
      </c>
      <c r="C280" t="s">
        <v>42</v>
      </c>
      <c r="D280" t="s">
        <v>12</v>
      </c>
      <c r="E280">
        <v>2</v>
      </c>
      <c r="F280">
        <v>4999</v>
      </c>
      <c r="G280">
        <v>9998</v>
      </c>
      <c r="H280" t="s">
        <v>40</v>
      </c>
      <c r="I280" t="s">
        <v>19</v>
      </c>
      <c r="J280" t="s">
        <v>20</v>
      </c>
    </row>
    <row r="281" spans="1:10" x14ac:dyDescent="0.35">
      <c r="A281">
        <v>1280</v>
      </c>
      <c r="B281" t="s">
        <v>315</v>
      </c>
      <c r="C281" t="s">
        <v>44</v>
      </c>
      <c r="D281" t="s">
        <v>26</v>
      </c>
      <c r="E281">
        <v>4</v>
      </c>
      <c r="F281">
        <v>677</v>
      </c>
      <c r="G281">
        <v>2708</v>
      </c>
      <c r="H281" t="s">
        <v>27</v>
      </c>
      <c r="I281" t="s">
        <v>19</v>
      </c>
      <c r="J281" t="s">
        <v>15</v>
      </c>
    </row>
    <row r="282" spans="1:10" x14ac:dyDescent="0.35">
      <c r="A282">
        <v>1281</v>
      </c>
      <c r="B282" t="s">
        <v>316</v>
      </c>
      <c r="C282" t="s">
        <v>11</v>
      </c>
      <c r="D282" t="s">
        <v>12</v>
      </c>
      <c r="E282">
        <v>1</v>
      </c>
      <c r="F282">
        <v>47291</v>
      </c>
      <c r="G282">
        <v>47291</v>
      </c>
      <c r="H282" t="s">
        <v>37</v>
      </c>
      <c r="I282" t="s">
        <v>32</v>
      </c>
      <c r="J282" t="s">
        <v>15</v>
      </c>
    </row>
    <row r="283" spans="1:10" x14ac:dyDescent="0.35">
      <c r="A283">
        <v>1282</v>
      </c>
      <c r="B283" t="s">
        <v>317</v>
      </c>
      <c r="C283" t="s">
        <v>17</v>
      </c>
      <c r="D283" t="s">
        <v>12</v>
      </c>
      <c r="E283">
        <v>3</v>
      </c>
      <c r="F283">
        <v>2127</v>
      </c>
      <c r="G283">
        <v>6381</v>
      </c>
      <c r="H283" t="s">
        <v>27</v>
      </c>
      <c r="I283" t="s">
        <v>32</v>
      </c>
      <c r="J283" t="s">
        <v>15</v>
      </c>
    </row>
    <row r="284" spans="1:10" x14ac:dyDescent="0.35">
      <c r="A284">
        <v>1283</v>
      </c>
      <c r="B284" t="s">
        <v>318</v>
      </c>
      <c r="C284" t="s">
        <v>22</v>
      </c>
      <c r="D284" t="s">
        <v>23</v>
      </c>
      <c r="E284">
        <v>3</v>
      </c>
      <c r="F284">
        <v>2869</v>
      </c>
      <c r="G284">
        <v>8607</v>
      </c>
      <c r="H284" t="s">
        <v>18</v>
      </c>
      <c r="I284" t="s">
        <v>19</v>
      </c>
      <c r="J284" t="s">
        <v>15</v>
      </c>
    </row>
    <row r="285" spans="1:10" x14ac:dyDescent="0.35">
      <c r="A285">
        <v>1284</v>
      </c>
      <c r="B285" t="s">
        <v>319</v>
      </c>
      <c r="C285" t="s">
        <v>25</v>
      </c>
      <c r="D285" t="s">
        <v>26</v>
      </c>
      <c r="E285">
        <v>3</v>
      </c>
      <c r="F285">
        <v>7361</v>
      </c>
      <c r="G285">
        <v>22083</v>
      </c>
      <c r="H285" t="s">
        <v>40</v>
      </c>
      <c r="I285" t="s">
        <v>32</v>
      </c>
      <c r="J285" t="s">
        <v>33</v>
      </c>
    </row>
    <row r="286" spans="1:10" x14ac:dyDescent="0.35">
      <c r="A286">
        <v>1285</v>
      </c>
      <c r="B286" t="s">
        <v>320</v>
      </c>
      <c r="C286" t="s">
        <v>29</v>
      </c>
      <c r="D286" t="s">
        <v>26</v>
      </c>
      <c r="E286">
        <v>5</v>
      </c>
      <c r="F286">
        <v>828</v>
      </c>
      <c r="G286">
        <v>4140</v>
      </c>
      <c r="H286" t="s">
        <v>18</v>
      </c>
      <c r="I286" t="s">
        <v>19</v>
      </c>
      <c r="J286" t="s">
        <v>20</v>
      </c>
    </row>
    <row r="287" spans="1:10" x14ac:dyDescent="0.35">
      <c r="A287">
        <v>1286</v>
      </c>
      <c r="B287" t="s">
        <v>321</v>
      </c>
      <c r="C287" t="s">
        <v>31</v>
      </c>
      <c r="D287" t="s">
        <v>12</v>
      </c>
      <c r="E287">
        <v>1</v>
      </c>
      <c r="F287">
        <v>16337</v>
      </c>
      <c r="G287">
        <v>16337</v>
      </c>
      <c r="H287" t="s">
        <v>37</v>
      </c>
      <c r="I287" t="s">
        <v>19</v>
      </c>
      <c r="J287" t="s">
        <v>20</v>
      </c>
    </row>
    <row r="288" spans="1:10" x14ac:dyDescent="0.35">
      <c r="A288">
        <v>1287</v>
      </c>
      <c r="B288" t="s">
        <v>322</v>
      </c>
      <c r="C288" t="s">
        <v>35</v>
      </c>
      <c r="D288" t="s">
        <v>36</v>
      </c>
      <c r="E288">
        <v>3</v>
      </c>
      <c r="F288">
        <v>295</v>
      </c>
      <c r="G288">
        <v>885</v>
      </c>
      <c r="H288" t="s">
        <v>13</v>
      </c>
      <c r="I288" t="s">
        <v>14</v>
      </c>
      <c r="J288" t="s">
        <v>15</v>
      </c>
    </row>
    <row r="289" spans="1:10" x14ac:dyDescent="0.35">
      <c r="A289">
        <v>1288</v>
      </c>
      <c r="B289" t="s">
        <v>323</v>
      </c>
      <c r="C289" t="s">
        <v>39</v>
      </c>
      <c r="D289" t="s">
        <v>23</v>
      </c>
      <c r="E289">
        <v>2</v>
      </c>
      <c r="F289">
        <v>1486</v>
      </c>
      <c r="G289">
        <v>2972</v>
      </c>
      <c r="H289" t="s">
        <v>51</v>
      </c>
      <c r="I289" t="s">
        <v>14</v>
      </c>
      <c r="J289" t="s">
        <v>20</v>
      </c>
    </row>
    <row r="290" spans="1:10" x14ac:dyDescent="0.35">
      <c r="A290">
        <v>1289</v>
      </c>
      <c r="B290" t="s">
        <v>324</v>
      </c>
      <c r="C290" t="s">
        <v>42</v>
      </c>
      <c r="D290" t="s">
        <v>12</v>
      </c>
      <c r="E290">
        <v>2</v>
      </c>
      <c r="F290">
        <v>12872</v>
      </c>
      <c r="G290">
        <v>25744</v>
      </c>
      <c r="H290" t="s">
        <v>51</v>
      </c>
      <c r="I290" t="s">
        <v>14</v>
      </c>
      <c r="J290" t="s">
        <v>33</v>
      </c>
    </row>
    <row r="291" spans="1:10" x14ac:dyDescent="0.35">
      <c r="A291">
        <v>1290</v>
      </c>
      <c r="B291" t="s">
        <v>325</v>
      </c>
      <c r="C291" t="s">
        <v>44</v>
      </c>
      <c r="D291" t="s">
        <v>26</v>
      </c>
      <c r="E291">
        <v>3</v>
      </c>
      <c r="F291">
        <v>740</v>
      </c>
      <c r="G291">
        <v>2220</v>
      </c>
      <c r="H291" t="s">
        <v>27</v>
      </c>
      <c r="I291" t="s">
        <v>19</v>
      </c>
      <c r="J291" t="s">
        <v>20</v>
      </c>
    </row>
    <row r="292" spans="1:10" x14ac:dyDescent="0.35">
      <c r="A292">
        <v>1291</v>
      </c>
      <c r="B292" t="s">
        <v>326</v>
      </c>
      <c r="C292" t="s">
        <v>11</v>
      </c>
      <c r="D292" t="s">
        <v>12</v>
      </c>
      <c r="E292">
        <v>1</v>
      </c>
      <c r="F292">
        <v>69296</v>
      </c>
      <c r="G292">
        <v>69296</v>
      </c>
      <c r="H292" t="s">
        <v>51</v>
      </c>
      <c r="I292" t="s">
        <v>19</v>
      </c>
      <c r="J292" t="s">
        <v>15</v>
      </c>
    </row>
    <row r="293" spans="1:10" x14ac:dyDescent="0.35">
      <c r="A293">
        <v>1292</v>
      </c>
      <c r="B293" t="s">
        <v>327</v>
      </c>
      <c r="C293" t="s">
        <v>17</v>
      </c>
      <c r="D293" t="s">
        <v>12</v>
      </c>
      <c r="E293">
        <v>1</v>
      </c>
      <c r="F293">
        <v>3960</v>
      </c>
      <c r="G293">
        <v>3960</v>
      </c>
      <c r="H293" t="s">
        <v>40</v>
      </c>
      <c r="I293" t="s">
        <v>14</v>
      </c>
      <c r="J293" t="s">
        <v>20</v>
      </c>
    </row>
    <row r="294" spans="1:10" x14ac:dyDescent="0.35">
      <c r="A294">
        <v>1293</v>
      </c>
      <c r="B294" t="s">
        <v>328</v>
      </c>
      <c r="C294" t="s">
        <v>22</v>
      </c>
      <c r="D294" t="s">
        <v>23</v>
      </c>
      <c r="E294">
        <v>3</v>
      </c>
      <c r="F294">
        <v>4486</v>
      </c>
      <c r="G294">
        <v>13458</v>
      </c>
      <c r="H294" t="s">
        <v>51</v>
      </c>
      <c r="I294" t="s">
        <v>14</v>
      </c>
      <c r="J294" t="s">
        <v>20</v>
      </c>
    </row>
    <row r="295" spans="1:10" x14ac:dyDescent="0.35">
      <c r="A295">
        <v>1294</v>
      </c>
      <c r="B295" t="s">
        <v>329</v>
      </c>
      <c r="C295" t="s">
        <v>25</v>
      </c>
      <c r="D295" t="s">
        <v>26</v>
      </c>
      <c r="E295">
        <v>1</v>
      </c>
      <c r="F295">
        <v>18146</v>
      </c>
      <c r="G295">
        <v>18146</v>
      </c>
      <c r="H295" t="s">
        <v>51</v>
      </c>
      <c r="I295" t="s">
        <v>14</v>
      </c>
      <c r="J295" t="s">
        <v>20</v>
      </c>
    </row>
    <row r="296" spans="1:10" x14ac:dyDescent="0.35">
      <c r="A296">
        <v>1295</v>
      </c>
      <c r="B296" t="s">
        <v>330</v>
      </c>
      <c r="C296" t="s">
        <v>29</v>
      </c>
      <c r="D296" t="s">
        <v>26</v>
      </c>
      <c r="E296">
        <v>1</v>
      </c>
      <c r="F296">
        <v>274</v>
      </c>
      <c r="G296">
        <v>274</v>
      </c>
      <c r="H296" t="s">
        <v>18</v>
      </c>
      <c r="I296" t="s">
        <v>19</v>
      </c>
      <c r="J296" t="s">
        <v>33</v>
      </c>
    </row>
    <row r="297" spans="1:10" x14ac:dyDescent="0.35">
      <c r="A297">
        <v>1296</v>
      </c>
      <c r="B297" t="s">
        <v>331</v>
      </c>
      <c r="C297" t="s">
        <v>31</v>
      </c>
      <c r="D297" t="s">
        <v>12</v>
      </c>
      <c r="E297">
        <v>1</v>
      </c>
      <c r="F297">
        <v>34548</v>
      </c>
      <c r="G297">
        <v>34548</v>
      </c>
      <c r="H297" t="s">
        <v>18</v>
      </c>
      <c r="I297" t="s">
        <v>32</v>
      </c>
      <c r="J297" t="s">
        <v>20</v>
      </c>
    </row>
    <row r="298" spans="1:10" x14ac:dyDescent="0.35">
      <c r="A298">
        <v>1297</v>
      </c>
      <c r="B298" t="s">
        <v>332</v>
      </c>
      <c r="C298" t="s">
        <v>35</v>
      </c>
      <c r="D298" t="s">
        <v>36</v>
      </c>
      <c r="E298">
        <v>1</v>
      </c>
      <c r="F298">
        <v>925</v>
      </c>
      <c r="G298">
        <v>925</v>
      </c>
      <c r="H298" t="s">
        <v>40</v>
      </c>
      <c r="I298" t="s">
        <v>32</v>
      </c>
      <c r="J298" t="s">
        <v>33</v>
      </c>
    </row>
    <row r="299" spans="1:10" x14ac:dyDescent="0.35">
      <c r="A299">
        <v>1298</v>
      </c>
      <c r="B299" t="s">
        <v>333</v>
      </c>
      <c r="C299" t="s">
        <v>39</v>
      </c>
      <c r="D299" t="s">
        <v>23</v>
      </c>
      <c r="E299">
        <v>4</v>
      </c>
      <c r="F299">
        <v>899</v>
      </c>
      <c r="G299">
        <v>3596</v>
      </c>
      <c r="H299" t="s">
        <v>51</v>
      </c>
      <c r="I299" t="s">
        <v>19</v>
      </c>
      <c r="J299" t="s">
        <v>33</v>
      </c>
    </row>
    <row r="300" spans="1:10" x14ac:dyDescent="0.35">
      <c r="A300">
        <v>1299</v>
      </c>
      <c r="B300" t="s">
        <v>334</v>
      </c>
      <c r="C300" t="s">
        <v>42</v>
      </c>
      <c r="D300" t="s">
        <v>12</v>
      </c>
      <c r="E300">
        <v>2</v>
      </c>
      <c r="F300">
        <v>11888</v>
      </c>
      <c r="G300">
        <v>23776</v>
      </c>
      <c r="H300" t="s">
        <v>37</v>
      </c>
      <c r="I300" t="s">
        <v>19</v>
      </c>
      <c r="J300" t="s">
        <v>15</v>
      </c>
    </row>
    <row r="301" spans="1:10" x14ac:dyDescent="0.35">
      <c r="A301">
        <v>1300</v>
      </c>
      <c r="B301" t="s">
        <v>335</v>
      </c>
      <c r="C301" t="s">
        <v>44</v>
      </c>
      <c r="D301" t="s">
        <v>26</v>
      </c>
      <c r="E301">
        <v>3</v>
      </c>
      <c r="F301">
        <v>551</v>
      </c>
      <c r="G301">
        <v>1653</v>
      </c>
      <c r="H301" t="s">
        <v>37</v>
      </c>
      <c r="I301" t="s">
        <v>32</v>
      </c>
      <c r="J301" t="s">
        <v>15</v>
      </c>
    </row>
    <row r="302" spans="1:10" x14ac:dyDescent="0.35">
      <c r="A302">
        <v>1301</v>
      </c>
      <c r="B302" t="s">
        <v>336</v>
      </c>
      <c r="C302" t="s">
        <v>11</v>
      </c>
      <c r="D302" t="s">
        <v>12</v>
      </c>
      <c r="E302">
        <v>1</v>
      </c>
      <c r="F302">
        <v>57645</v>
      </c>
      <c r="G302">
        <v>57645</v>
      </c>
      <c r="H302" t="s">
        <v>18</v>
      </c>
      <c r="I302" t="s">
        <v>19</v>
      </c>
      <c r="J302" t="s">
        <v>33</v>
      </c>
    </row>
    <row r="303" spans="1:10" x14ac:dyDescent="0.35">
      <c r="A303">
        <v>1302</v>
      </c>
      <c r="B303" t="s">
        <v>337</v>
      </c>
      <c r="C303" t="s">
        <v>17</v>
      </c>
      <c r="D303" t="s">
        <v>12</v>
      </c>
      <c r="E303">
        <v>2</v>
      </c>
      <c r="F303">
        <v>3967</v>
      </c>
      <c r="G303">
        <v>7934</v>
      </c>
      <c r="H303" t="s">
        <v>18</v>
      </c>
      <c r="I303" t="s">
        <v>14</v>
      </c>
      <c r="J303" t="s">
        <v>15</v>
      </c>
    </row>
    <row r="304" spans="1:10" x14ac:dyDescent="0.35">
      <c r="A304">
        <v>1303</v>
      </c>
      <c r="B304" t="s">
        <v>338</v>
      </c>
      <c r="C304" t="s">
        <v>22</v>
      </c>
      <c r="D304" t="s">
        <v>23</v>
      </c>
      <c r="E304">
        <v>1</v>
      </c>
      <c r="F304">
        <v>4593</v>
      </c>
      <c r="G304">
        <v>4593</v>
      </c>
      <c r="H304" t="s">
        <v>18</v>
      </c>
      <c r="I304" t="s">
        <v>14</v>
      </c>
      <c r="J304" t="s">
        <v>20</v>
      </c>
    </row>
    <row r="305" spans="1:10" x14ac:dyDescent="0.35">
      <c r="A305">
        <v>1304</v>
      </c>
      <c r="B305" t="s">
        <v>339</v>
      </c>
      <c r="C305" t="s">
        <v>25</v>
      </c>
      <c r="D305" t="s">
        <v>26</v>
      </c>
      <c r="E305">
        <v>4</v>
      </c>
      <c r="F305">
        <v>5728</v>
      </c>
      <c r="G305">
        <v>22912</v>
      </c>
      <c r="H305" t="s">
        <v>18</v>
      </c>
      <c r="I305" t="s">
        <v>19</v>
      </c>
      <c r="J305" t="s">
        <v>33</v>
      </c>
    </row>
    <row r="306" spans="1:10" x14ac:dyDescent="0.35">
      <c r="A306">
        <v>1305</v>
      </c>
      <c r="B306" t="s">
        <v>340</v>
      </c>
      <c r="C306" t="s">
        <v>29</v>
      </c>
      <c r="D306" t="s">
        <v>26</v>
      </c>
      <c r="E306">
        <v>2</v>
      </c>
      <c r="F306">
        <v>498</v>
      </c>
      <c r="G306">
        <v>996</v>
      </c>
      <c r="H306" t="s">
        <v>51</v>
      </c>
      <c r="I306" t="s">
        <v>19</v>
      </c>
      <c r="J306" t="s">
        <v>33</v>
      </c>
    </row>
    <row r="307" spans="1:10" x14ac:dyDescent="0.35">
      <c r="A307">
        <v>1306</v>
      </c>
      <c r="B307" t="s">
        <v>341</v>
      </c>
      <c r="C307" t="s">
        <v>31</v>
      </c>
      <c r="D307" t="s">
        <v>12</v>
      </c>
      <c r="E307">
        <v>2</v>
      </c>
      <c r="F307">
        <v>39710</v>
      </c>
      <c r="G307">
        <v>79420</v>
      </c>
      <c r="H307" t="s">
        <v>40</v>
      </c>
      <c r="I307" t="s">
        <v>19</v>
      </c>
      <c r="J307" t="s">
        <v>20</v>
      </c>
    </row>
    <row r="308" spans="1:10" x14ac:dyDescent="0.35">
      <c r="A308">
        <v>1307</v>
      </c>
      <c r="B308" t="s">
        <v>342</v>
      </c>
      <c r="C308" t="s">
        <v>35</v>
      </c>
      <c r="D308" t="s">
        <v>36</v>
      </c>
      <c r="E308">
        <v>3</v>
      </c>
      <c r="F308">
        <v>197</v>
      </c>
      <c r="G308">
        <v>591</v>
      </c>
      <c r="H308" t="s">
        <v>18</v>
      </c>
      <c r="I308" t="s">
        <v>14</v>
      </c>
      <c r="J308" t="s">
        <v>15</v>
      </c>
    </row>
    <row r="309" spans="1:10" x14ac:dyDescent="0.35">
      <c r="A309">
        <v>1308</v>
      </c>
      <c r="B309" t="s">
        <v>343</v>
      </c>
      <c r="C309" t="s">
        <v>39</v>
      </c>
      <c r="D309" t="s">
        <v>23</v>
      </c>
      <c r="E309">
        <v>2</v>
      </c>
      <c r="F309">
        <v>1815</v>
      </c>
      <c r="G309">
        <v>3630</v>
      </c>
      <c r="H309" t="s">
        <v>37</v>
      </c>
      <c r="I309" t="s">
        <v>19</v>
      </c>
      <c r="J309" t="s">
        <v>20</v>
      </c>
    </row>
    <row r="310" spans="1:10" x14ac:dyDescent="0.35">
      <c r="A310">
        <v>1309</v>
      </c>
      <c r="B310" t="s">
        <v>344</v>
      </c>
      <c r="C310" t="s">
        <v>42</v>
      </c>
      <c r="D310" t="s">
        <v>12</v>
      </c>
      <c r="E310">
        <v>2</v>
      </c>
      <c r="F310">
        <v>3949</v>
      </c>
      <c r="G310">
        <v>7898</v>
      </c>
      <c r="H310" t="s">
        <v>13</v>
      </c>
      <c r="I310" t="s">
        <v>14</v>
      </c>
      <c r="J310" t="s">
        <v>20</v>
      </c>
    </row>
    <row r="311" spans="1:10" x14ac:dyDescent="0.35">
      <c r="A311">
        <v>1310</v>
      </c>
      <c r="B311" t="s">
        <v>345</v>
      </c>
      <c r="C311" t="s">
        <v>44</v>
      </c>
      <c r="D311" t="s">
        <v>26</v>
      </c>
      <c r="E311">
        <v>1</v>
      </c>
      <c r="F311">
        <v>208</v>
      </c>
      <c r="G311">
        <v>208</v>
      </c>
      <c r="H311" t="s">
        <v>40</v>
      </c>
      <c r="I311" t="s">
        <v>19</v>
      </c>
      <c r="J311" t="s">
        <v>33</v>
      </c>
    </row>
    <row r="312" spans="1:10" x14ac:dyDescent="0.35">
      <c r="A312">
        <v>1311</v>
      </c>
      <c r="B312" t="s">
        <v>346</v>
      </c>
      <c r="C312" t="s">
        <v>11</v>
      </c>
      <c r="D312" t="s">
        <v>12</v>
      </c>
      <c r="E312">
        <v>1</v>
      </c>
      <c r="F312">
        <v>50605</v>
      </c>
      <c r="G312">
        <v>50605</v>
      </c>
      <c r="H312" t="s">
        <v>40</v>
      </c>
      <c r="I312" t="s">
        <v>19</v>
      </c>
      <c r="J312" t="s">
        <v>33</v>
      </c>
    </row>
    <row r="313" spans="1:10" x14ac:dyDescent="0.35">
      <c r="A313">
        <v>1312</v>
      </c>
      <c r="B313" t="s">
        <v>347</v>
      </c>
      <c r="C313" t="s">
        <v>17</v>
      </c>
      <c r="D313" t="s">
        <v>12</v>
      </c>
      <c r="E313">
        <v>3</v>
      </c>
      <c r="F313">
        <v>4319</v>
      </c>
      <c r="G313">
        <v>12957</v>
      </c>
      <c r="H313" t="s">
        <v>37</v>
      </c>
      <c r="I313" t="s">
        <v>19</v>
      </c>
      <c r="J313" t="s">
        <v>33</v>
      </c>
    </row>
    <row r="314" spans="1:10" x14ac:dyDescent="0.35">
      <c r="A314">
        <v>1313</v>
      </c>
      <c r="B314" t="s">
        <v>348</v>
      </c>
      <c r="C314" t="s">
        <v>22</v>
      </c>
      <c r="D314" t="s">
        <v>23</v>
      </c>
      <c r="E314">
        <v>1</v>
      </c>
      <c r="F314">
        <v>3721</v>
      </c>
      <c r="G314">
        <v>3721</v>
      </c>
      <c r="H314" t="s">
        <v>18</v>
      </c>
      <c r="I314" t="s">
        <v>19</v>
      </c>
      <c r="J314" t="s">
        <v>15</v>
      </c>
    </row>
    <row r="315" spans="1:10" x14ac:dyDescent="0.35">
      <c r="A315">
        <v>1314</v>
      </c>
      <c r="B315" t="s">
        <v>349</v>
      </c>
      <c r="C315" t="s">
        <v>25</v>
      </c>
      <c r="D315" t="s">
        <v>26</v>
      </c>
      <c r="E315">
        <v>2</v>
      </c>
      <c r="F315">
        <v>12930</v>
      </c>
      <c r="G315">
        <v>25860</v>
      </c>
      <c r="H315" t="s">
        <v>27</v>
      </c>
      <c r="I315" t="s">
        <v>14</v>
      </c>
      <c r="J315" t="s">
        <v>20</v>
      </c>
    </row>
    <row r="316" spans="1:10" x14ac:dyDescent="0.35">
      <c r="A316">
        <v>1315</v>
      </c>
      <c r="B316" t="s">
        <v>350</v>
      </c>
      <c r="C316" t="s">
        <v>29</v>
      </c>
      <c r="D316" t="s">
        <v>26</v>
      </c>
      <c r="E316">
        <v>4</v>
      </c>
      <c r="F316">
        <v>707</v>
      </c>
      <c r="G316">
        <v>2828</v>
      </c>
      <c r="H316" t="s">
        <v>27</v>
      </c>
      <c r="I316" t="s">
        <v>32</v>
      </c>
      <c r="J316" t="s">
        <v>15</v>
      </c>
    </row>
    <row r="317" spans="1:10" x14ac:dyDescent="0.35">
      <c r="A317">
        <v>1316</v>
      </c>
      <c r="B317" t="s">
        <v>351</v>
      </c>
      <c r="C317" t="s">
        <v>31</v>
      </c>
      <c r="D317" t="s">
        <v>12</v>
      </c>
      <c r="E317">
        <v>2</v>
      </c>
      <c r="F317">
        <v>36907</v>
      </c>
      <c r="G317">
        <v>73814</v>
      </c>
      <c r="H317" t="s">
        <v>37</v>
      </c>
      <c r="I317" t="s">
        <v>32</v>
      </c>
      <c r="J317" t="s">
        <v>15</v>
      </c>
    </row>
    <row r="318" spans="1:10" x14ac:dyDescent="0.35">
      <c r="A318">
        <v>1317</v>
      </c>
      <c r="B318" t="s">
        <v>352</v>
      </c>
      <c r="C318" t="s">
        <v>35</v>
      </c>
      <c r="D318" t="s">
        <v>36</v>
      </c>
      <c r="E318">
        <v>1</v>
      </c>
      <c r="F318">
        <v>942</v>
      </c>
      <c r="G318">
        <v>942</v>
      </c>
      <c r="H318" t="s">
        <v>18</v>
      </c>
      <c r="I318" t="s">
        <v>19</v>
      </c>
      <c r="J318" t="s">
        <v>33</v>
      </c>
    </row>
    <row r="319" spans="1:10" x14ac:dyDescent="0.35">
      <c r="A319">
        <v>1318</v>
      </c>
      <c r="B319" t="s">
        <v>353</v>
      </c>
      <c r="C319" t="s">
        <v>39</v>
      </c>
      <c r="D319" t="s">
        <v>23</v>
      </c>
      <c r="E319">
        <v>3</v>
      </c>
      <c r="F319">
        <v>826</v>
      </c>
      <c r="G319">
        <v>2478</v>
      </c>
      <c r="H319" t="s">
        <v>40</v>
      </c>
      <c r="I319" t="s">
        <v>14</v>
      </c>
      <c r="J319" t="s">
        <v>20</v>
      </c>
    </row>
    <row r="320" spans="1:10" x14ac:dyDescent="0.35">
      <c r="A320">
        <v>1319</v>
      </c>
      <c r="B320" t="s">
        <v>354</v>
      </c>
      <c r="C320" t="s">
        <v>42</v>
      </c>
      <c r="D320" t="s">
        <v>12</v>
      </c>
      <c r="E320">
        <v>1</v>
      </c>
      <c r="F320">
        <v>3941</v>
      </c>
      <c r="G320">
        <v>3941</v>
      </c>
      <c r="H320" t="s">
        <v>37</v>
      </c>
      <c r="I320" t="s">
        <v>32</v>
      </c>
      <c r="J320" t="s">
        <v>15</v>
      </c>
    </row>
    <row r="321" spans="1:10" x14ac:dyDescent="0.35">
      <c r="A321">
        <v>1320</v>
      </c>
      <c r="B321" t="s">
        <v>355</v>
      </c>
      <c r="C321" t="s">
        <v>44</v>
      </c>
      <c r="D321" t="s">
        <v>26</v>
      </c>
      <c r="E321">
        <v>2</v>
      </c>
      <c r="F321">
        <v>476</v>
      </c>
      <c r="G321">
        <v>952</v>
      </c>
      <c r="H321" t="s">
        <v>13</v>
      </c>
      <c r="I321" t="s">
        <v>19</v>
      </c>
      <c r="J321" t="s">
        <v>15</v>
      </c>
    </row>
    <row r="322" spans="1:10" x14ac:dyDescent="0.35">
      <c r="A322">
        <v>1321</v>
      </c>
      <c r="B322" t="s">
        <v>356</v>
      </c>
      <c r="C322" t="s">
        <v>11</v>
      </c>
      <c r="D322" t="s">
        <v>12</v>
      </c>
      <c r="E322">
        <v>2</v>
      </c>
      <c r="F322">
        <v>41658</v>
      </c>
      <c r="G322">
        <v>83316</v>
      </c>
      <c r="H322" t="s">
        <v>27</v>
      </c>
      <c r="I322" t="s">
        <v>14</v>
      </c>
      <c r="J322" t="s">
        <v>33</v>
      </c>
    </row>
    <row r="323" spans="1:10" x14ac:dyDescent="0.35">
      <c r="A323">
        <v>1322</v>
      </c>
      <c r="B323" t="s">
        <v>357</v>
      </c>
      <c r="C323" t="s">
        <v>17</v>
      </c>
      <c r="D323" t="s">
        <v>12</v>
      </c>
      <c r="E323">
        <v>1</v>
      </c>
      <c r="F323">
        <v>4084</v>
      </c>
      <c r="G323">
        <v>4084</v>
      </c>
      <c r="H323" t="s">
        <v>51</v>
      </c>
      <c r="I323" t="s">
        <v>32</v>
      </c>
      <c r="J323" t="s">
        <v>20</v>
      </c>
    </row>
    <row r="324" spans="1:10" x14ac:dyDescent="0.35">
      <c r="A324">
        <v>1323</v>
      </c>
      <c r="B324" t="s">
        <v>358</v>
      </c>
      <c r="C324" t="s">
        <v>22</v>
      </c>
      <c r="D324" t="s">
        <v>23</v>
      </c>
      <c r="E324">
        <v>3</v>
      </c>
      <c r="F324">
        <v>3098</v>
      </c>
      <c r="G324">
        <v>9294</v>
      </c>
      <c r="H324" t="s">
        <v>27</v>
      </c>
      <c r="I324" t="s">
        <v>32</v>
      </c>
      <c r="J324" t="s">
        <v>20</v>
      </c>
    </row>
    <row r="325" spans="1:10" x14ac:dyDescent="0.35">
      <c r="A325">
        <v>1324</v>
      </c>
      <c r="B325" t="s">
        <v>359</v>
      </c>
      <c r="C325" t="s">
        <v>25</v>
      </c>
      <c r="D325" t="s">
        <v>26</v>
      </c>
      <c r="E325">
        <v>5</v>
      </c>
      <c r="F325">
        <v>18226</v>
      </c>
      <c r="G325">
        <v>91130</v>
      </c>
      <c r="H325" t="s">
        <v>40</v>
      </c>
      <c r="I325" t="s">
        <v>14</v>
      </c>
      <c r="J325" t="s">
        <v>33</v>
      </c>
    </row>
    <row r="326" spans="1:10" x14ac:dyDescent="0.35">
      <c r="A326">
        <v>1325</v>
      </c>
      <c r="B326" t="s">
        <v>360</v>
      </c>
      <c r="C326" t="s">
        <v>29</v>
      </c>
      <c r="D326" t="s">
        <v>26</v>
      </c>
      <c r="E326">
        <v>5</v>
      </c>
      <c r="F326">
        <v>298</v>
      </c>
      <c r="G326">
        <v>1490</v>
      </c>
      <c r="H326" t="s">
        <v>13</v>
      </c>
      <c r="I326" t="s">
        <v>32</v>
      </c>
      <c r="J326" t="s">
        <v>33</v>
      </c>
    </row>
    <row r="327" spans="1:10" x14ac:dyDescent="0.35">
      <c r="A327">
        <v>1326</v>
      </c>
      <c r="B327" t="s">
        <v>361</v>
      </c>
      <c r="C327" t="s">
        <v>31</v>
      </c>
      <c r="D327" t="s">
        <v>12</v>
      </c>
      <c r="E327">
        <v>2</v>
      </c>
      <c r="F327">
        <v>12992</v>
      </c>
      <c r="G327">
        <v>25984</v>
      </c>
      <c r="H327" t="s">
        <v>37</v>
      </c>
      <c r="I327" t="s">
        <v>19</v>
      </c>
      <c r="J327" t="s">
        <v>33</v>
      </c>
    </row>
    <row r="328" spans="1:10" x14ac:dyDescent="0.35">
      <c r="A328">
        <v>1327</v>
      </c>
      <c r="B328" t="s">
        <v>362</v>
      </c>
      <c r="C328" t="s">
        <v>35</v>
      </c>
      <c r="D328" t="s">
        <v>36</v>
      </c>
      <c r="E328">
        <v>5</v>
      </c>
      <c r="F328">
        <v>984</v>
      </c>
      <c r="G328">
        <v>4920</v>
      </c>
      <c r="H328" t="s">
        <v>18</v>
      </c>
      <c r="I328" t="s">
        <v>19</v>
      </c>
      <c r="J328" t="s">
        <v>33</v>
      </c>
    </row>
    <row r="329" spans="1:10" x14ac:dyDescent="0.35">
      <c r="A329">
        <v>1328</v>
      </c>
      <c r="B329" t="s">
        <v>363</v>
      </c>
      <c r="C329" t="s">
        <v>39</v>
      </c>
      <c r="D329" t="s">
        <v>23</v>
      </c>
      <c r="E329">
        <v>5</v>
      </c>
      <c r="F329">
        <v>1432</v>
      </c>
      <c r="G329">
        <v>7160</v>
      </c>
      <c r="H329" t="s">
        <v>13</v>
      </c>
      <c r="I329" t="s">
        <v>14</v>
      </c>
      <c r="J329" t="s">
        <v>15</v>
      </c>
    </row>
    <row r="330" spans="1:10" x14ac:dyDescent="0.35">
      <c r="A330">
        <v>1329</v>
      </c>
      <c r="B330" t="s">
        <v>364</v>
      </c>
      <c r="C330" t="s">
        <v>42</v>
      </c>
      <c r="D330" t="s">
        <v>12</v>
      </c>
      <c r="E330">
        <v>2</v>
      </c>
      <c r="F330">
        <v>12324</v>
      </c>
      <c r="G330">
        <v>24648</v>
      </c>
      <c r="H330" t="s">
        <v>37</v>
      </c>
      <c r="I330" t="s">
        <v>19</v>
      </c>
      <c r="J330" t="s">
        <v>33</v>
      </c>
    </row>
    <row r="331" spans="1:10" x14ac:dyDescent="0.35">
      <c r="A331">
        <v>1330</v>
      </c>
      <c r="B331" t="s">
        <v>365</v>
      </c>
      <c r="C331" t="s">
        <v>44</v>
      </c>
      <c r="D331" t="s">
        <v>26</v>
      </c>
      <c r="E331">
        <v>4</v>
      </c>
      <c r="F331">
        <v>705</v>
      </c>
      <c r="G331">
        <v>2820</v>
      </c>
      <c r="H331" t="s">
        <v>51</v>
      </c>
      <c r="I331" t="s">
        <v>32</v>
      </c>
      <c r="J331" t="s">
        <v>33</v>
      </c>
    </row>
    <row r="332" spans="1:10" x14ac:dyDescent="0.35">
      <c r="A332">
        <v>1331</v>
      </c>
      <c r="B332" t="s">
        <v>366</v>
      </c>
      <c r="C332" t="s">
        <v>11</v>
      </c>
      <c r="D332" t="s">
        <v>12</v>
      </c>
      <c r="E332">
        <v>2</v>
      </c>
      <c r="F332">
        <v>66703</v>
      </c>
      <c r="G332">
        <v>133406</v>
      </c>
      <c r="H332" t="s">
        <v>40</v>
      </c>
      <c r="I332" t="s">
        <v>19</v>
      </c>
      <c r="J332" t="s">
        <v>33</v>
      </c>
    </row>
    <row r="333" spans="1:10" x14ac:dyDescent="0.35">
      <c r="A333">
        <v>1332</v>
      </c>
      <c r="B333" t="s">
        <v>367</v>
      </c>
      <c r="C333" t="s">
        <v>17</v>
      </c>
      <c r="D333" t="s">
        <v>12</v>
      </c>
      <c r="E333">
        <v>1</v>
      </c>
      <c r="F333">
        <v>2242</v>
      </c>
      <c r="G333">
        <v>2242</v>
      </c>
      <c r="H333" t="s">
        <v>51</v>
      </c>
      <c r="I333" t="s">
        <v>32</v>
      </c>
      <c r="J333" t="s">
        <v>20</v>
      </c>
    </row>
    <row r="334" spans="1:10" x14ac:dyDescent="0.35">
      <c r="A334">
        <v>1333</v>
      </c>
      <c r="B334" t="s">
        <v>368</v>
      </c>
      <c r="C334" t="s">
        <v>22</v>
      </c>
      <c r="D334" t="s">
        <v>23</v>
      </c>
      <c r="E334">
        <v>3</v>
      </c>
      <c r="F334">
        <v>3095</v>
      </c>
      <c r="G334">
        <v>9285</v>
      </c>
      <c r="H334" t="s">
        <v>27</v>
      </c>
      <c r="I334" t="s">
        <v>32</v>
      </c>
      <c r="J334" t="s">
        <v>15</v>
      </c>
    </row>
    <row r="335" spans="1:10" x14ac:dyDescent="0.35">
      <c r="A335">
        <v>1334</v>
      </c>
      <c r="B335" t="s">
        <v>369</v>
      </c>
      <c r="C335" t="s">
        <v>25</v>
      </c>
      <c r="D335" t="s">
        <v>26</v>
      </c>
      <c r="E335">
        <v>3</v>
      </c>
      <c r="F335">
        <v>4016</v>
      </c>
      <c r="G335">
        <v>12048</v>
      </c>
      <c r="H335" t="s">
        <v>18</v>
      </c>
      <c r="I335" t="s">
        <v>32</v>
      </c>
      <c r="J335" t="s">
        <v>15</v>
      </c>
    </row>
    <row r="336" spans="1:10" x14ac:dyDescent="0.35">
      <c r="A336">
        <v>1335</v>
      </c>
      <c r="B336" t="s">
        <v>370</v>
      </c>
      <c r="C336" t="s">
        <v>29</v>
      </c>
      <c r="D336" t="s">
        <v>26</v>
      </c>
      <c r="E336">
        <v>4</v>
      </c>
      <c r="F336">
        <v>258</v>
      </c>
      <c r="G336">
        <v>1032</v>
      </c>
      <c r="H336" t="s">
        <v>18</v>
      </c>
      <c r="I336" t="s">
        <v>19</v>
      </c>
      <c r="J336" t="s">
        <v>15</v>
      </c>
    </row>
    <row r="337" spans="1:10" x14ac:dyDescent="0.35">
      <c r="A337">
        <v>1336</v>
      </c>
      <c r="B337" t="s">
        <v>371</v>
      </c>
      <c r="C337" t="s">
        <v>31</v>
      </c>
      <c r="D337" t="s">
        <v>12</v>
      </c>
      <c r="E337">
        <v>1</v>
      </c>
      <c r="F337">
        <v>38061</v>
      </c>
      <c r="G337">
        <v>38061</v>
      </c>
      <c r="H337" t="s">
        <v>51</v>
      </c>
      <c r="I337" t="s">
        <v>19</v>
      </c>
      <c r="J337" t="s">
        <v>33</v>
      </c>
    </row>
    <row r="338" spans="1:10" x14ac:dyDescent="0.35">
      <c r="A338">
        <v>1337</v>
      </c>
      <c r="B338" t="s">
        <v>372</v>
      </c>
      <c r="C338" t="s">
        <v>35</v>
      </c>
      <c r="D338" t="s">
        <v>36</v>
      </c>
      <c r="E338">
        <v>2</v>
      </c>
      <c r="F338">
        <v>366</v>
      </c>
      <c r="G338">
        <v>732</v>
      </c>
      <c r="H338" t="s">
        <v>18</v>
      </c>
      <c r="I338" t="s">
        <v>19</v>
      </c>
      <c r="J338" t="s">
        <v>20</v>
      </c>
    </row>
    <row r="339" spans="1:10" x14ac:dyDescent="0.35">
      <c r="A339">
        <v>1338</v>
      </c>
      <c r="B339" t="s">
        <v>373</v>
      </c>
      <c r="C339" t="s">
        <v>39</v>
      </c>
      <c r="D339" t="s">
        <v>23</v>
      </c>
      <c r="E339">
        <v>1</v>
      </c>
      <c r="F339">
        <v>1827</v>
      </c>
      <c r="G339">
        <v>1827</v>
      </c>
      <c r="H339" t="s">
        <v>18</v>
      </c>
      <c r="I339" t="s">
        <v>32</v>
      </c>
      <c r="J339" t="s">
        <v>15</v>
      </c>
    </row>
    <row r="340" spans="1:10" x14ac:dyDescent="0.35">
      <c r="A340">
        <v>1339</v>
      </c>
      <c r="B340" t="s">
        <v>374</v>
      </c>
      <c r="C340" t="s">
        <v>42</v>
      </c>
      <c r="D340" t="s">
        <v>12</v>
      </c>
      <c r="E340">
        <v>1</v>
      </c>
      <c r="F340">
        <v>6196</v>
      </c>
      <c r="G340">
        <v>6196</v>
      </c>
      <c r="H340" t="s">
        <v>37</v>
      </c>
      <c r="I340" t="s">
        <v>14</v>
      </c>
      <c r="J340" t="s">
        <v>20</v>
      </c>
    </row>
    <row r="341" spans="1:10" x14ac:dyDescent="0.35">
      <c r="A341">
        <v>1340</v>
      </c>
      <c r="B341" t="s">
        <v>375</v>
      </c>
      <c r="C341" t="s">
        <v>44</v>
      </c>
      <c r="D341" t="s">
        <v>26</v>
      </c>
      <c r="E341">
        <v>5</v>
      </c>
      <c r="F341">
        <v>254</v>
      </c>
      <c r="G341">
        <v>1270</v>
      </c>
      <c r="H341" t="s">
        <v>27</v>
      </c>
      <c r="I341" t="s">
        <v>32</v>
      </c>
      <c r="J341" t="s">
        <v>15</v>
      </c>
    </row>
    <row r="342" spans="1:10" x14ac:dyDescent="0.35">
      <c r="A342">
        <v>1341</v>
      </c>
      <c r="B342" t="s">
        <v>376</v>
      </c>
      <c r="C342" t="s">
        <v>11</v>
      </c>
      <c r="D342" t="s">
        <v>12</v>
      </c>
      <c r="E342">
        <v>2</v>
      </c>
      <c r="F342">
        <v>57783</v>
      </c>
      <c r="G342">
        <v>115566</v>
      </c>
      <c r="H342" t="s">
        <v>51</v>
      </c>
      <c r="I342" t="s">
        <v>32</v>
      </c>
      <c r="J342" t="s">
        <v>20</v>
      </c>
    </row>
    <row r="343" spans="1:10" x14ac:dyDescent="0.35">
      <c r="A343">
        <v>1342</v>
      </c>
      <c r="B343" t="s">
        <v>377</v>
      </c>
      <c r="C343" t="s">
        <v>17</v>
      </c>
      <c r="D343" t="s">
        <v>12</v>
      </c>
      <c r="E343">
        <v>3</v>
      </c>
      <c r="F343">
        <v>1302</v>
      </c>
      <c r="G343">
        <v>3906</v>
      </c>
      <c r="H343" t="s">
        <v>18</v>
      </c>
      <c r="I343" t="s">
        <v>19</v>
      </c>
      <c r="J343" t="s">
        <v>33</v>
      </c>
    </row>
    <row r="344" spans="1:10" x14ac:dyDescent="0.35">
      <c r="A344">
        <v>1343</v>
      </c>
      <c r="B344" t="s">
        <v>378</v>
      </c>
      <c r="C344" t="s">
        <v>22</v>
      </c>
      <c r="D344" t="s">
        <v>23</v>
      </c>
      <c r="E344">
        <v>1</v>
      </c>
      <c r="F344">
        <v>1283</v>
      </c>
      <c r="G344">
        <v>1283</v>
      </c>
      <c r="H344" t="s">
        <v>18</v>
      </c>
      <c r="I344" t="s">
        <v>19</v>
      </c>
      <c r="J344" t="s">
        <v>20</v>
      </c>
    </row>
    <row r="345" spans="1:10" x14ac:dyDescent="0.35">
      <c r="A345">
        <v>1344</v>
      </c>
      <c r="B345" t="s">
        <v>379</v>
      </c>
      <c r="C345" t="s">
        <v>25</v>
      </c>
      <c r="D345" t="s">
        <v>26</v>
      </c>
      <c r="E345">
        <v>2</v>
      </c>
      <c r="F345">
        <v>10838</v>
      </c>
      <c r="G345">
        <v>21676</v>
      </c>
      <c r="H345" t="s">
        <v>37</v>
      </c>
      <c r="I345" t="s">
        <v>19</v>
      </c>
      <c r="J345" t="s">
        <v>20</v>
      </c>
    </row>
    <row r="346" spans="1:10" x14ac:dyDescent="0.35">
      <c r="A346">
        <v>1345</v>
      </c>
      <c r="B346" t="s">
        <v>380</v>
      </c>
      <c r="C346" t="s">
        <v>29</v>
      </c>
      <c r="D346" t="s">
        <v>26</v>
      </c>
      <c r="E346">
        <v>1</v>
      </c>
      <c r="F346">
        <v>895</v>
      </c>
      <c r="G346">
        <v>895</v>
      </c>
      <c r="H346" t="s">
        <v>18</v>
      </c>
      <c r="I346" t="s">
        <v>32</v>
      </c>
      <c r="J346" t="s">
        <v>15</v>
      </c>
    </row>
    <row r="347" spans="1:10" x14ac:dyDescent="0.35">
      <c r="A347">
        <v>1346</v>
      </c>
      <c r="B347" t="s">
        <v>381</v>
      </c>
      <c r="C347" t="s">
        <v>31</v>
      </c>
      <c r="D347" t="s">
        <v>12</v>
      </c>
      <c r="E347">
        <v>2</v>
      </c>
      <c r="F347">
        <v>14574</v>
      </c>
      <c r="G347">
        <v>29148</v>
      </c>
      <c r="H347" t="s">
        <v>40</v>
      </c>
      <c r="I347" t="s">
        <v>14</v>
      </c>
      <c r="J347" t="s">
        <v>15</v>
      </c>
    </row>
    <row r="348" spans="1:10" x14ac:dyDescent="0.35">
      <c r="A348">
        <v>1347</v>
      </c>
      <c r="B348" t="s">
        <v>382</v>
      </c>
      <c r="C348" t="s">
        <v>35</v>
      </c>
      <c r="D348" t="s">
        <v>36</v>
      </c>
      <c r="E348">
        <v>2</v>
      </c>
      <c r="F348">
        <v>348</v>
      </c>
      <c r="G348">
        <v>696</v>
      </c>
      <c r="H348" t="s">
        <v>37</v>
      </c>
      <c r="I348" t="s">
        <v>19</v>
      </c>
      <c r="J348" t="s">
        <v>15</v>
      </c>
    </row>
    <row r="349" spans="1:10" x14ac:dyDescent="0.35">
      <c r="A349">
        <v>1348</v>
      </c>
      <c r="B349" t="s">
        <v>383</v>
      </c>
      <c r="C349" t="s">
        <v>39</v>
      </c>
      <c r="D349" t="s">
        <v>23</v>
      </c>
      <c r="E349">
        <v>4</v>
      </c>
      <c r="F349">
        <v>544</v>
      </c>
      <c r="G349">
        <v>2176</v>
      </c>
      <c r="H349" t="s">
        <v>51</v>
      </c>
      <c r="I349" t="s">
        <v>14</v>
      </c>
      <c r="J349" t="s">
        <v>20</v>
      </c>
    </row>
    <row r="350" spans="1:10" x14ac:dyDescent="0.35">
      <c r="A350">
        <v>1349</v>
      </c>
      <c r="B350" t="s">
        <v>384</v>
      </c>
      <c r="C350" t="s">
        <v>42</v>
      </c>
      <c r="D350" t="s">
        <v>12</v>
      </c>
      <c r="E350">
        <v>1</v>
      </c>
      <c r="F350">
        <v>13858</v>
      </c>
      <c r="G350">
        <v>13858</v>
      </c>
      <c r="H350" t="s">
        <v>27</v>
      </c>
      <c r="I350" t="s">
        <v>14</v>
      </c>
      <c r="J350" t="s">
        <v>15</v>
      </c>
    </row>
    <row r="351" spans="1:10" x14ac:dyDescent="0.35">
      <c r="A351">
        <v>1350</v>
      </c>
      <c r="B351" t="s">
        <v>385</v>
      </c>
      <c r="C351" t="s">
        <v>44</v>
      </c>
      <c r="D351" t="s">
        <v>26</v>
      </c>
      <c r="E351">
        <v>3</v>
      </c>
      <c r="F351">
        <v>215</v>
      </c>
      <c r="G351">
        <v>645</v>
      </c>
      <c r="H351" t="s">
        <v>40</v>
      </c>
      <c r="I351" t="s">
        <v>32</v>
      </c>
      <c r="J351" t="s">
        <v>20</v>
      </c>
    </row>
    <row r="352" spans="1:10" x14ac:dyDescent="0.35">
      <c r="A352">
        <v>1351</v>
      </c>
      <c r="B352" t="s">
        <v>386</v>
      </c>
      <c r="C352" t="s">
        <v>11</v>
      </c>
      <c r="D352" t="s">
        <v>12</v>
      </c>
      <c r="E352">
        <v>2</v>
      </c>
      <c r="F352">
        <v>57831</v>
      </c>
      <c r="G352">
        <v>115662</v>
      </c>
      <c r="H352" t="s">
        <v>51</v>
      </c>
      <c r="I352" t="s">
        <v>14</v>
      </c>
      <c r="J352" t="s">
        <v>33</v>
      </c>
    </row>
    <row r="353" spans="1:10" x14ac:dyDescent="0.35">
      <c r="A353">
        <v>1352</v>
      </c>
      <c r="B353" t="s">
        <v>387</v>
      </c>
      <c r="C353" t="s">
        <v>17</v>
      </c>
      <c r="D353" t="s">
        <v>12</v>
      </c>
      <c r="E353">
        <v>1</v>
      </c>
      <c r="F353">
        <v>2608</v>
      </c>
      <c r="G353">
        <v>2608</v>
      </c>
      <c r="H353" t="s">
        <v>37</v>
      </c>
      <c r="I353" t="s">
        <v>19</v>
      </c>
      <c r="J353" t="s">
        <v>33</v>
      </c>
    </row>
    <row r="354" spans="1:10" x14ac:dyDescent="0.35">
      <c r="A354">
        <v>1353</v>
      </c>
      <c r="B354" t="s">
        <v>388</v>
      </c>
      <c r="C354" t="s">
        <v>22</v>
      </c>
      <c r="D354" t="s">
        <v>23</v>
      </c>
      <c r="E354">
        <v>1</v>
      </c>
      <c r="F354">
        <v>3751</v>
      </c>
      <c r="G354">
        <v>3751</v>
      </c>
      <c r="H354" t="s">
        <v>51</v>
      </c>
      <c r="I354" t="s">
        <v>32</v>
      </c>
      <c r="J354" t="s">
        <v>15</v>
      </c>
    </row>
    <row r="355" spans="1:10" x14ac:dyDescent="0.35">
      <c r="A355">
        <v>1354</v>
      </c>
      <c r="B355" t="s">
        <v>389</v>
      </c>
      <c r="C355" t="s">
        <v>25</v>
      </c>
      <c r="D355" t="s">
        <v>26</v>
      </c>
      <c r="E355">
        <v>5</v>
      </c>
      <c r="F355">
        <v>11976</v>
      </c>
      <c r="G355">
        <v>59880</v>
      </c>
      <c r="H355" t="s">
        <v>40</v>
      </c>
      <c r="I355" t="s">
        <v>32</v>
      </c>
      <c r="J355" t="s">
        <v>20</v>
      </c>
    </row>
    <row r="356" spans="1:10" x14ac:dyDescent="0.35">
      <c r="A356">
        <v>1355</v>
      </c>
      <c r="B356" t="s">
        <v>390</v>
      </c>
      <c r="C356" t="s">
        <v>29</v>
      </c>
      <c r="D356" t="s">
        <v>26</v>
      </c>
      <c r="E356">
        <v>1</v>
      </c>
      <c r="F356">
        <v>542</v>
      </c>
      <c r="G356">
        <v>542</v>
      </c>
      <c r="H356" t="s">
        <v>40</v>
      </c>
      <c r="I356" t="s">
        <v>14</v>
      </c>
      <c r="J356" t="s">
        <v>20</v>
      </c>
    </row>
    <row r="357" spans="1:10" x14ac:dyDescent="0.35">
      <c r="A357">
        <v>1356</v>
      </c>
      <c r="B357" t="s">
        <v>391</v>
      </c>
      <c r="C357" t="s">
        <v>31</v>
      </c>
      <c r="D357" t="s">
        <v>12</v>
      </c>
      <c r="E357">
        <v>2</v>
      </c>
      <c r="F357">
        <v>34854</v>
      </c>
      <c r="G357">
        <v>69708</v>
      </c>
      <c r="H357" t="s">
        <v>51</v>
      </c>
      <c r="I357" t="s">
        <v>14</v>
      </c>
      <c r="J357" t="s">
        <v>15</v>
      </c>
    </row>
    <row r="358" spans="1:10" x14ac:dyDescent="0.35">
      <c r="A358">
        <v>1357</v>
      </c>
      <c r="B358" t="s">
        <v>392</v>
      </c>
      <c r="C358" t="s">
        <v>35</v>
      </c>
      <c r="D358" t="s">
        <v>36</v>
      </c>
      <c r="E358">
        <v>4</v>
      </c>
      <c r="F358">
        <v>821</v>
      </c>
      <c r="G358">
        <v>3284</v>
      </c>
      <c r="H358" t="s">
        <v>18</v>
      </c>
      <c r="I358" t="s">
        <v>19</v>
      </c>
      <c r="J358" t="s">
        <v>20</v>
      </c>
    </row>
    <row r="359" spans="1:10" x14ac:dyDescent="0.35">
      <c r="A359">
        <v>1358</v>
      </c>
      <c r="B359" t="s">
        <v>393</v>
      </c>
      <c r="C359" t="s">
        <v>39</v>
      </c>
      <c r="D359" t="s">
        <v>23</v>
      </c>
      <c r="E359">
        <v>5</v>
      </c>
      <c r="F359">
        <v>1003</v>
      </c>
      <c r="G359">
        <v>5015</v>
      </c>
      <c r="H359" t="s">
        <v>51</v>
      </c>
      <c r="I359" t="s">
        <v>32</v>
      </c>
      <c r="J359" t="s">
        <v>33</v>
      </c>
    </row>
    <row r="360" spans="1:10" x14ac:dyDescent="0.35">
      <c r="A360">
        <v>1359</v>
      </c>
      <c r="B360" t="s">
        <v>394</v>
      </c>
      <c r="C360" t="s">
        <v>42</v>
      </c>
      <c r="D360" t="s">
        <v>12</v>
      </c>
      <c r="E360">
        <v>1</v>
      </c>
      <c r="F360">
        <v>9526</v>
      </c>
      <c r="G360">
        <v>9526</v>
      </c>
      <c r="H360" t="s">
        <v>51</v>
      </c>
      <c r="I360" t="s">
        <v>14</v>
      </c>
      <c r="J360" t="s">
        <v>20</v>
      </c>
    </row>
    <row r="361" spans="1:10" x14ac:dyDescent="0.35">
      <c r="A361">
        <v>1360</v>
      </c>
      <c r="B361" t="s">
        <v>395</v>
      </c>
      <c r="C361" t="s">
        <v>44</v>
      </c>
      <c r="D361" t="s">
        <v>26</v>
      </c>
      <c r="E361">
        <v>5</v>
      </c>
      <c r="F361">
        <v>317</v>
      </c>
      <c r="G361">
        <v>1585</v>
      </c>
      <c r="H361" t="s">
        <v>13</v>
      </c>
      <c r="I361" t="s">
        <v>32</v>
      </c>
      <c r="J361" t="s">
        <v>33</v>
      </c>
    </row>
    <row r="362" spans="1:10" x14ac:dyDescent="0.35">
      <c r="A362">
        <v>1361</v>
      </c>
      <c r="B362" t="s">
        <v>396</v>
      </c>
      <c r="C362" t="s">
        <v>11</v>
      </c>
      <c r="D362" t="s">
        <v>12</v>
      </c>
      <c r="E362">
        <v>1</v>
      </c>
      <c r="F362">
        <v>53373</v>
      </c>
      <c r="G362">
        <v>53373</v>
      </c>
      <c r="H362" t="s">
        <v>51</v>
      </c>
      <c r="I362" t="s">
        <v>14</v>
      </c>
      <c r="J362" t="s">
        <v>33</v>
      </c>
    </row>
    <row r="363" spans="1:10" x14ac:dyDescent="0.35">
      <c r="A363">
        <v>1362</v>
      </c>
      <c r="B363" t="s">
        <v>397</v>
      </c>
      <c r="C363" t="s">
        <v>17</v>
      </c>
      <c r="D363" t="s">
        <v>12</v>
      </c>
      <c r="E363">
        <v>2</v>
      </c>
      <c r="F363">
        <v>4853</v>
      </c>
      <c r="G363">
        <v>9706</v>
      </c>
      <c r="H363" t="s">
        <v>13</v>
      </c>
      <c r="I363" t="s">
        <v>19</v>
      </c>
      <c r="J363" t="s">
        <v>15</v>
      </c>
    </row>
    <row r="364" spans="1:10" x14ac:dyDescent="0.35">
      <c r="A364">
        <v>1363</v>
      </c>
      <c r="B364" t="s">
        <v>398</v>
      </c>
      <c r="C364" t="s">
        <v>22</v>
      </c>
      <c r="D364" t="s">
        <v>23</v>
      </c>
      <c r="E364">
        <v>2</v>
      </c>
      <c r="F364">
        <v>4788</v>
      </c>
      <c r="G364">
        <v>9576</v>
      </c>
      <c r="H364" t="s">
        <v>27</v>
      </c>
      <c r="I364" t="s">
        <v>14</v>
      </c>
      <c r="J364" t="s">
        <v>15</v>
      </c>
    </row>
    <row r="365" spans="1:10" x14ac:dyDescent="0.35">
      <c r="A365">
        <v>1364</v>
      </c>
      <c r="B365" t="s">
        <v>399</v>
      </c>
      <c r="C365" t="s">
        <v>25</v>
      </c>
      <c r="D365" t="s">
        <v>26</v>
      </c>
      <c r="E365">
        <v>5</v>
      </c>
      <c r="F365">
        <v>17252</v>
      </c>
      <c r="G365">
        <v>86260</v>
      </c>
      <c r="H365" t="s">
        <v>37</v>
      </c>
      <c r="I365" t="s">
        <v>32</v>
      </c>
      <c r="J365" t="s">
        <v>33</v>
      </c>
    </row>
    <row r="366" spans="1:10" x14ac:dyDescent="0.35">
      <c r="A366">
        <v>1365</v>
      </c>
      <c r="B366" t="s">
        <v>400</v>
      </c>
      <c r="C366" t="s">
        <v>29</v>
      </c>
      <c r="D366" t="s">
        <v>26</v>
      </c>
      <c r="E366">
        <v>5</v>
      </c>
      <c r="F366">
        <v>179</v>
      </c>
      <c r="G366">
        <v>895</v>
      </c>
      <c r="H366" t="s">
        <v>18</v>
      </c>
      <c r="I366" t="s">
        <v>14</v>
      </c>
      <c r="J366" t="s">
        <v>33</v>
      </c>
    </row>
    <row r="367" spans="1:10" x14ac:dyDescent="0.35">
      <c r="A367">
        <v>1366</v>
      </c>
      <c r="B367" t="s">
        <v>401</v>
      </c>
      <c r="C367" t="s">
        <v>31</v>
      </c>
      <c r="D367" t="s">
        <v>12</v>
      </c>
      <c r="E367">
        <v>1</v>
      </c>
      <c r="F367">
        <v>29151</v>
      </c>
      <c r="G367">
        <v>29151</v>
      </c>
      <c r="H367" t="s">
        <v>18</v>
      </c>
      <c r="I367" t="s">
        <v>19</v>
      </c>
      <c r="J367" t="s">
        <v>15</v>
      </c>
    </row>
    <row r="368" spans="1:10" x14ac:dyDescent="0.35">
      <c r="A368">
        <v>1367</v>
      </c>
      <c r="B368" t="s">
        <v>402</v>
      </c>
      <c r="C368" t="s">
        <v>35</v>
      </c>
      <c r="D368" t="s">
        <v>36</v>
      </c>
      <c r="E368">
        <v>4</v>
      </c>
      <c r="F368">
        <v>474</v>
      </c>
      <c r="G368">
        <v>1896</v>
      </c>
      <c r="H368" t="s">
        <v>13</v>
      </c>
      <c r="I368" t="s">
        <v>32</v>
      </c>
      <c r="J368" t="s">
        <v>15</v>
      </c>
    </row>
    <row r="369" spans="1:10" x14ac:dyDescent="0.35">
      <c r="A369">
        <v>1368</v>
      </c>
      <c r="B369" t="s">
        <v>403</v>
      </c>
      <c r="C369" t="s">
        <v>39</v>
      </c>
      <c r="D369" t="s">
        <v>23</v>
      </c>
      <c r="E369">
        <v>1</v>
      </c>
      <c r="F369">
        <v>1670</v>
      </c>
      <c r="G369">
        <v>1670</v>
      </c>
      <c r="H369" t="s">
        <v>40</v>
      </c>
      <c r="I369" t="s">
        <v>32</v>
      </c>
      <c r="J369" t="s">
        <v>15</v>
      </c>
    </row>
    <row r="370" spans="1:10" x14ac:dyDescent="0.35">
      <c r="A370">
        <v>1369</v>
      </c>
      <c r="B370" t="s">
        <v>404</v>
      </c>
      <c r="C370" t="s">
        <v>42</v>
      </c>
      <c r="D370" t="s">
        <v>12</v>
      </c>
      <c r="E370">
        <v>2</v>
      </c>
      <c r="F370">
        <v>14676</v>
      </c>
      <c r="G370">
        <v>29352</v>
      </c>
      <c r="H370" t="s">
        <v>40</v>
      </c>
      <c r="I370" t="s">
        <v>14</v>
      </c>
      <c r="J370" t="s">
        <v>15</v>
      </c>
    </row>
    <row r="371" spans="1:10" x14ac:dyDescent="0.35">
      <c r="A371">
        <v>1370</v>
      </c>
      <c r="B371" t="s">
        <v>405</v>
      </c>
      <c r="C371" t="s">
        <v>44</v>
      </c>
      <c r="D371" t="s">
        <v>26</v>
      </c>
      <c r="E371">
        <v>3</v>
      </c>
      <c r="F371">
        <v>635</v>
      </c>
      <c r="G371">
        <v>1905</v>
      </c>
      <c r="H371" t="s">
        <v>40</v>
      </c>
      <c r="I371" t="s">
        <v>14</v>
      </c>
      <c r="J371" t="s">
        <v>20</v>
      </c>
    </row>
    <row r="372" spans="1:10" x14ac:dyDescent="0.35">
      <c r="A372">
        <v>1371</v>
      </c>
      <c r="B372" t="s">
        <v>406</v>
      </c>
      <c r="C372" t="s">
        <v>11</v>
      </c>
      <c r="D372" t="s">
        <v>12</v>
      </c>
      <c r="E372">
        <v>2</v>
      </c>
      <c r="F372">
        <v>61090</v>
      </c>
      <c r="G372">
        <v>122180</v>
      </c>
      <c r="H372" t="s">
        <v>37</v>
      </c>
      <c r="I372" t="s">
        <v>14</v>
      </c>
      <c r="J372" t="s">
        <v>20</v>
      </c>
    </row>
    <row r="373" spans="1:10" x14ac:dyDescent="0.35">
      <c r="A373">
        <v>1372</v>
      </c>
      <c r="B373" t="s">
        <v>407</v>
      </c>
      <c r="C373" t="s">
        <v>17</v>
      </c>
      <c r="D373" t="s">
        <v>12</v>
      </c>
      <c r="E373">
        <v>1</v>
      </c>
      <c r="F373">
        <v>2093</v>
      </c>
      <c r="G373">
        <v>2093</v>
      </c>
      <c r="H373" t="s">
        <v>40</v>
      </c>
      <c r="I373" t="s">
        <v>32</v>
      </c>
      <c r="J373" t="s">
        <v>15</v>
      </c>
    </row>
    <row r="374" spans="1:10" x14ac:dyDescent="0.35">
      <c r="A374">
        <v>1373</v>
      </c>
      <c r="B374" t="s">
        <v>408</v>
      </c>
      <c r="C374" t="s">
        <v>22</v>
      </c>
      <c r="D374" t="s">
        <v>23</v>
      </c>
      <c r="E374">
        <v>3</v>
      </c>
      <c r="F374">
        <v>4952</v>
      </c>
      <c r="G374">
        <v>14856</v>
      </c>
      <c r="H374" t="s">
        <v>37</v>
      </c>
      <c r="I374" t="s">
        <v>14</v>
      </c>
      <c r="J374" t="s">
        <v>15</v>
      </c>
    </row>
    <row r="375" spans="1:10" x14ac:dyDescent="0.35">
      <c r="A375">
        <v>1374</v>
      </c>
      <c r="B375" t="s">
        <v>409</v>
      </c>
      <c r="C375" t="s">
        <v>25</v>
      </c>
      <c r="D375" t="s">
        <v>26</v>
      </c>
      <c r="E375">
        <v>4</v>
      </c>
      <c r="F375">
        <v>11582</v>
      </c>
      <c r="G375">
        <v>46328</v>
      </c>
      <c r="H375" t="s">
        <v>13</v>
      </c>
      <c r="I375" t="s">
        <v>19</v>
      </c>
      <c r="J375" t="s">
        <v>33</v>
      </c>
    </row>
    <row r="376" spans="1:10" x14ac:dyDescent="0.35">
      <c r="A376">
        <v>1375</v>
      </c>
      <c r="B376" t="s">
        <v>410</v>
      </c>
      <c r="C376" t="s">
        <v>29</v>
      </c>
      <c r="D376" t="s">
        <v>26</v>
      </c>
      <c r="E376">
        <v>1</v>
      </c>
      <c r="F376">
        <v>267</v>
      </c>
      <c r="G376">
        <v>267</v>
      </c>
      <c r="H376" t="s">
        <v>13</v>
      </c>
      <c r="I376" t="s">
        <v>32</v>
      </c>
      <c r="J376" t="s">
        <v>15</v>
      </c>
    </row>
    <row r="377" spans="1:10" x14ac:dyDescent="0.35">
      <c r="A377">
        <v>1376</v>
      </c>
      <c r="B377" t="s">
        <v>411</v>
      </c>
      <c r="C377" t="s">
        <v>31</v>
      </c>
      <c r="D377" t="s">
        <v>12</v>
      </c>
      <c r="E377">
        <v>1</v>
      </c>
      <c r="F377">
        <v>36468</v>
      </c>
      <c r="G377">
        <v>36468</v>
      </c>
      <c r="H377" t="s">
        <v>37</v>
      </c>
      <c r="I377" t="s">
        <v>14</v>
      </c>
      <c r="J377" t="s">
        <v>33</v>
      </c>
    </row>
    <row r="378" spans="1:10" x14ac:dyDescent="0.35">
      <c r="A378">
        <v>1377</v>
      </c>
      <c r="B378" t="s">
        <v>412</v>
      </c>
      <c r="C378" t="s">
        <v>35</v>
      </c>
      <c r="D378" t="s">
        <v>36</v>
      </c>
      <c r="E378">
        <v>4</v>
      </c>
      <c r="F378">
        <v>506</v>
      </c>
      <c r="G378">
        <v>2024</v>
      </c>
      <c r="H378" t="s">
        <v>27</v>
      </c>
      <c r="I378" t="s">
        <v>19</v>
      </c>
      <c r="J378" t="s">
        <v>33</v>
      </c>
    </row>
    <row r="379" spans="1:10" x14ac:dyDescent="0.35">
      <c r="A379">
        <v>1378</v>
      </c>
      <c r="B379" t="s">
        <v>413</v>
      </c>
      <c r="C379" t="s">
        <v>39</v>
      </c>
      <c r="D379" t="s">
        <v>23</v>
      </c>
      <c r="E379">
        <v>1</v>
      </c>
      <c r="F379">
        <v>640</v>
      </c>
      <c r="G379">
        <v>640</v>
      </c>
      <c r="H379" t="s">
        <v>27</v>
      </c>
      <c r="I379" t="s">
        <v>19</v>
      </c>
      <c r="J379" t="s">
        <v>33</v>
      </c>
    </row>
    <row r="380" spans="1:10" x14ac:dyDescent="0.35">
      <c r="A380">
        <v>1379</v>
      </c>
      <c r="B380" t="s">
        <v>414</v>
      </c>
      <c r="C380" t="s">
        <v>42</v>
      </c>
      <c r="D380" t="s">
        <v>12</v>
      </c>
      <c r="E380">
        <v>2</v>
      </c>
      <c r="F380">
        <v>7951</v>
      </c>
      <c r="G380">
        <v>15902</v>
      </c>
      <c r="H380" t="s">
        <v>40</v>
      </c>
      <c r="I380" t="s">
        <v>32</v>
      </c>
      <c r="J380" t="s">
        <v>20</v>
      </c>
    </row>
    <row r="381" spans="1:10" x14ac:dyDescent="0.35">
      <c r="A381">
        <v>1380</v>
      </c>
      <c r="B381" t="s">
        <v>415</v>
      </c>
      <c r="C381" t="s">
        <v>44</v>
      </c>
      <c r="D381" t="s">
        <v>26</v>
      </c>
      <c r="E381">
        <v>2</v>
      </c>
      <c r="F381">
        <v>547</v>
      </c>
      <c r="G381">
        <v>1094</v>
      </c>
      <c r="H381" t="s">
        <v>18</v>
      </c>
      <c r="I381" t="s">
        <v>32</v>
      </c>
      <c r="J381" t="s">
        <v>20</v>
      </c>
    </row>
    <row r="382" spans="1:10" x14ac:dyDescent="0.35">
      <c r="A382">
        <v>1381</v>
      </c>
      <c r="B382" t="s">
        <v>416</v>
      </c>
      <c r="C382" t="s">
        <v>11</v>
      </c>
      <c r="D382" t="s">
        <v>12</v>
      </c>
      <c r="E382">
        <v>2</v>
      </c>
      <c r="F382">
        <v>44128</v>
      </c>
      <c r="G382">
        <v>88256</v>
      </c>
      <c r="H382" t="s">
        <v>13</v>
      </c>
      <c r="I382" t="s">
        <v>32</v>
      </c>
      <c r="J382" t="s">
        <v>20</v>
      </c>
    </row>
    <row r="383" spans="1:10" x14ac:dyDescent="0.35">
      <c r="A383">
        <v>1382</v>
      </c>
      <c r="B383" t="s">
        <v>417</v>
      </c>
      <c r="C383" t="s">
        <v>17</v>
      </c>
      <c r="D383" t="s">
        <v>12</v>
      </c>
      <c r="E383">
        <v>1</v>
      </c>
      <c r="F383">
        <v>2236</v>
      </c>
      <c r="G383">
        <v>2236</v>
      </c>
      <c r="H383" t="s">
        <v>51</v>
      </c>
      <c r="I383" t="s">
        <v>19</v>
      </c>
      <c r="J383" t="s">
        <v>33</v>
      </c>
    </row>
    <row r="384" spans="1:10" x14ac:dyDescent="0.35">
      <c r="A384">
        <v>1383</v>
      </c>
      <c r="B384" t="s">
        <v>418</v>
      </c>
      <c r="C384" t="s">
        <v>22</v>
      </c>
      <c r="D384" t="s">
        <v>23</v>
      </c>
      <c r="E384">
        <v>1</v>
      </c>
      <c r="F384">
        <v>2086</v>
      </c>
      <c r="G384">
        <v>2086</v>
      </c>
      <c r="H384" t="s">
        <v>51</v>
      </c>
      <c r="I384" t="s">
        <v>14</v>
      </c>
      <c r="J384" t="s">
        <v>20</v>
      </c>
    </row>
    <row r="385" spans="1:10" x14ac:dyDescent="0.35">
      <c r="A385">
        <v>1384</v>
      </c>
      <c r="B385" t="s">
        <v>419</v>
      </c>
      <c r="C385" t="s">
        <v>25</v>
      </c>
      <c r="D385" t="s">
        <v>26</v>
      </c>
      <c r="E385">
        <v>5</v>
      </c>
      <c r="F385">
        <v>2776</v>
      </c>
      <c r="G385">
        <v>13880</v>
      </c>
      <c r="H385" t="s">
        <v>13</v>
      </c>
      <c r="I385" t="s">
        <v>32</v>
      </c>
      <c r="J385" t="s">
        <v>15</v>
      </c>
    </row>
    <row r="386" spans="1:10" x14ac:dyDescent="0.35">
      <c r="A386">
        <v>1385</v>
      </c>
      <c r="B386" t="s">
        <v>420</v>
      </c>
      <c r="C386" t="s">
        <v>29</v>
      </c>
      <c r="D386" t="s">
        <v>26</v>
      </c>
      <c r="E386">
        <v>3</v>
      </c>
      <c r="F386">
        <v>950</v>
      </c>
      <c r="G386">
        <v>2850</v>
      </c>
      <c r="H386" t="s">
        <v>37</v>
      </c>
      <c r="I386" t="s">
        <v>19</v>
      </c>
      <c r="J386" t="s">
        <v>20</v>
      </c>
    </row>
    <row r="387" spans="1:10" x14ac:dyDescent="0.35">
      <c r="A387">
        <v>1386</v>
      </c>
      <c r="B387" t="s">
        <v>421</v>
      </c>
      <c r="C387" t="s">
        <v>31</v>
      </c>
      <c r="D387" t="s">
        <v>12</v>
      </c>
      <c r="E387">
        <v>2</v>
      </c>
      <c r="F387">
        <v>35262</v>
      </c>
      <c r="G387">
        <v>70524</v>
      </c>
      <c r="H387" t="s">
        <v>13</v>
      </c>
      <c r="I387" t="s">
        <v>32</v>
      </c>
      <c r="J387" t="s">
        <v>33</v>
      </c>
    </row>
    <row r="388" spans="1:10" x14ac:dyDescent="0.35">
      <c r="A388">
        <v>1387</v>
      </c>
      <c r="B388" t="s">
        <v>422</v>
      </c>
      <c r="C388" t="s">
        <v>35</v>
      </c>
      <c r="D388" t="s">
        <v>36</v>
      </c>
      <c r="E388">
        <v>2</v>
      </c>
      <c r="F388">
        <v>987</v>
      </c>
      <c r="G388">
        <v>1974</v>
      </c>
      <c r="H388" t="s">
        <v>40</v>
      </c>
      <c r="I388" t="s">
        <v>14</v>
      </c>
      <c r="J388" t="s">
        <v>15</v>
      </c>
    </row>
    <row r="389" spans="1:10" x14ac:dyDescent="0.35">
      <c r="A389">
        <v>1388</v>
      </c>
      <c r="B389" t="s">
        <v>423</v>
      </c>
      <c r="C389" t="s">
        <v>39</v>
      </c>
      <c r="D389" t="s">
        <v>23</v>
      </c>
      <c r="E389">
        <v>4</v>
      </c>
      <c r="F389">
        <v>1738</v>
      </c>
      <c r="G389">
        <v>6952</v>
      </c>
      <c r="H389" t="s">
        <v>18</v>
      </c>
      <c r="I389" t="s">
        <v>19</v>
      </c>
      <c r="J389" t="s">
        <v>20</v>
      </c>
    </row>
    <row r="390" spans="1:10" x14ac:dyDescent="0.35">
      <c r="A390">
        <v>1389</v>
      </c>
      <c r="B390" t="s">
        <v>424</v>
      </c>
      <c r="C390" t="s">
        <v>42</v>
      </c>
      <c r="D390" t="s">
        <v>12</v>
      </c>
      <c r="E390">
        <v>2</v>
      </c>
      <c r="F390">
        <v>12489</v>
      </c>
      <c r="G390">
        <v>24978</v>
      </c>
      <c r="H390" t="s">
        <v>51</v>
      </c>
      <c r="I390" t="s">
        <v>19</v>
      </c>
      <c r="J390" t="s">
        <v>20</v>
      </c>
    </row>
    <row r="391" spans="1:10" x14ac:dyDescent="0.35">
      <c r="A391">
        <v>1390</v>
      </c>
      <c r="B391" t="s">
        <v>425</v>
      </c>
      <c r="C391" t="s">
        <v>44</v>
      </c>
      <c r="D391" t="s">
        <v>26</v>
      </c>
      <c r="E391">
        <v>1</v>
      </c>
      <c r="F391">
        <v>655</v>
      </c>
      <c r="G391">
        <v>655</v>
      </c>
      <c r="H391" t="s">
        <v>51</v>
      </c>
      <c r="I391" t="s">
        <v>32</v>
      </c>
      <c r="J391" t="s">
        <v>15</v>
      </c>
    </row>
    <row r="392" spans="1:10" x14ac:dyDescent="0.35">
      <c r="A392">
        <v>1391</v>
      </c>
      <c r="B392" t="s">
        <v>426</v>
      </c>
      <c r="C392" t="s">
        <v>11</v>
      </c>
      <c r="D392" t="s">
        <v>12</v>
      </c>
      <c r="E392">
        <v>1</v>
      </c>
      <c r="F392">
        <v>43749</v>
      </c>
      <c r="G392">
        <v>43749</v>
      </c>
      <c r="H392" t="s">
        <v>40</v>
      </c>
      <c r="I392" t="s">
        <v>14</v>
      </c>
      <c r="J392" t="s">
        <v>15</v>
      </c>
    </row>
    <row r="393" spans="1:10" x14ac:dyDescent="0.35">
      <c r="A393">
        <v>1392</v>
      </c>
      <c r="B393" t="s">
        <v>427</v>
      </c>
      <c r="C393" t="s">
        <v>17</v>
      </c>
      <c r="D393" t="s">
        <v>12</v>
      </c>
      <c r="E393">
        <v>2</v>
      </c>
      <c r="F393">
        <v>2811</v>
      </c>
      <c r="G393">
        <v>5622</v>
      </c>
      <c r="H393" t="s">
        <v>51</v>
      </c>
      <c r="I393" t="s">
        <v>14</v>
      </c>
      <c r="J393" t="s">
        <v>33</v>
      </c>
    </row>
    <row r="394" spans="1:10" x14ac:dyDescent="0.35">
      <c r="A394">
        <v>1393</v>
      </c>
      <c r="B394" t="s">
        <v>428</v>
      </c>
      <c r="C394" t="s">
        <v>22</v>
      </c>
      <c r="D394" t="s">
        <v>23</v>
      </c>
      <c r="E394">
        <v>2</v>
      </c>
      <c r="F394">
        <v>3024</v>
      </c>
      <c r="G394">
        <v>6048</v>
      </c>
      <c r="H394" t="s">
        <v>13</v>
      </c>
      <c r="I394" t="s">
        <v>14</v>
      </c>
      <c r="J394" t="s">
        <v>20</v>
      </c>
    </row>
    <row r="395" spans="1:10" x14ac:dyDescent="0.35">
      <c r="A395">
        <v>1394</v>
      </c>
      <c r="B395" t="s">
        <v>429</v>
      </c>
      <c r="C395" t="s">
        <v>25</v>
      </c>
      <c r="D395" t="s">
        <v>26</v>
      </c>
      <c r="E395">
        <v>2</v>
      </c>
      <c r="F395">
        <v>3456</v>
      </c>
      <c r="G395">
        <v>6912</v>
      </c>
      <c r="H395" t="s">
        <v>13</v>
      </c>
      <c r="I395" t="s">
        <v>19</v>
      </c>
      <c r="J395" t="s">
        <v>20</v>
      </c>
    </row>
    <row r="396" spans="1:10" x14ac:dyDescent="0.35">
      <c r="A396">
        <v>1395</v>
      </c>
      <c r="B396" t="s">
        <v>430</v>
      </c>
      <c r="C396" t="s">
        <v>29</v>
      </c>
      <c r="D396" t="s">
        <v>26</v>
      </c>
      <c r="E396">
        <v>2</v>
      </c>
      <c r="F396">
        <v>101</v>
      </c>
      <c r="G396">
        <v>202</v>
      </c>
      <c r="H396" t="s">
        <v>37</v>
      </c>
      <c r="I396" t="s">
        <v>19</v>
      </c>
      <c r="J396" t="s">
        <v>33</v>
      </c>
    </row>
    <row r="397" spans="1:10" x14ac:dyDescent="0.35">
      <c r="A397">
        <v>1396</v>
      </c>
      <c r="B397" t="s">
        <v>431</v>
      </c>
      <c r="C397" t="s">
        <v>31</v>
      </c>
      <c r="D397" t="s">
        <v>12</v>
      </c>
      <c r="E397">
        <v>1</v>
      </c>
      <c r="F397">
        <v>12460</v>
      </c>
      <c r="G397">
        <v>12460</v>
      </c>
      <c r="H397" t="s">
        <v>13</v>
      </c>
      <c r="I397" t="s">
        <v>32</v>
      </c>
      <c r="J397" t="s">
        <v>33</v>
      </c>
    </row>
    <row r="398" spans="1:10" x14ac:dyDescent="0.35">
      <c r="A398">
        <v>1397</v>
      </c>
      <c r="B398" t="s">
        <v>432</v>
      </c>
      <c r="C398" t="s">
        <v>35</v>
      </c>
      <c r="D398" t="s">
        <v>36</v>
      </c>
      <c r="E398">
        <v>2</v>
      </c>
      <c r="F398">
        <v>255</v>
      </c>
      <c r="G398">
        <v>510</v>
      </c>
      <c r="H398" t="s">
        <v>37</v>
      </c>
      <c r="I398" t="s">
        <v>32</v>
      </c>
      <c r="J398" t="s">
        <v>33</v>
      </c>
    </row>
    <row r="399" spans="1:10" x14ac:dyDescent="0.35">
      <c r="A399">
        <v>1398</v>
      </c>
      <c r="B399" t="s">
        <v>433</v>
      </c>
      <c r="C399" t="s">
        <v>39</v>
      </c>
      <c r="D399" t="s">
        <v>23</v>
      </c>
      <c r="E399">
        <v>4</v>
      </c>
      <c r="F399">
        <v>688</v>
      </c>
      <c r="G399">
        <v>2752</v>
      </c>
      <c r="H399" t="s">
        <v>13</v>
      </c>
      <c r="I399" t="s">
        <v>14</v>
      </c>
      <c r="J399" t="s">
        <v>15</v>
      </c>
    </row>
    <row r="400" spans="1:10" x14ac:dyDescent="0.35">
      <c r="A400">
        <v>1399</v>
      </c>
      <c r="B400" t="s">
        <v>434</v>
      </c>
      <c r="C400" t="s">
        <v>42</v>
      </c>
      <c r="D400" t="s">
        <v>12</v>
      </c>
      <c r="E400">
        <v>2</v>
      </c>
      <c r="F400">
        <v>4109</v>
      </c>
      <c r="G400">
        <v>8218</v>
      </c>
      <c r="H400" t="s">
        <v>18</v>
      </c>
      <c r="I400" t="s">
        <v>19</v>
      </c>
      <c r="J400" t="s">
        <v>15</v>
      </c>
    </row>
    <row r="401" spans="1:10" x14ac:dyDescent="0.35">
      <c r="A401">
        <v>1400</v>
      </c>
      <c r="B401" t="s">
        <v>435</v>
      </c>
      <c r="C401" t="s">
        <v>44</v>
      </c>
      <c r="D401" t="s">
        <v>26</v>
      </c>
      <c r="E401">
        <v>2</v>
      </c>
      <c r="F401">
        <v>289</v>
      </c>
      <c r="G401">
        <v>578</v>
      </c>
      <c r="H401" t="s">
        <v>51</v>
      </c>
      <c r="I401" t="s">
        <v>32</v>
      </c>
      <c r="J401" t="s">
        <v>20</v>
      </c>
    </row>
    <row r="402" spans="1:10" x14ac:dyDescent="0.35">
      <c r="A402">
        <v>1401</v>
      </c>
      <c r="B402" t="s">
        <v>436</v>
      </c>
      <c r="C402" t="s">
        <v>11</v>
      </c>
      <c r="D402" t="s">
        <v>12</v>
      </c>
      <c r="E402">
        <v>1</v>
      </c>
      <c r="F402">
        <v>56349</v>
      </c>
      <c r="G402">
        <v>56349</v>
      </c>
      <c r="H402" t="s">
        <v>37</v>
      </c>
      <c r="I402" t="s">
        <v>32</v>
      </c>
      <c r="J402" t="s">
        <v>33</v>
      </c>
    </row>
    <row r="403" spans="1:10" x14ac:dyDescent="0.35">
      <c r="A403">
        <v>1402</v>
      </c>
      <c r="B403" t="s">
        <v>437</v>
      </c>
      <c r="C403" t="s">
        <v>17</v>
      </c>
      <c r="D403" t="s">
        <v>12</v>
      </c>
      <c r="E403">
        <v>3</v>
      </c>
      <c r="F403">
        <v>2075</v>
      </c>
      <c r="G403">
        <v>6225</v>
      </c>
      <c r="H403" t="s">
        <v>37</v>
      </c>
      <c r="I403" t="s">
        <v>32</v>
      </c>
      <c r="J403" t="s">
        <v>15</v>
      </c>
    </row>
    <row r="404" spans="1:10" x14ac:dyDescent="0.35">
      <c r="A404">
        <v>1403</v>
      </c>
      <c r="B404" t="s">
        <v>438</v>
      </c>
      <c r="C404" t="s">
        <v>22</v>
      </c>
      <c r="D404" t="s">
        <v>23</v>
      </c>
      <c r="E404">
        <v>3</v>
      </c>
      <c r="F404">
        <v>3644</v>
      </c>
      <c r="G404">
        <v>10932</v>
      </c>
      <c r="H404" t="s">
        <v>13</v>
      </c>
      <c r="I404" t="s">
        <v>19</v>
      </c>
      <c r="J404" t="s">
        <v>20</v>
      </c>
    </row>
    <row r="405" spans="1:10" x14ac:dyDescent="0.35">
      <c r="A405">
        <v>1404</v>
      </c>
      <c r="B405" t="s">
        <v>439</v>
      </c>
      <c r="C405" t="s">
        <v>25</v>
      </c>
      <c r="D405" t="s">
        <v>26</v>
      </c>
      <c r="E405">
        <v>1</v>
      </c>
      <c r="F405">
        <v>5904</v>
      </c>
      <c r="G405">
        <v>5904</v>
      </c>
      <c r="H405" t="s">
        <v>51</v>
      </c>
      <c r="I405" t="s">
        <v>19</v>
      </c>
      <c r="J405" t="s">
        <v>20</v>
      </c>
    </row>
    <row r="406" spans="1:10" x14ac:dyDescent="0.35">
      <c r="A406">
        <v>1405</v>
      </c>
      <c r="B406" t="s">
        <v>440</v>
      </c>
      <c r="C406" t="s">
        <v>29</v>
      </c>
      <c r="D406" t="s">
        <v>26</v>
      </c>
      <c r="E406">
        <v>3</v>
      </c>
      <c r="F406">
        <v>295</v>
      </c>
      <c r="G406">
        <v>885</v>
      </c>
      <c r="H406" t="s">
        <v>40</v>
      </c>
      <c r="I406" t="s">
        <v>14</v>
      </c>
      <c r="J406" t="s">
        <v>33</v>
      </c>
    </row>
    <row r="407" spans="1:10" x14ac:dyDescent="0.35">
      <c r="A407">
        <v>1406</v>
      </c>
      <c r="B407" t="s">
        <v>441</v>
      </c>
      <c r="C407" t="s">
        <v>31</v>
      </c>
      <c r="D407" t="s">
        <v>12</v>
      </c>
      <c r="E407">
        <v>1</v>
      </c>
      <c r="F407">
        <v>27414</v>
      </c>
      <c r="G407">
        <v>27414</v>
      </c>
      <c r="H407" t="s">
        <v>13</v>
      </c>
      <c r="I407" t="s">
        <v>19</v>
      </c>
      <c r="J407" t="s">
        <v>15</v>
      </c>
    </row>
    <row r="408" spans="1:10" x14ac:dyDescent="0.35">
      <c r="A408">
        <v>1407</v>
      </c>
      <c r="B408" t="s">
        <v>442</v>
      </c>
      <c r="C408" t="s">
        <v>35</v>
      </c>
      <c r="D408" t="s">
        <v>36</v>
      </c>
      <c r="E408">
        <v>1</v>
      </c>
      <c r="F408">
        <v>367</v>
      </c>
      <c r="G408">
        <v>367</v>
      </c>
      <c r="H408" t="s">
        <v>40</v>
      </c>
      <c r="I408" t="s">
        <v>14</v>
      </c>
      <c r="J408" t="s">
        <v>33</v>
      </c>
    </row>
    <row r="409" spans="1:10" x14ac:dyDescent="0.35">
      <c r="A409">
        <v>1408</v>
      </c>
      <c r="B409" t="s">
        <v>443</v>
      </c>
      <c r="C409" t="s">
        <v>39</v>
      </c>
      <c r="D409" t="s">
        <v>23</v>
      </c>
      <c r="E409">
        <v>2</v>
      </c>
      <c r="F409">
        <v>698</v>
      </c>
      <c r="G409">
        <v>1396</v>
      </c>
      <c r="H409" t="s">
        <v>27</v>
      </c>
      <c r="I409" t="s">
        <v>14</v>
      </c>
      <c r="J409" t="s">
        <v>33</v>
      </c>
    </row>
    <row r="410" spans="1:10" x14ac:dyDescent="0.35">
      <c r="A410">
        <v>1409</v>
      </c>
      <c r="B410" t="s">
        <v>444</v>
      </c>
      <c r="C410" t="s">
        <v>42</v>
      </c>
      <c r="D410" t="s">
        <v>12</v>
      </c>
      <c r="E410">
        <v>2</v>
      </c>
      <c r="F410">
        <v>13713</v>
      </c>
      <c r="G410">
        <v>27426</v>
      </c>
      <c r="H410" t="s">
        <v>40</v>
      </c>
      <c r="I410" t="s">
        <v>32</v>
      </c>
      <c r="J410" t="s">
        <v>15</v>
      </c>
    </row>
    <row r="411" spans="1:10" x14ac:dyDescent="0.35">
      <c r="A411">
        <v>1410</v>
      </c>
      <c r="B411" t="s">
        <v>445</v>
      </c>
      <c r="C411" t="s">
        <v>44</v>
      </c>
      <c r="D411" t="s">
        <v>26</v>
      </c>
      <c r="E411">
        <v>4</v>
      </c>
      <c r="F411">
        <v>626</v>
      </c>
      <c r="G411">
        <v>2504</v>
      </c>
      <c r="H411" t="s">
        <v>18</v>
      </c>
      <c r="I411" t="s">
        <v>14</v>
      </c>
      <c r="J411" t="s">
        <v>33</v>
      </c>
    </row>
    <row r="412" spans="1:10" x14ac:dyDescent="0.35">
      <c r="A412">
        <v>1411</v>
      </c>
      <c r="B412" t="s">
        <v>446</v>
      </c>
      <c r="C412" t="s">
        <v>11</v>
      </c>
      <c r="D412" t="s">
        <v>12</v>
      </c>
      <c r="E412">
        <v>2</v>
      </c>
      <c r="F412">
        <v>56913</v>
      </c>
      <c r="G412">
        <v>113826</v>
      </c>
      <c r="H412" t="s">
        <v>18</v>
      </c>
      <c r="I412" t="s">
        <v>14</v>
      </c>
      <c r="J412" t="s">
        <v>15</v>
      </c>
    </row>
    <row r="413" spans="1:10" x14ac:dyDescent="0.35">
      <c r="A413">
        <v>1412</v>
      </c>
      <c r="B413" t="s">
        <v>447</v>
      </c>
      <c r="C413" t="s">
        <v>17</v>
      </c>
      <c r="D413" t="s">
        <v>12</v>
      </c>
      <c r="E413">
        <v>1</v>
      </c>
      <c r="F413">
        <v>4959</v>
      </c>
      <c r="G413">
        <v>4959</v>
      </c>
      <c r="H413" t="s">
        <v>51</v>
      </c>
      <c r="I413" t="s">
        <v>14</v>
      </c>
      <c r="J413" t="s">
        <v>15</v>
      </c>
    </row>
    <row r="414" spans="1:10" x14ac:dyDescent="0.35">
      <c r="A414">
        <v>1413</v>
      </c>
      <c r="B414" t="s">
        <v>448</v>
      </c>
      <c r="C414" t="s">
        <v>22</v>
      </c>
      <c r="D414" t="s">
        <v>23</v>
      </c>
      <c r="E414">
        <v>2</v>
      </c>
      <c r="F414">
        <v>2841</v>
      </c>
      <c r="G414">
        <v>5682</v>
      </c>
      <c r="H414" t="s">
        <v>51</v>
      </c>
      <c r="I414" t="s">
        <v>14</v>
      </c>
      <c r="J414" t="s">
        <v>15</v>
      </c>
    </row>
    <row r="415" spans="1:10" x14ac:dyDescent="0.35">
      <c r="A415">
        <v>1414</v>
      </c>
      <c r="B415" t="s">
        <v>449</v>
      </c>
      <c r="C415" t="s">
        <v>25</v>
      </c>
      <c r="D415" t="s">
        <v>26</v>
      </c>
      <c r="E415">
        <v>4</v>
      </c>
      <c r="F415">
        <v>13916</v>
      </c>
      <c r="G415">
        <v>55664</v>
      </c>
      <c r="H415" t="s">
        <v>37</v>
      </c>
      <c r="I415" t="s">
        <v>19</v>
      </c>
      <c r="J415" t="s">
        <v>15</v>
      </c>
    </row>
    <row r="416" spans="1:10" x14ac:dyDescent="0.35">
      <c r="A416">
        <v>1415</v>
      </c>
      <c r="B416" t="s">
        <v>450</v>
      </c>
      <c r="C416" t="s">
        <v>29</v>
      </c>
      <c r="D416" t="s">
        <v>26</v>
      </c>
      <c r="E416">
        <v>4</v>
      </c>
      <c r="F416">
        <v>151</v>
      </c>
      <c r="G416">
        <v>604</v>
      </c>
      <c r="H416" t="s">
        <v>51</v>
      </c>
      <c r="I416" t="s">
        <v>32</v>
      </c>
      <c r="J416" t="s">
        <v>33</v>
      </c>
    </row>
    <row r="417" spans="1:10" x14ac:dyDescent="0.35">
      <c r="A417">
        <v>1416</v>
      </c>
      <c r="B417" t="s">
        <v>451</v>
      </c>
      <c r="C417" t="s">
        <v>31</v>
      </c>
      <c r="D417" t="s">
        <v>12</v>
      </c>
      <c r="E417">
        <v>1</v>
      </c>
      <c r="F417">
        <v>17923</v>
      </c>
      <c r="G417">
        <v>17923</v>
      </c>
      <c r="H417" t="s">
        <v>13</v>
      </c>
      <c r="I417" t="s">
        <v>19</v>
      </c>
      <c r="J417" t="s">
        <v>33</v>
      </c>
    </row>
    <row r="418" spans="1:10" x14ac:dyDescent="0.35">
      <c r="A418">
        <v>1417</v>
      </c>
      <c r="B418" t="s">
        <v>452</v>
      </c>
      <c r="C418" t="s">
        <v>35</v>
      </c>
      <c r="D418" t="s">
        <v>36</v>
      </c>
      <c r="E418">
        <v>3</v>
      </c>
      <c r="F418">
        <v>843</v>
      </c>
      <c r="G418">
        <v>2529</v>
      </c>
      <c r="H418" t="s">
        <v>40</v>
      </c>
      <c r="I418" t="s">
        <v>19</v>
      </c>
      <c r="J418" t="s">
        <v>15</v>
      </c>
    </row>
    <row r="419" spans="1:10" x14ac:dyDescent="0.35">
      <c r="A419">
        <v>1418</v>
      </c>
      <c r="B419" t="s">
        <v>453</v>
      </c>
      <c r="C419" t="s">
        <v>39</v>
      </c>
      <c r="D419" t="s">
        <v>23</v>
      </c>
      <c r="E419">
        <v>2</v>
      </c>
      <c r="F419">
        <v>1736</v>
      </c>
      <c r="G419">
        <v>3472</v>
      </c>
      <c r="H419" t="s">
        <v>18</v>
      </c>
      <c r="I419" t="s">
        <v>19</v>
      </c>
      <c r="J419" t="s">
        <v>20</v>
      </c>
    </row>
    <row r="420" spans="1:10" x14ac:dyDescent="0.35">
      <c r="A420">
        <v>1419</v>
      </c>
      <c r="B420" t="s">
        <v>454</v>
      </c>
      <c r="C420" t="s">
        <v>42</v>
      </c>
      <c r="D420" t="s">
        <v>12</v>
      </c>
      <c r="E420">
        <v>1</v>
      </c>
      <c r="F420">
        <v>13704</v>
      </c>
      <c r="G420">
        <v>13704</v>
      </c>
      <c r="H420" t="s">
        <v>51</v>
      </c>
      <c r="I420" t="s">
        <v>14</v>
      </c>
      <c r="J420" t="s">
        <v>20</v>
      </c>
    </row>
    <row r="421" spans="1:10" x14ac:dyDescent="0.35">
      <c r="A421">
        <v>1420</v>
      </c>
      <c r="B421" t="s">
        <v>455</v>
      </c>
      <c r="C421" t="s">
        <v>44</v>
      </c>
      <c r="D421" t="s">
        <v>26</v>
      </c>
      <c r="E421">
        <v>5</v>
      </c>
      <c r="F421">
        <v>297</v>
      </c>
      <c r="G421">
        <v>1485</v>
      </c>
      <c r="H421" t="s">
        <v>18</v>
      </c>
      <c r="I421" t="s">
        <v>14</v>
      </c>
      <c r="J421" t="s">
        <v>20</v>
      </c>
    </row>
    <row r="422" spans="1:10" x14ac:dyDescent="0.35">
      <c r="A422">
        <v>1421</v>
      </c>
      <c r="B422" t="s">
        <v>456</v>
      </c>
      <c r="C422" t="s">
        <v>11</v>
      </c>
      <c r="D422" t="s">
        <v>12</v>
      </c>
      <c r="E422">
        <v>2</v>
      </c>
      <c r="F422">
        <v>59030</v>
      </c>
      <c r="G422">
        <v>118060</v>
      </c>
      <c r="H422" t="s">
        <v>37</v>
      </c>
      <c r="I422" t="s">
        <v>32</v>
      </c>
      <c r="J422" t="s">
        <v>20</v>
      </c>
    </row>
    <row r="423" spans="1:10" x14ac:dyDescent="0.35">
      <c r="A423">
        <v>1422</v>
      </c>
      <c r="B423" t="s">
        <v>457</v>
      </c>
      <c r="C423" t="s">
        <v>17</v>
      </c>
      <c r="D423" t="s">
        <v>12</v>
      </c>
      <c r="E423">
        <v>1</v>
      </c>
      <c r="F423">
        <v>1043</v>
      </c>
      <c r="G423">
        <v>1043</v>
      </c>
      <c r="H423" t="s">
        <v>51</v>
      </c>
      <c r="I423" t="s">
        <v>14</v>
      </c>
      <c r="J423" t="s">
        <v>20</v>
      </c>
    </row>
    <row r="424" spans="1:10" x14ac:dyDescent="0.35">
      <c r="A424">
        <v>1423</v>
      </c>
      <c r="B424" t="s">
        <v>458</v>
      </c>
      <c r="C424" t="s">
        <v>22</v>
      </c>
      <c r="D424" t="s">
        <v>23</v>
      </c>
      <c r="E424">
        <v>2</v>
      </c>
      <c r="F424">
        <v>3714</v>
      </c>
      <c r="G424">
        <v>7428</v>
      </c>
      <c r="H424" t="s">
        <v>18</v>
      </c>
      <c r="I424" t="s">
        <v>19</v>
      </c>
      <c r="J424" t="s">
        <v>15</v>
      </c>
    </row>
    <row r="425" spans="1:10" x14ac:dyDescent="0.35">
      <c r="A425">
        <v>1424</v>
      </c>
      <c r="B425" t="s">
        <v>459</v>
      </c>
      <c r="C425" t="s">
        <v>25</v>
      </c>
      <c r="D425" t="s">
        <v>26</v>
      </c>
      <c r="E425">
        <v>2</v>
      </c>
      <c r="F425">
        <v>4810</v>
      </c>
      <c r="G425">
        <v>9620</v>
      </c>
      <c r="H425" t="s">
        <v>37</v>
      </c>
      <c r="I425" t="s">
        <v>32</v>
      </c>
      <c r="J425" t="s">
        <v>20</v>
      </c>
    </row>
    <row r="426" spans="1:10" x14ac:dyDescent="0.35">
      <c r="A426">
        <v>1425</v>
      </c>
      <c r="B426" t="s">
        <v>460</v>
      </c>
      <c r="C426" t="s">
        <v>29</v>
      </c>
      <c r="D426" t="s">
        <v>26</v>
      </c>
      <c r="E426">
        <v>3</v>
      </c>
      <c r="F426">
        <v>873</v>
      </c>
      <c r="G426">
        <v>2619</v>
      </c>
      <c r="H426" t="s">
        <v>18</v>
      </c>
      <c r="I426" t="s">
        <v>32</v>
      </c>
      <c r="J426" t="s">
        <v>15</v>
      </c>
    </row>
    <row r="427" spans="1:10" x14ac:dyDescent="0.35">
      <c r="A427">
        <v>1426</v>
      </c>
      <c r="B427" t="s">
        <v>461</v>
      </c>
      <c r="C427" t="s">
        <v>31</v>
      </c>
      <c r="D427" t="s">
        <v>12</v>
      </c>
      <c r="E427">
        <v>1</v>
      </c>
      <c r="F427">
        <v>16801</v>
      </c>
      <c r="G427">
        <v>16801</v>
      </c>
      <c r="H427" t="s">
        <v>51</v>
      </c>
      <c r="I427" t="s">
        <v>14</v>
      </c>
      <c r="J427" t="s">
        <v>20</v>
      </c>
    </row>
    <row r="428" spans="1:10" x14ac:dyDescent="0.35">
      <c r="A428">
        <v>1427</v>
      </c>
      <c r="B428" t="s">
        <v>462</v>
      </c>
      <c r="C428" t="s">
        <v>35</v>
      </c>
      <c r="D428" t="s">
        <v>36</v>
      </c>
      <c r="E428">
        <v>2</v>
      </c>
      <c r="F428">
        <v>881</v>
      </c>
      <c r="G428">
        <v>1762</v>
      </c>
      <c r="H428" t="s">
        <v>27</v>
      </c>
      <c r="I428" t="s">
        <v>32</v>
      </c>
      <c r="J428" t="s">
        <v>33</v>
      </c>
    </row>
    <row r="429" spans="1:10" x14ac:dyDescent="0.35">
      <c r="A429">
        <v>1428</v>
      </c>
      <c r="B429" t="s">
        <v>463</v>
      </c>
      <c r="C429" t="s">
        <v>39</v>
      </c>
      <c r="D429" t="s">
        <v>23</v>
      </c>
      <c r="E429">
        <v>1</v>
      </c>
      <c r="F429">
        <v>1334</v>
      </c>
      <c r="G429">
        <v>1334</v>
      </c>
      <c r="H429" t="s">
        <v>27</v>
      </c>
      <c r="I429" t="s">
        <v>14</v>
      </c>
      <c r="J429" t="s">
        <v>15</v>
      </c>
    </row>
    <row r="430" spans="1:10" x14ac:dyDescent="0.35">
      <c r="A430">
        <v>1429</v>
      </c>
      <c r="B430" t="s">
        <v>464</v>
      </c>
      <c r="C430" t="s">
        <v>42</v>
      </c>
      <c r="D430" t="s">
        <v>12</v>
      </c>
      <c r="E430">
        <v>1</v>
      </c>
      <c r="F430">
        <v>5467</v>
      </c>
      <c r="G430">
        <v>5467</v>
      </c>
      <c r="H430" t="s">
        <v>40</v>
      </c>
      <c r="I430" t="s">
        <v>14</v>
      </c>
      <c r="J430" t="s">
        <v>15</v>
      </c>
    </row>
    <row r="431" spans="1:10" x14ac:dyDescent="0.35">
      <c r="A431">
        <v>1430</v>
      </c>
      <c r="B431" t="s">
        <v>465</v>
      </c>
      <c r="C431" t="s">
        <v>44</v>
      </c>
      <c r="D431" t="s">
        <v>26</v>
      </c>
      <c r="E431">
        <v>5</v>
      </c>
      <c r="F431">
        <v>767</v>
      </c>
      <c r="G431">
        <v>3835</v>
      </c>
      <c r="H431" t="s">
        <v>18</v>
      </c>
      <c r="I431" t="s">
        <v>32</v>
      </c>
      <c r="J431" t="s">
        <v>15</v>
      </c>
    </row>
    <row r="432" spans="1:10" x14ac:dyDescent="0.35">
      <c r="A432">
        <v>1431</v>
      </c>
      <c r="B432" t="s">
        <v>466</v>
      </c>
      <c r="C432" t="s">
        <v>11</v>
      </c>
      <c r="D432" t="s">
        <v>12</v>
      </c>
      <c r="E432">
        <v>2</v>
      </c>
      <c r="F432">
        <v>45680</v>
      </c>
      <c r="G432">
        <v>91360</v>
      </c>
      <c r="H432" t="s">
        <v>13</v>
      </c>
      <c r="I432" t="s">
        <v>14</v>
      </c>
      <c r="J432" t="s">
        <v>20</v>
      </c>
    </row>
    <row r="433" spans="1:10" x14ac:dyDescent="0.35">
      <c r="A433">
        <v>1432</v>
      </c>
      <c r="B433" t="s">
        <v>467</v>
      </c>
      <c r="C433" t="s">
        <v>17</v>
      </c>
      <c r="D433" t="s">
        <v>12</v>
      </c>
      <c r="E433">
        <v>1</v>
      </c>
      <c r="F433">
        <v>3500</v>
      </c>
      <c r="G433">
        <v>3500</v>
      </c>
      <c r="H433" t="s">
        <v>37</v>
      </c>
      <c r="I433" t="s">
        <v>14</v>
      </c>
      <c r="J433" t="s">
        <v>20</v>
      </c>
    </row>
    <row r="434" spans="1:10" x14ac:dyDescent="0.35">
      <c r="A434">
        <v>1433</v>
      </c>
      <c r="B434" t="s">
        <v>468</v>
      </c>
      <c r="C434" t="s">
        <v>22</v>
      </c>
      <c r="D434" t="s">
        <v>23</v>
      </c>
      <c r="E434">
        <v>1</v>
      </c>
      <c r="F434">
        <v>2356</v>
      </c>
      <c r="G434">
        <v>2356</v>
      </c>
      <c r="H434" t="s">
        <v>37</v>
      </c>
      <c r="I434" t="s">
        <v>32</v>
      </c>
      <c r="J434" t="s">
        <v>33</v>
      </c>
    </row>
    <row r="435" spans="1:10" x14ac:dyDescent="0.35">
      <c r="A435">
        <v>1434</v>
      </c>
      <c r="B435" t="s">
        <v>469</v>
      </c>
      <c r="C435" t="s">
        <v>25</v>
      </c>
      <c r="D435" t="s">
        <v>26</v>
      </c>
      <c r="E435">
        <v>5</v>
      </c>
      <c r="F435">
        <v>7458</v>
      </c>
      <c r="G435">
        <v>37290</v>
      </c>
      <c r="H435" t="s">
        <v>40</v>
      </c>
      <c r="I435" t="s">
        <v>14</v>
      </c>
      <c r="J435" t="s">
        <v>20</v>
      </c>
    </row>
    <row r="436" spans="1:10" x14ac:dyDescent="0.35">
      <c r="A436">
        <v>1435</v>
      </c>
      <c r="B436" t="s">
        <v>470</v>
      </c>
      <c r="C436" t="s">
        <v>29</v>
      </c>
      <c r="D436" t="s">
        <v>26</v>
      </c>
      <c r="E436">
        <v>3</v>
      </c>
      <c r="F436">
        <v>365</v>
      </c>
      <c r="G436">
        <v>1095</v>
      </c>
      <c r="H436" t="s">
        <v>40</v>
      </c>
      <c r="I436" t="s">
        <v>32</v>
      </c>
      <c r="J436" t="s">
        <v>20</v>
      </c>
    </row>
    <row r="437" spans="1:10" x14ac:dyDescent="0.35">
      <c r="A437">
        <v>1436</v>
      </c>
      <c r="B437" t="s">
        <v>471</v>
      </c>
      <c r="C437" t="s">
        <v>31</v>
      </c>
      <c r="D437" t="s">
        <v>12</v>
      </c>
      <c r="E437">
        <v>2</v>
      </c>
      <c r="F437">
        <v>20872</v>
      </c>
      <c r="G437">
        <v>41744</v>
      </c>
      <c r="H437" t="s">
        <v>40</v>
      </c>
      <c r="I437" t="s">
        <v>14</v>
      </c>
      <c r="J437" t="s">
        <v>15</v>
      </c>
    </row>
    <row r="438" spans="1:10" x14ac:dyDescent="0.35">
      <c r="A438">
        <v>1437</v>
      </c>
      <c r="B438" t="s">
        <v>472</v>
      </c>
      <c r="C438" t="s">
        <v>35</v>
      </c>
      <c r="D438" t="s">
        <v>36</v>
      </c>
      <c r="E438">
        <v>5</v>
      </c>
      <c r="F438">
        <v>987</v>
      </c>
      <c r="G438">
        <v>4935</v>
      </c>
      <c r="H438" t="s">
        <v>27</v>
      </c>
      <c r="I438" t="s">
        <v>14</v>
      </c>
      <c r="J438" t="s">
        <v>20</v>
      </c>
    </row>
    <row r="439" spans="1:10" x14ac:dyDescent="0.35">
      <c r="A439">
        <v>1438</v>
      </c>
      <c r="B439" t="s">
        <v>473</v>
      </c>
      <c r="C439" t="s">
        <v>39</v>
      </c>
      <c r="D439" t="s">
        <v>23</v>
      </c>
      <c r="E439">
        <v>2</v>
      </c>
      <c r="F439">
        <v>1861</v>
      </c>
      <c r="G439">
        <v>3722</v>
      </c>
      <c r="H439" t="s">
        <v>51</v>
      </c>
      <c r="I439" t="s">
        <v>14</v>
      </c>
      <c r="J439" t="s">
        <v>33</v>
      </c>
    </row>
    <row r="440" spans="1:10" x14ac:dyDescent="0.35">
      <c r="A440">
        <v>1439</v>
      </c>
      <c r="B440" t="s">
        <v>474</v>
      </c>
      <c r="C440" t="s">
        <v>42</v>
      </c>
      <c r="D440" t="s">
        <v>12</v>
      </c>
      <c r="E440">
        <v>2</v>
      </c>
      <c r="F440">
        <v>7608</v>
      </c>
      <c r="G440">
        <v>15216</v>
      </c>
      <c r="H440" t="s">
        <v>37</v>
      </c>
      <c r="I440" t="s">
        <v>19</v>
      </c>
      <c r="J440" t="s">
        <v>33</v>
      </c>
    </row>
    <row r="441" spans="1:10" x14ac:dyDescent="0.35">
      <c r="A441">
        <v>1440</v>
      </c>
      <c r="B441" t="s">
        <v>475</v>
      </c>
      <c r="C441" t="s">
        <v>44</v>
      </c>
      <c r="D441" t="s">
        <v>26</v>
      </c>
      <c r="E441">
        <v>3</v>
      </c>
      <c r="F441">
        <v>672</v>
      </c>
      <c r="G441">
        <v>2016</v>
      </c>
      <c r="H441" t="s">
        <v>40</v>
      </c>
      <c r="I441" t="s">
        <v>19</v>
      </c>
      <c r="J441" t="s">
        <v>33</v>
      </c>
    </row>
    <row r="442" spans="1:10" x14ac:dyDescent="0.35">
      <c r="A442">
        <v>1441</v>
      </c>
      <c r="B442" t="s">
        <v>476</v>
      </c>
      <c r="C442" t="s">
        <v>11</v>
      </c>
      <c r="D442" t="s">
        <v>12</v>
      </c>
      <c r="E442">
        <v>2</v>
      </c>
      <c r="F442">
        <v>53902</v>
      </c>
      <c r="G442">
        <v>107804</v>
      </c>
      <c r="H442" t="s">
        <v>40</v>
      </c>
      <c r="I442" t="s">
        <v>32</v>
      </c>
      <c r="J442" t="s">
        <v>33</v>
      </c>
    </row>
    <row r="443" spans="1:10" x14ac:dyDescent="0.35">
      <c r="A443">
        <v>1442</v>
      </c>
      <c r="B443" t="s">
        <v>477</v>
      </c>
      <c r="C443" t="s">
        <v>17</v>
      </c>
      <c r="D443" t="s">
        <v>12</v>
      </c>
      <c r="E443">
        <v>3</v>
      </c>
      <c r="F443">
        <v>3381</v>
      </c>
      <c r="G443">
        <v>10143</v>
      </c>
      <c r="H443" t="s">
        <v>18</v>
      </c>
      <c r="I443" t="s">
        <v>19</v>
      </c>
      <c r="J443" t="s">
        <v>33</v>
      </c>
    </row>
    <row r="444" spans="1:10" x14ac:dyDescent="0.35">
      <c r="A444">
        <v>1443</v>
      </c>
      <c r="B444" t="s">
        <v>478</v>
      </c>
      <c r="C444" t="s">
        <v>22</v>
      </c>
      <c r="D444" t="s">
        <v>23</v>
      </c>
      <c r="E444">
        <v>2</v>
      </c>
      <c r="F444">
        <v>3696</v>
      </c>
      <c r="G444">
        <v>7392</v>
      </c>
      <c r="H444" t="s">
        <v>18</v>
      </c>
      <c r="I444" t="s">
        <v>19</v>
      </c>
      <c r="J444" t="s">
        <v>33</v>
      </c>
    </row>
    <row r="445" spans="1:10" x14ac:dyDescent="0.35">
      <c r="A445">
        <v>1444</v>
      </c>
      <c r="B445" t="s">
        <v>479</v>
      </c>
      <c r="C445" t="s">
        <v>25</v>
      </c>
      <c r="D445" t="s">
        <v>26</v>
      </c>
      <c r="E445">
        <v>4</v>
      </c>
      <c r="F445">
        <v>19559</v>
      </c>
      <c r="G445">
        <v>78236</v>
      </c>
      <c r="H445" t="s">
        <v>37</v>
      </c>
      <c r="I445" t="s">
        <v>19</v>
      </c>
      <c r="J445" t="s">
        <v>15</v>
      </c>
    </row>
    <row r="446" spans="1:10" x14ac:dyDescent="0.35">
      <c r="A446">
        <v>1445</v>
      </c>
      <c r="B446" t="s">
        <v>480</v>
      </c>
      <c r="C446" t="s">
        <v>29</v>
      </c>
      <c r="D446" t="s">
        <v>26</v>
      </c>
      <c r="E446">
        <v>5</v>
      </c>
      <c r="F446">
        <v>503</v>
      </c>
      <c r="G446">
        <v>2515</v>
      </c>
      <c r="H446" t="s">
        <v>51</v>
      </c>
      <c r="I446" t="s">
        <v>19</v>
      </c>
      <c r="J446" t="s">
        <v>15</v>
      </c>
    </row>
    <row r="447" spans="1:10" x14ac:dyDescent="0.35">
      <c r="A447">
        <v>1446</v>
      </c>
      <c r="B447" t="s">
        <v>481</v>
      </c>
      <c r="C447" t="s">
        <v>31</v>
      </c>
      <c r="D447" t="s">
        <v>12</v>
      </c>
      <c r="E447">
        <v>1</v>
      </c>
      <c r="F447">
        <v>38392</v>
      </c>
      <c r="G447">
        <v>38392</v>
      </c>
      <c r="H447" t="s">
        <v>27</v>
      </c>
      <c r="I447" t="s">
        <v>19</v>
      </c>
      <c r="J447" t="s">
        <v>33</v>
      </c>
    </row>
    <row r="448" spans="1:10" x14ac:dyDescent="0.35">
      <c r="A448">
        <v>1447</v>
      </c>
      <c r="B448" t="s">
        <v>482</v>
      </c>
      <c r="C448" t="s">
        <v>35</v>
      </c>
      <c r="D448" t="s">
        <v>36</v>
      </c>
      <c r="E448">
        <v>4</v>
      </c>
      <c r="F448">
        <v>113</v>
      </c>
      <c r="G448">
        <v>452</v>
      </c>
      <c r="H448" t="s">
        <v>18</v>
      </c>
      <c r="I448" t="s">
        <v>19</v>
      </c>
      <c r="J448" t="s">
        <v>15</v>
      </c>
    </row>
    <row r="449" spans="1:10" x14ac:dyDescent="0.35">
      <c r="A449">
        <v>1448</v>
      </c>
      <c r="B449" t="s">
        <v>483</v>
      </c>
      <c r="C449" t="s">
        <v>39</v>
      </c>
      <c r="D449" t="s">
        <v>23</v>
      </c>
      <c r="E449">
        <v>5</v>
      </c>
      <c r="F449">
        <v>684</v>
      </c>
      <c r="G449">
        <v>3420</v>
      </c>
      <c r="H449" t="s">
        <v>37</v>
      </c>
      <c r="I449" t="s">
        <v>32</v>
      </c>
      <c r="J449" t="s">
        <v>20</v>
      </c>
    </row>
    <row r="450" spans="1:10" x14ac:dyDescent="0.35">
      <c r="A450">
        <v>1449</v>
      </c>
      <c r="B450" t="s">
        <v>484</v>
      </c>
      <c r="C450" t="s">
        <v>42</v>
      </c>
      <c r="D450" t="s">
        <v>12</v>
      </c>
      <c r="E450">
        <v>1</v>
      </c>
      <c r="F450">
        <v>3574</v>
      </c>
      <c r="G450">
        <v>3574</v>
      </c>
      <c r="H450" t="s">
        <v>13</v>
      </c>
      <c r="I450" t="s">
        <v>19</v>
      </c>
      <c r="J450" t="s">
        <v>15</v>
      </c>
    </row>
    <row r="451" spans="1:10" x14ac:dyDescent="0.35">
      <c r="A451">
        <v>1450</v>
      </c>
      <c r="B451" t="s">
        <v>485</v>
      </c>
      <c r="C451" t="s">
        <v>44</v>
      </c>
      <c r="D451" t="s">
        <v>26</v>
      </c>
      <c r="E451">
        <v>5</v>
      </c>
      <c r="F451">
        <v>779</v>
      </c>
      <c r="G451">
        <v>3895</v>
      </c>
      <c r="H451" t="s">
        <v>37</v>
      </c>
      <c r="I451" t="s">
        <v>14</v>
      </c>
      <c r="J451" t="s">
        <v>33</v>
      </c>
    </row>
    <row r="452" spans="1:10" x14ac:dyDescent="0.35">
      <c r="A452">
        <v>1451</v>
      </c>
      <c r="B452" t="s">
        <v>486</v>
      </c>
      <c r="C452" t="s">
        <v>11</v>
      </c>
      <c r="D452" t="s">
        <v>12</v>
      </c>
      <c r="E452">
        <v>1</v>
      </c>
      <c r="F452">
        <v>40358</v>
      </c>
      <c r="G452">
        <v>40358</v>
      </c>
      <c r="H452" t="s">
        <v>37</v>
      </c>
      <c r="I452" t="s">
        <v>14</v>
      </c>
      <c r="J452" t="s">
        <v>20</v>
      </c>
    </row>
    <row r="453" spans="1:10" x14ac:dyDescent="0.35">
      <c r="A453">
        <v>1452</v>
      </c>
      <c r="B453" t="s">
        <v>487</v>
      </c>
      <c r="C453" t="s">
        <v>17</v>
      </c>
      <c r="D453" t="s">
        <v>12</v>
      </c>
      <c r="E453">
        <v>3</v>
      </c>
      <c r="F453">
        <v>3269</v>
      </c>
      <c r="G453">
        <v>9807</v>
      </c>
      <c r="H453" t="s">
        <v>13</v>
      </c>
      <c r="I453" t="s">
        <v>32</v>
      </c>
      <c r="J453" t="s">
        <v>33</v>
      </c>
    </row>
    <row r="454" spans="1:10" x14ac:dyDescent="0.35">
      <c r="A454">
        <v>1453</v>
      </c>
      <c r="B454" t="s">
        <v>488</v>
      </c>
      <c r="C454" t="s">
        <v>22</v>
      </c>
      <c r="D454" t="s">
        <v>23</v>
      </c>
      <c r="E454">
        <v>1</v>
      </c>
      <c r="F454">
        <v>2592</v>
      </c>
      <c r="G454">
        <v>2592</v>
      </c>
      <c r="H454" t="s">
        <v>51</v>
      </c>
      <c r="I454" t="s">
        <v>19</v>
      </c>
      <c r="J454" t="s">
        <v>33</v>
      </c>
    </row>
    <row r="455" spans="1:10" x14ac:dyDescent="0.35">
      <c r="A455">
        <v>1454</v>
      </c>
      <c r="B455" t="s">
        <v>489</v>
      </c>
      <c r="C455" t="s">
        <v>25</v>
      </c>
      <c r="D455" t="s">
        <v>26</v>
      </c>
      <c r="E455">
        <v>3</v>
      </c>
      <c r="F455">
        <v>18529</v>
      </c>
      <c r="G455">
        <v>55587</v>
      </c>
      <c r="H455" t="s">
        <v>27</v>
      </c>
      <c r="I455" t="s">
        <v>32</v>
      </c>
      <c r="J455" t="s">
        <v>20</v>
      </c>
    </row>
    <row r="456" spans="1:10" x14ac:dyDescent="0.35">
      <c r="A456">
        <v>1455</v>
      </c>
      <c r="B456" t="s">
        <v>490</v>
      </c>
      <c r="C456" t="s">
        <v>29</v>
      </c>
      <c r="D456" t="s">
        <v>26</v>
      </c>
      <c r="E456">
        <v>5</v>
      </c>
      <c r="F456">
        <v>376</v>
      </c>
      <c r="G456">
        <v>1880</v>
      </c>
      <c r="H456" t="s">
        <v>27</v>
      </c>
      <c r="I456" t="s">
        <v>19</v>
      </c>
      <c r="J456" t="s">
        <v>15</v>
      </c>
    </row>
    <row r="457" spans="1:10" x14ac:dyDescent="0.35">
      <c r="A457">
        <v>1456</v>
      </c>
      <c r="B457" t="s">
        <v>491</v>
      </c>
      <c r="C457" t="s">
        <v>31</v>
      </c>
      <c r="D457" t="s">
        <v>12</v>
      </c>
      <c r="E457">
        <v>2</v>
      </c>
      <c r="F457">
        <v>23687</v>
      </c>
      <c r="G457">
        <v>47374</v>
      </c>
      <c r="H457" t="s">
        <v>13</v>
      </c>
      <c r="I457" t="s">
        <v>14</v>
      </c>
      <c r="J457" t="s">
        <v>20</v>
      </c>
    </row>
    <row r="458" spans="1:10" x14ac:dyDescent="0.35">
      <c r="A458">
        <v>1457</v>
      </c>
      <c r="B458" t="s">
        <v>492</v>
      </c>
      <c r="C458" t="s">
        <v>35</v>
      </c>
      <c r="D458" t="s">
        <v>36</v>
      </c>
      <c r="E458">
        <v>2</v>
      </c>
      <c r="F458">
        <v>225</v>
      </c>
      <c r="G458">
        <v>450</v>
      </c>
      <c r="H458" t="s">
        <v>18</v>
      </c>
      <c r="I458" t="s">
        <v>32</v>
      </c>
      <c r="J458" t="s">
        <v>20</v>
      </c>
    </row>
    <row r="459" spans="1:10" x14ac:dyDescent="0.35">
      <c r="A459">
        <v>1458</v>
      </c>
      <c r="B459" t="s">
        <v>493</v>
      </c>
      <c r="C459" t="s">
        <v>39</v>
      </c>
      <c r="D459" t="s">
        <v>23</v>
      </c>
      <c r="E459">
        <v>5</v>
      </c>
      <c r="F459">
        <v>882</v>
      </c>
      <c r="G459">
        <v>4410</v>
      </c>
      <c r="H459" t="s">
        <v>40</v>
      </c>
      <c r="I459" t="s">
        <v>32</v>
      </c>
      <c r="J459" t="s">
        <v>33</v>
      </c>
    </row>
    <row r="460" spans="1:10" x14ac:dyDescent="0.35">
      <c r="A460">
        <v>1459</v>
      </c>
      <c r="B460" t="s">
        <v>494</v>
      </c>
      <c r="C460" t="s">
        <v>42</v>
      </c>
      <c r="D460" t="s">
        <v>12</v>
      </c>
      <c r="E460">
        <v>2</v>
      </c>
      <c r="F460">
        <v>7214</v>
      </c>
      <c r="G460">
        <v>14428</v>
      </c>
      <c r="H460" t="s">
        <v>18</v>
      </c>
      <c r="I460" t="s">
        <v>14</v>
      </c>
      <c r="J460" t="s">
        <v>20</v>
      </c>
    </row>
    <row r="461" spans="1:10" x14ac:dyDescent="0.35">
      <c r="A461">
        <v>1460</v>
      </c>
      <c r="B461" t="s">
        <v>495</v>
      </c>
      <c r="C461" t="s">
        <v>44</v>
      </c>
      <c r="D461" t="s">
        <v>26</v>
      </c>
      <c r="E461">
        <v>5</v>
      </c>
      <c r="F461">
        <v>241</v>
      </c>
      <c r="G461">
        <v>1205</v>
      </c>
      <c r="H461" t="s">
        <v>27</v>
      </c>
      <c r="I461" t="s">
        <v>32</v>
      </c>
      <c r="J461" t="s">
        <v>33</v>
      </c>
    </row>
    <row r="462" spans="1:10" x14ac:dyDescent="0.35">
      <c r="A462">
        <v>1461</v>
      </c>
      <c r="B462" t="s">
        <v>496</v>
      </c>
      <c r="C462" t="s">
        <v>11</v>
      </c>
      <c r="D462" t="s">
        <v>12</v>
      </c>
      <c r="E462">
        <v>2</v>
      </c>
      <c r="F462">
        <v>61490</v>
      </c>
      <c r="G462">
        <v>122980</v>
      </c>
      <c r="H462" t="s">
        <v>51</v>
      </c>
      <c r="I462" t="s">
        <v>14</v>
      </c>
      <c r="J462" t="s">
        <v>15</v>
      </c>
    </row>
    <row r="463" spans="1:10" x14ac:dyDescent="0.35">
      <c r="A463">
        <v>1462</v>
      </c>
      <c r="B463" t="s">
        <v>497</v>
      </c>
      <c r="C463" t="s">
        <v>17</v>
      </c>
      <c r="D463" t="s">
        <v>12</v>
      </c>
      <c r="E463">
        <v>3</v>
      </c>
      <c r="F463">
        <v>4120</v>
      </c>
      <c r="G463">
        <v>12360</v>
      </c>
      <c r="H463" t="s">
        <v>13</v>
      </c>
      <c r="I463" t="s">
        <v>32</v>
      </c>
      <c r="J463" t="s">
        <v>33</v>
      </c>
    </row>
    <row r="464" spans="1:10" x14ac:dyDescent="0.35">
      <c r="A464">
        <v>1463</v>
      </c>
      <c r="B464" t="s">
        <v>498</v>
      </c>
      <c r="C464" t="s">
        <v>22</v>
      </c>
      <c r="D464" t="s">
        <v>23</v>
      </c>
      <c r="E464">
        <v>1</v>
      </c>
      <c r="F464">
        <v>1206</v>
      </c>
      <c r="G464">
        <v>1206</v>
      </c>
      <c r="H464" t="s">
        <v>18</v>
      </c>
      <c r="I464" t="s">
        <v>19</v>
      </c>
      <c r="J464" t="s">
        <v>33</v>
      </c>
    </row>
    <row r="465" spans="1:10" x14ac:dyDescent="0.35">
      <c r="A465">
        <v>1464</v>
      </c>
      <c r="B465" t="s">
        <v>499</v>
      </c>
      <c r="C465" t="s">
        <v>25</v>
      </c>
      <c r="D465" t="s">
        <v>26</v>
      </c>
      <c r="E465">
        <v>4</v>
      </c>
      <c r="F465">
        <v>10934</v>
      </c>
      <c r="G465">
        <v>43736</v>
      </c>
      <c r="H465" t="s">
        <v>51</v>
      </c>
      <c r="I465" t="s">
        <v>32</v>
      </c>
      <c r="J465" t="s">
        <v>20</v>
      </c>
    </row>
    <row r="466" spans="1:10" x14ac:dyDescent="0.35">
      <c r="A466">
        <v>1465</v>
      </c>
      <c r="B466" t="s">
        <v>500</v>
      </c>
      <c r="C466" t="s">
        <v>29</v>
      </c>
      <c r="D466" t="s">
        <v>26</v>
      </c>
      <c r="E466">
        <v>1</v>
      </c>
      <c r="F466">
        <v>326</v>
      </c>
      <c r="G466">
        <v>326</v>
      </c>
      <c r="H466" t="s">
        <v>27</v>
      </c>
      <c r="I466" t="s">
        <v>14</v>
      </c>
      <c r="J466" t="s">
        <v>15</v>
      </c>
    </row>
    <row r="467" spans="1:10" x14ac:dyDescent="0.35">
      <c r="A467">
        <v>1466</v>
      </c>
      <c r="B467" t="s">
        <v>501</v>
      </c>
      <c r="C467" t="s">
        <v>31</v>
      </c>
      <c r="D467" t="s">
        <v>12</v>
      </c>
      <c r="E467">
        <v>2</v>
      </c>
      <c r="F467">
        <v>37146</v>
      </c>
      <c r="G467">
        <v>74292</v>
      </c>
      <c r="H467" t="s">
        <v>13</v>
      </c>
      <c r="I467" t="s">
        <v>19</v>
      </c>
      <c r="J467" t="s">
        <v>20</v>
      </c>
    </row>
    <row r="468" spans="1:10" x14ac:dyDescent="0.35">
      <c r="A468">
        <v>1467</v>
      </c>
      <c r="B468" t="s">
        <v>502</v>
      </c>
      <c r="C468" t="s">
        <v>35</v>
      </c>
      <c r="D468" t="s">
        <v>36</v>
      </c>
      <c r="E468">
        <v>1</v>
      </c>
      <c r="F468">
        <v>235</v>
      </c>
      <c r="G468">
        <v>235</v>
      </c>
      <c r="H468" t="s">
        <v>51</v>
      </c>
      <c r="I468" t="s">
        <v>32</v>
      </c>
      <c r="J468" t="s">
        <v>15</v>
      </c>
    </row>
    <row r="469" spans="1:10" x14ac:dyDescent="0.35">
      <c r="A469">
        <v>1468</v>
      </c>
      <c r="B469" t="s">
        <v>503</v>
      </c>
      <c r="C469" t="s">
        <v>39</v>
      </c>
      <c r="D469" t="s">
        <v>23</v>
      </c>
      <c r="E469">
        <v>5</v>
      </c>
      <c r="F469">
        <v>1118</v>
      </c>
      <c r="G469">
        <v>5590</v>
      </c>
      <c r="H469" t="s">
        <v>27</v>
      </c>
      <c r="I469" t="s">
        <v>32</v>
      </c>
      <c r="J469" t="s">
        <v>20</v>
      </c>
    </row>
    <row r="470" spans="1:10" x14ac:dyDescent="0.35">
      <c r="A470">
        <v>1469</v>
      </c>
      <c r="B470" t="s">
        <v>504</v>
      </c>
      <c r="C470" t="s">
        <v>42</v>
      </c>
      <c r="D470" t="s">
        <v>12</v>
      </c>
      <c r="E470">
        <v>2</v>
      </c>
      <c r="F470">
        <v>7110</v>
      </c>
      <c r="G470">
        <v>14220</v>
      </c>
      <c r="H470" t="s">
        <v>51</v>
      </c>
      <c r="I470" t="s">
        <v>19</v>
      </c>
      <c r="J470" t="s">
        <v>15</v>
      </c>
    </row>
    <row r="471" spans="1:10" x14ac:dyDescent="0.35">
      <c r="A471">
        <v>1470</v>
      </c>
      <c r="B471" t="s">
        <v>505</v>
      </c>
      <c r="C471" t="s">
        <v>44</v>
      </c>
      <c r="D471" t="s">
        <v>26</v>
      </c>
      <c r="E471">
        <v>1</v>
      </c>
      <c r="F471">
        <v>333</v>
      </c>
      <c r="G471">
        <v>333</v>
      </c>
      <c r="H471" t="s">
        <v>27</v>
      </c>
      <c r="I471" t="s">
        <v>32</v>
      </c>
      <c r="J471" t="s">
        <v>20</v>
      </c>
    </row>
    <row r="472" spans="1:10" x14ac:dyDescent="0.35">
      <c r="A472">
        <v>1471</v>
      </c>
      <c r="B472" t="s">
        <v>506</v>
      </c>
      <c r="C472" t="s">
        <v>11</v>
      </c>
      <c r="D472" t="s">
        <v>12</v>
      </c>
      <c r="E472">
        <v>1</v>
      </c>
      <c r="F472">
        <v>62505</v>
      </c>
      <c r="G472">
        <v>62505</v>
      </c>
      <c r="H472" t="s">
        <v>27</v>
      </c>
      <c r="I472" t="s">
        <v>14</v>
      </c>
      <c r="J472" t="s">
        <v>20</v>
      </c>
    </row>
    <row r="473" spans="1:10" x14ac:dyDescent="0.35">
      <c r="A473">
        <v>1472</v>
      </c>
      <c r="B473" t="s">
        <v>507</v>
      </c>
      <c r="C473" t="s">
        <v>17</v>
      </c>
      <c r="D473" t="s">
        <v>12</v>
      </c>
      <c r="E473">
        <v>1</v>
      </c>
      <c r="F473">
        <v>3269</v>
      </c>
      <c r="G473">
        <v>3269</v>
      </c>
      <c r="H473" t="s">
        <v>40</v>
      </c>
      <c r="I473" t="s">
        <v>32</v>
      </c>
      <c r="J473" t="s">
        <v>15</v>
      </c>
    </row>
    <row r="474" spans="1:10" x14ac:dyDescent="0.35">
      <c r="A474">
        <v>1473</v>
      </c>
      <c r="B474" t="s">
        <v>508</v>
      </c>
      <c r="C474" t="s">
        <v>22</v>
      </c>
      <c r="D474" t="s">
        <v>23</v>
      </c>
      <c r="E474">
        <v>1</v>
      </c>
      <c r="F474">
        <v>3182</v>
      </c>
      <c r="G474">
        <v>3182</v>
      </c>
      <c r="H474" t="s">
        <v>40</v>
      </c>
      <c r="I474" t="s">
        <v>14</v>
      </c>
      <c r="J474" t="s">
        <v>33</v>
      </c>
    </row>
    <row r="475" spans="1:10" x14ac:dyDescent="0.35">
      <c r="A475">
        <v>1474</v>
      </c>
      <c r="B475" t="s">
        <v>509</v>
      </c>
      <c r="C475" t="s">
        <v>25</v>
      </c>
      <c r="D475" t="s">
        <v>26</v>
      </c>
      <c r="E475">
        <v>1</v>
      </c>
      <c r="F475">
        <v>4471</v>
      </c>
      <c r="G475">
        <v>4471</v>
      </c>
      <c r="H475" t="s">
        <v>18</v>
      </c>
      <c r="I475" t="s">
        <v>19</v>
      </c>
      <c r="J475" t="s">
        <v>33</v>
      </c>
    </row>
    <row r="476" spans="1:10" x14ac:dyDescent="0.35">
      <c r="A476">
        <v>1475</v>
      </c>
      <c r="B476" t="s">
        <v>510</v>
      </c>
      <c r="C476" t="s">
        <v>29</v>
      </c>
      <c r="D476" t="s">
        <v>26</v>
      </c>
      <c r="E476">
        <v>2</v>
      </c>
      <c r="F476">
        <v>732</v>
      </c>
      <c r="G476">
        <v>1464</v>
      </c>
      <c r="H476" t="s">
        <v>37</v>
      </c>
      <c r="I476" t="s">
        <v>14</v>
      </c>
      <c r="J476" t="s">
        <v>15</v>
      </c>
    </row>
    <row r="477" spans="1:10" x14ac:dyDescent="0.35">
      <c r="A477">
        <v>1476</v>
      </c>
      <c r="B477" t="s">
        <v>511</v>
      </c>
      <c r="C477" t="s">
        <v>31</v>
      </c>
      <c r="D477" t="s">
        <v>12</v>
      </c>
      <c r="E477">
        <v>2</v>
      </c>
      <c r="F477">
        <v>14850</v>
      </c>
      <c r="G477">
        <v>29700</v>
      </c>
      <c r="H477" t="s">
        <v>27</v>
      </c>
      <c r="I477" t="s">
        <v>19</v>
      </c>
      <c r="J477" t="s">
        <v>33</v>
      </c>
    </row>
    <row r="478" spans="1:10" x14ac:dyDescent="0.35">
      <c r="A478">
        <v>1477</v>
      </c>
      <c r="B478" t="s">
        <v>512</v>
      </c>
      <c r="C478" t="s">
        <v>35</v>
      </c>
      <c r="D478" t="s">
        <v>36</v>
      </c>
      <c r="E478">
        <v>2</v>
      </c>
      <c r="F478">
        <v>179</v>
      </c>
      <c r="G478">
        <v>358</v>
      </c>
      <c r="H478" t="s">
        <v>40</v>
      </c>
      <c r="I478" t="s">
        <v>14</v>
      </c>
      <c r="J478" t="s">
        <v>20</v>
      </c>
    </row>
    <row r="479" spans="1:10" x14ac:dyDescent="0.35">
      <c r="A479">
        <v>1478</v>
      </c>
      <c r="B479" t="s">
        <v>513</v>
      </c>
      <c r="C479" t="s">
        <v>39</v>
      </c>
      <c r="D479" t="s">
        <v>23</v>
      </c>
      <c r="E479">
        <v>5</v>
      </c>
      <c r="F479">
        <v>1213</v>
      </c>
      <c r="G479">
        <v>6065</v>
      </c>
      <c r="H479" t="s">
        <v>51</v>
      </c>
      <c r="I479" t="s">
        <v>14</v>
      </c>
      <c r="J479" t="s">
        <v>33</v>
      </c>
    </row>
    <row r="480" spans="1:10" x14ac:dyDescent="0.35">
      <c r="A480">
        <v>1479</v>
      </c>
      <c r="B480" t="s">
        <v>514</v>
      </c>
      <c r="C480" t="s">
        <v>42</v>
      </c>
      <c r="D480" t="s">
        <v>12</v>
      </c>
      <c r="E480">
        <v>1</v>
      </c>
      <c r="F480">
        <v>5171</v>
      </c>
      <c r="G480">
        <v>5171</v>
      </c>
      <c r="H480" t="s">
        <v>51</v>
      </c>
      <c r="I480" t="s">
        <v>19</v>
      </c>
      <c r="J480" t="s">
        <v>20</v>
      </c>
    </row>
    <row r="481" spans="1:10" x14ac:dyDescent="0.35">
      <c r="A481">
        <v>1480</v>
      </c>
      <c r="B481" t="s">
        <v>515</v>
      </c>
      <c r="C481" t="s">
        <v>44</v>
      </c>
      <c r="D481" t="s">
        <v>26</v>
      </c>
      <c r="E481">
        <v>1</v>
      </c>
      <c r="F481">
        <v>731</v>
      </c>
      <c r="G481">
        <v>731</v>
      </c>
      <c r="H481" t="s">
        <v>13</v>
      </c>
      <c r="I481" t="s">
        <v>32</v>
      </c>
      <c r="J481" t="s">
        <v>15</v>
      </c>
    </row>
    <row r="482" spans="1:10" x14ac:dyDescent="0.35">
      <c r="A482">
        <v>1481</v>
      </c>
      <c r="B482" t="s">
        <v>516</v>
      </c>
      <c r="C482" t="s">
        <v>11</v>
      </c>
      <c r="D482" t="s">
        <v>12</v>
      </c>
      <c r="E482">
        <v>1</v>
      </c>
      <c r="F482">
        <v>67499</v>
      </c>
      <c r="G482">
        <v>67499</v>
      </c>
      <c r="H482" t="s">
        <v>13</v>
      </c>
      <c r="I482" t="s">
        <v>14</v>
      </c>
      <c r="J482" t="s">
        <v>20</v>
      </c>
    </row>
    <row r="483" spans="1:10" x14ac:dyDescent="0.35">
      <c r="A483">
        <v>1482</v>
      </c>
      <c r="B483" t="s">
        <v>517</v>
      </c>
      <c r="C483" t="s">
        <v>17</v>
      </c>
      <c r="D483" t="s">
        <v>12</v>
      </c>
      <c r="E483">
        <v>1</v>
      </c>
      <c r="F483">
        <v>4107</v>
      </c>
      <c r="G483">
        <v>4107</v>
      </c>
      <c r="H483" t="s">
        <v>18</v>
      </c>
      <c r="I483" t="s">
        <v>19</v>
      </c>
      <c r="J483" t="s">
        <v>15</v>
      </c>
    </row>
    <row r="484" spans="1:10" x14ac:dyDescent="0.35">
      <c r="A484">
        <v>1483</v>
      </c>
      <c r="B484" t="s">
        <v>518</v>
      </c>
      <c r="C484" t="s">
        <v>22</v>
      </c>
      <c r="D484" t="s">
        <v>23</v>
      </c>
      <c r="E484">
        <v>2</v>
      </c>
      <c r="F484">
        <v>2690</v>
      </c>
      <c r="G484">
        <v>5380</v>
      </c>
      <c r="H484" t="s">
        <v>37</v>
      </c>
      <c r="I484" t="s">
        <v>32</v>
      </c>
      <c r="J484" t="s">
        <v>15</v>
      </c>
    </row>
    <row r="485" spans="1:10" x14ac:dyDescent="0.35">
      <c r="A485">
        <v>1484</v>
      </c>
      <c r="B485" t="s">
        <v>519</v>
      </c>
      <c r="C485" t="s">
        <v>25</v>
      </c>
      <c r="D485" t="s">
        <v>26</v>
      </c>
      <c r="E485">
        <v>5</v>
      </c>
      <c r="F485">
        <v>8632</v>
      </c>
      <c r="G485">
        <v>43160</v>
      </c>
      <c r="H485" t="s">
        <v>40</v>
      </c>
      <c r="I485" t="s">
        <v>14</v>
      </c>
      <c r="J485" t="s">
        <v>15</v>
      </c>
    </row>
    <row r="486" spans="1:10" x14ac:dyDescent="0.35">
      <c r="A486">
        <v>1485</v>
      </c>
      <c r="B486" t="s">
        <v>520</v>
      </c>
      <c r="C486" t="s">
        <v>29</v>
      </c>
      <c r="D486" t="s">
        <v>26</v>
      </c>
      <c r="E486">
        <v>2</v>
      </c>
      <c r="F486">
        <v>746</v>
      </c>
      <c r="G486">
        <v>1492</v>
      </c>
      <c r="H486" t="s">
        <v>27</v>
      </c>
      <c r="I486" t="s">
        <v>32</v>
      </c>
      <c r="J486" t="s">
        <v>33</v>
      </c>
    </row>
    <row r="487" spans="1:10" x14ac:dyDescent="0.35">
      <c r="A487">
        <v>1486</v>
      </c>
      <c r="B487" t="s">
        <v>521</v>
      </c>
      <c r="C487" t="s">
        <v>31</v>
      </c>
      <c r="D487" t="s">
        <v>12</v>
      </c>
      <c r="E487">
        <v>2</v>
      </c>
      <c r="F487">
        <v>19358</v>
      </c>
      <c r="G487">
        <v>38716</v>
      </c>
      <c r="H487" t="s">
        <v>27</v>
      </c>
      <c r="I487" t="s">
        <v>19</v>
      </c>
      <c r="J487" t="s">
        <v>20</v>
      </c>
    </row>
    <row r="488" spans="1:10" x14ac:dyDescent="0.35">
      <c r="A488">
        <v>1487</v>
      </c>
      <c r="B488" t="s">
        <v>522</v>
      </c>
      <c r="C488" t="s">
        <v>35</v>
      </c>
      <c r="D488" t="s">
        <v>36</v>
      </c>
      <c r="E488">
        <v>3</v>
      </c>
      <c r="F488">
        <v>128</v>
      </c>
      <c r="G488">
        <v>384</v>
      </c>
      <c r="H488" t="s">
        <v>40</v>
      </c>
      <c r="I488" t="s">
        <v>14</v>
      </c>
      <c r="J488" t="s">
        <v>15</v>
      </c>
    </row>
    <row r="489" spans="1:10" x14ac:dyDescent="0.35">
      <c r="A489">
        <v>1488</v>
      </c>
      <c r="B489" t="s">
        <v>523</v>
      </c>
      <c r="C489" t="s">
        <v>39</v>
      </c>
      <c r="D489" t="s">
        <v>23</v>
      </c>
      <c r="E489">
        <v>2</v>
      </c>
      <c r="F489">
        <v>1440</v>
      </c>
      <c r="G489">
        <v>2880</v>
      </c>
      <c r="H489" t="s">
        <v>18</v>
      </c>
      <c r="I489" t="s">
        <v>14</v>
      </c>
      <c r="J489" t="s">
        <v>33</v>
      </c>
    </row>
    <row r="490" spans="1:10" x14ac:dyDescent="0.35">
      <c r="A490">
        <v>1489</v>
      </c>
      <c r="B490" t="s">
        <v>524</v>
      </c>
      <c r="C490" t="s">
        <v>42</v>
      </c>
      <c r="D490" t="s">
        <v>12</v>
      </c>
      <c r="E490">
        <v>1</v>
      </c>
      <c r="F490">
        <v>14302</v>
      </c>
      <c r="G490">
        <v>14302</v>
      </c>
      <c r="H490" t="s">
        <v>13</v>
      </c>
      <c r="I490" t="s">
        <v>32</v>
      </c>
      <c r="J490" t="s">
        <v>33</v>
      </c>
    </row>
    <row r="491" spans="1:10" x14ac:dyDescent="0.35">
      <c r="A491">
        <v>1490</v>
      </c>
      <c r="B491" t="s">
        <v>525</v>
      </c>
      <c r="C491" t="s">
        <v>44</v>
      </c>
      <c r="D491" t="s">
        <v>26</v>
      </c>
      <c r="E491">
        <v>5</v>
      </c>
      <c r="F491">
        <v>296</v>
      </c>
      <c r="G491">
        <v>1480</v>
      </c>
      <c r="H491" t="s">
        <v>51</v>
      </c>
      <c r="I491" t="s">
        <v>19</v>
      </c>
      <c r="J491" t="s">
        <v>15</v>
      </c>
    </row>
    <row r="492" spans="1:10" x14ac:dyDescent="0.35">
      <c r="A492">
        <v>1491</v>
      </c>
      <c r="B492" t="s">
        <v>526</v>
      </c>
      <c r="C492" t="s">
        <v>11</v>
      </c>
      <c r="D492" t="s">
        <v>12</v>
      </c>
      <c r="E492">
        <v>2</v>
      </c>
      <c r="F492">
        <v>63623</v>
      </c>
      <c r="G492">
        <v>127246</v>
      </c>
      <c r="H492" t="s">
        <v>51</v>
      </c>
      <c r="I492" t="s">
        <v>14</v>
      </c>
      <c r="J492" t="s">
        <v>20</v>
      </c>
    </row>
    <row r="493" spans="1:10" x14ac:dyDescent="0.35">
      <c r="A493">
        <v>1492</v>
      </c>
      <c r="B493" t="s">
        <v>527</v>
      </c>
      <c r="C493" t="s">
        <v>17</v>
      </c>
      <c r="D493" t="s">
        <v>12</v>
      </c>
      <c r="E493">
        <v>1</v>
      </c>
      <c r="F493">
        <v>2952</v>
      </c>
      <c r="G493">
        <v>2952</v>
      </c>
      <c r="H493" t="s">
        <v>51</v>
      </c>
      <c r="I493" t="s">
        <v>19</v>
      </c>
      <c r="J493" t="s">
        <v>15</v>
      </c>
    </row>
    <row r="494" spans="1:10" x14ac:dyDescent="0.35">
      <c r="A494">
        <v>1493</v>
      </c>
      <c r="B494" t="s">
        <v>528</v>
      </c>
      <c r="C494" t="s">
        <v>22</v>
      </c>
      <c r="D494" t="s">
        <v>23</v>
      </c>
      <c r="E494">
        <v>3</v>
      </c>
      <c r="F494">
        <v>4415</v>
      </c>
      <c r="G494">
        <v>13245</v>
      </c>
      <c r="H494" t="s">
        <v>18</v>
      </c>
      <c r="I494" t="s">
        <v>19</v>
      </c>
      <c r="J494" t="s">
        <v>15</v>
      </c>
    </row>
    <row r="495" spans="1:10" x14ac:dyDescent="0.35">
      <c r="A495">
        <v>1494</v>
      </c>
      <c r="B495" t="s">
        <v>529</v>
      </c>
      <c r="C495" t="s">
        <v>25</v>
      </c>
      <c r="D495" t="s">
        <v>26</v>
      </c>
      <c r="E495">
        <v>1</v>
      </c>
      <c r="F495">
        <v>12572</v>
      </c>
      <c r="G495">
        <v>12572</v>
      </c>
      <c r="H495" t="s">
        <v>40</v>
      </c>
      <c r="I495" t="s">
        <v>19</v>
      </c>
      <c r="J495" t="s">
        <v>33</v>
      </c>
    </row>
    <row r="496" spans="1:10" x14ac:dyDescent="0.35">
      <c r="A496">
        <v>1495</v>
      </c>
      <c r="B496" t="s">
        <v>530</v>
      </c>
      <c r="C496" t="s">
        <v>29</v>
      </c>
      <c r="D496" t="s">
        <v>26</v>
      </c>
      <c r="E496">
        <v>5</v>
      </c>
      <c r="F496">
        <v>745</v>
      </c>
      <c r="G496">
        <v>3725</v>
      </c>
      <c r="H496" t="s">
        <v>40</v>
      </c>
      <c r="I496" t="s">
        <v>32</v>
      </c>
      <c r="J496" t="s">
        <v>15</v>
      </c>
    </row>
    <row r="497" spans="1:10" x14ac:dyDescent="0.35">
      <c r="A497">
        <v>1496</v>
      </c>
      <c r="B497" t="s">
        <v>531</v>
      </c>
      <c r="C497" t="s">
        <v>31</v>
      </c>
      <c r="D497" t="s">
        <v>12</v>
      </c>
      <c r="E497">
        <v>1</v>
      </c>
      <c r="F497">
        <v>30973</v>
      </c>
      <c r="G497">
        <v>30973</v>
      </c>
      <c r="H497" t="s">
        <v>51</v>
      </c>
      <c r="I497" t="s">
        <v>14</v>
      </c>
      <c r="J497" t="s">
        <v>33</v>
      </c>
    </row>
    <row r="498" spans="1:10" x14ac:dyDescent="0.35">
      <c r="A498">
        <v>1497</v>
      </c>
      <c r="B498" t="s">
        <v>532</v>
      </c>
      <c r="C498" t="s">
        <v>35</v>
      </c>
      <c r="D498" t="s">
        <v>36</v>
      </c>
      <c r="E498">
        <v>5</v>
      </c>
      <c r="F498">
        <v>756</v>
      </c>
      <c r="G498">
        <v>3780</v>
      </c>
      <c r="H498" t="s">
        <v>51</v>
      </c>
      <c r="I498" t="s">
        <v>19</v>
      </c>
      <c r="J498" t="s">
        <v>20</v>
      </c>
    </row>
    <row r="499" spans="1:10" x14ac:dyDescent="0.35">
      <c r="A499">
        <v>1498</v>
      </c>
      <c r="B499" t="s">
        <v>533</v>
      </c>
      <c r="C499" t="s">
        <v>39</v>
      </c>
      <c r="D499" t="s">
        <v>23</v>
      </c>
      <c r="E499">
        <v>1</v>
      </c>
      <c r="F499">
        <v>966</v>
      </c>
      <c r="G499">
        <v>966</v>
      </c>
      <c r="H499" t="s">
        <v>27</v>
      </c>
      <c r="I499" t="s">
        <v>14</v>
      </c>
      <c r="J499" t="s">
        <v>15</v>
      </c>
    </row>
    <row r="500" spans="1:10" x14ac:dyDescent="0.35">
      <c r="A500">
        <v>1499</v>
      </c>
      <c r="B500" t="s">
        <v>534</v>
      </c>
      <c r="C500" t="s">
        <v>42</v>
      </c>
      <c r="D500" t="s">
        <v>12</v>
      </c>
      <c r="E500">
        <v>1</v>
      </c>
      <c r="F500">
        <v>13343</v>
      </c>
      <c r="G500">
        <v>13343</v>
      </c>
      <c r="H500" t="s">
        <v>37</v>
      </c>
      <c r="I500" t="s">
        <v>14</v>
      </c>
      <c r="J500" t="s">
        <v>20</v>
      </c>
    </row>
  </sheetData>
  <conditionalFormatting sqref="C1:C1048576">
    <cfRule type="duplicateValues" priority="7"/>
    <cfRule type="cellIs" dxfId="12" priority="6" operator="equal">
      <formula>$C$2</formula>
    </cfRule>
    <cfRule type="cellIs" dxfId="11" priority="5" operator="equal">
      <formula>$C$6</formula>
    </cfRule>
  </conditionalFormatting>
  <conditionalFormatting sqref="F2:F1048576">
    <cfRule type="cellIs" dxfId="10" priority="4" operator="greaterThan">
      <formula>34698</formula>
    </cfRule>
  </conditionalFormatting>
  <conditionalFormatting sqref="F1:F1048576">
    <cfRule type="cellIs" dxfId="9" priority="3" operator="lessThan">
      <formula>8000</formula>
    </cfRule>
  </conditionalFormatting>
  <conditionalFormatting sqref="G1:G1048576">
    <cfRule type="top10" dxfId="2" priority="2" rank="10"/>
    <cfRule type="top10" dxfId="3" priority="1" rank="20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32345-4B61-4F37-956A-882FB4A6895C}">
  <sheetPr>
    <tabColor theme="5" tint="-0.249977111117893"/>
  </sheetPr>
  <dimension ref="A1:S500"/>
  <sheetViews>
    <sheetView topLeftCell="C1" workbookViewId="0">
      <selection activeCell="P13" sqref="P13"/>
    </sheetView>
  </sheetViews>
  <sheetFormatPr defaultRowHeight="14.5" x14ac:dyDescent="0.35"/>
  <cols>
    <col min="4" max="4" width="10.54296875" bestFit="1" customWidth="1"/>
    <col min="13" max="13" width="8.7265625" style="12"/>
    <col min="15" max="15" width="9.363281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536</v>
      </c>
      <c r="L1" t="s">
        <v>537</v>
      </c>
      <c r="M1" s="12" t="s">
        <v>543</v>
      </c>
    </row>
    <row r="2" spans="1:19" x14ac:dyDescent="0.35">
      <c r="A2">
        <v>1001</v>
      </c>
      <c r="B2" t="s">
        <v>10</v>
      </c>
      <c r="C2" t="s">
        <v>11</v>
      </c>
      <c r="D2" t="s">
        <v>12</v>
      </c>
      <c r="E2">
        <v>2</v>
      </c>
      <c r="F2">
        <v>50353</v>
      </c>
      <c r="G2">
        <v>100706</v>
      </c>
      <c r="H2" t="s">
        <v>13</v>
      </c>
      <c r="I2" t="s">
        <v>14</v>
      </c>
      <c r="J2" t="s">
        <v>15</v>
      </c>
      <c r="K2" s="6">
        <f t="shared" ref="K2:K65" si="0">SUM(F:F)</f>
        <v>5498537</v>
      </c>
      <c r="L2" s="6" t="s">
        <v>538</v>
      </c>
      <c r="M2" s="13"/>
      <c r="O2" s="10" t="s">
        <v>544</v>
      </c>
      <c r="P2" s="9"/>
      <c r="R2" s="8"/>
      <c r="S2" s="8"/>
    </row>
    <row r="3" spans="1:19" x14ac:dyDescent="0.35">
      <c r="A3">
        <v>1002</v>
      </c>
      <c r="B3" t="s">
        <v>16</v>
      </c>
      <c r="C3" t="s">
        <v>17</v>
      </c>
      <c r="D3" t="s">
        <v>12</v>
      </c>
      <c r="E3">
        <v>2</v>
      </c>
      <c r="F3">
        <v>2008</v>
      </c>
      <c r="G3">
        <v>4016</v>
      </c>
      <c r="H3" t="s">
        <v>18</v>
      </c>
      <c r="I3" t="s">
        <v>19</v>
      </c>
      <c r="J3" t="s">
        <v>20</v>
      </c>
      <c r="K3" s="6">
        <f>COUNT(F:F)</f>
        <v>499</v>
      </c>
      <c r="L3" s="6" t="s">
        <v>539</v>
      </c>
      <c r="M3" s="13"/>
      <c r="O3" s="9"/>
      <c r="P3" s="9"/>
      <c r="Q3" s="7"/>
      <c r="R3" s="8"/>
      <c r="S3" s="8"/>
    </row>
    <row r="4" spans="1:19" x14ac:dyDescent="0.35">
      <c r="A4">
        <v>1003</v>
      </c>
      <c r="B4" t="s">
        <v>21</v>
      </c>
      <c r="C4" t="s">
        <v>22</v>
      </c>
      <c r="D4" t="s">
        <v>23</v>
      </c>
      <c r="E4">
        <v>1</v>
      </c>
      <c r="F4">
        <v>4736</v>
      </c>
      <c r="G4">
        <v>4736</v>
      </c>
      <c r="H4" t="s">
        <v>13</v>
      </c>
      <c r="I4" t="s">
        <v>19</v>
      </c>
      <c r="J4" t="s">
        <v>20</v>
      </c>
      <c r="K4" s="6">
        <f>MIN(F:F)</f>
        <v>100</v>
      </c>
      <c r="L4" s="6" t="s">
        <v>540</v>
      </c>
      <c r="M4" s="13"/>
      <c r="O4" s="7"/>
      <c r="P4" s="7"/>
      <c r="Q4" s="7"/>
    </row>
    <row r="5" spans="1:19" x14ac:dyDescent="0.35">
      <c r="A5">
        <v>1004</v>
      </c>
      <c r="B5" t="s">
        <v>24</v>
      </c>
      <c r="C5" t="s">
        <v>25</v>
      </c>
      <c r="D5" t="s">
        <v>26</v>
      </c>
      <c r="E5">
        <v>2</v>
      </c>
      <c r="F5">
        <v>10072</v>
      </c>
      <c r="G5">
        <v>20144</v>
      </c>
      <c r="H5" t="s">
        <v>27</v>
      </c>
      <c r="I5" t="s">
        <v>14</v>
      </c>
      <c r="J5" t="s">
        <v>15</v>
      </c>
      <c r="K5" s="6">
        <f>MAX(F:F)</f>
        <v>69296</v>
      </c>
      <c r="L5" s="6" t="s">
        <v>541</v>
      </c>
      <c r="M5" s="13"/>
      <c r="N5" t="s">
        <v>535</v>
      </c>
      <c r="O5" s="11" t="s">
        <v>3</v>
      </c>
      <c r="P5" s="11" t="s">
        <v>545</v>
      </c>
    </row>
    <row r="6" spans="1:19" x14ac:dyDescent="0.35">
      <c r="A6">
        <v>1005</v>
      </c>
      <c r="B6" t="s">
        <v>28</v>
      </c>
      <c r="C6" t="s">
        <v>29</v>
      </c>
      <c r="D6" t="s">
        <v>26</v>
      </c>
      <c r="E6">
        <v>2</v>
      </c>
      <c r="F6">
        <v>920</v>
      </c>
      <c r="G6">
        <v>1840</v>
      </c>
      <c r="H6" t="s">
        <v>27</v>
      </c>
      <c r="I6" t="s">
        <v>19</v>
      </c>
      <c r="J6" t="s">
        <v>20</v>
      </c>
      <c r="K6" s="6">
        <f>AVERAGE(F:F)</f>
        <v>11019.112224448898</v>
      </c>
      <c r="L6" s="6" t="s">
        <v>542</v>
      </c>
      <c r="M6" s="13"/>
      <c r="O6" s="5" t="s">
        <v>12</v>
      </c>
      <c r="P6">
        <f>COUNTIF(D:D,O6)</f>
        <v>200</v>
      </c>
    </row>
    <row r="7" spans="1:19" x14ac:dyDescent="0.35">
      <c r="A7">
        <v>1006</v>
      </c>
      <c r="B7" t="s">
        <v>30</v>
      </c>
      <c r="C7" t="s">
        <v>31</v>
      </c>
      <c r="D7" t="s">
        <v>12</v>
      </c>
      <c r="E7">
        <v>1</v>
      </c>
      <c r="F7">
        <v>13225</v>
      </c>
      <c r="G7">
        <v>13225</v>
      </c>
      <c r="H7" t="s">
        <v>18</v>
      </c>
      <c r="I7" t="s">
        <v>32</v>
      </c>
      <c r="J7" t="s">
        <v>33</v>
      </c>
      <c r="K7" s="6"/>
      <c r="L7" s="6"/>
      <c r="M7" s="13"/>
      <c r="O7" s="5" t="s">
        <v>23</v>
      </c>
      <c r="P7">
        <f>COUNTIF(D:D,O7)</f>
        <v>100</v>
      </c>
    </row>
    <row r="8" spans="1:19" x14ac:dyDescent="0.35">
      <c r="A8">
        <v>1007</v>
      </c>
      <c r="B8" t="s">
        <v>34</v>
      </c>
      <c r="C8" t="s">
        <v>35</v>
      </c>
      <c r="D8" t="s">
        <v>36</v>
      </c>
      <c r="E8">
        <v>3</v>
      </c>
      <c r="F8">
        <v>621</v>
      </c>
      <c r="G8">
        <v>1863</v>
      </c>
      <c r="H8" t="s">
        <v>37</v>
      </c>
      <c r="I8" t="s">
        <v>14</v>
      </c>
      <c r="J8" t="s">
        <v>20</v>
      </c>
      <c r="K8" s="6"/>
      <c r="L8" s="6"/>
      <c r="M8" s="13"/>
      <c r="O8" t="s">
        <v>26</v>
      </c>
      <c r="P8">
        <f>COUNTIF(D:D,O8)</f>
        <v>149</v>
      </c>
    </row>
    <row r="9" spans="1:19" x14ac:dyDescent="0.35">
      <c r="A9">
        <v>1008</v>
      </c>
      <c r="B9" t="s">
        <v>38</v>
      </c>
      <c r="C9" t="s">
        <v>39</v>
      </c>
      <c r="D9" t="s">
        <v>23</v>
      </c>
      <c r="E9">
        <v>2</v>
      </c>
      <c r="F9">
        <v>905</v>
      </c>
      <c r="G9">
        <v>1810</v>
      </c>
      <c r="H9" t="s">
        <v>40</v>
      </c>
      <c r="I9" t="s">
        <v>19</v>
      </c>
      <c r="J9" t="s">
        <v>33</v>
      </c>
      <c r="K9" s="6"/>
      <c r="L9" s="6"/>
      <c r="M9" s="13"/>
    </row>
    <row r="10" spans="1:19" x14ac:dyDescent="0.35">
      <c r="A10">
        <v>1009</v>
      </c>
      <c r="B10" t="s">
        <v>41</v>
      </c>
      <c r="C10" t="s">
        <v>42</v>
      </c>
      <c r="D10" t="s">
        <v>12</v>
      </c>
      <c r="E10">
        <v>1</v>
      </c>
      <c r="F10">
        <v>8563</v>
      </c>
      <c r="G10">
        <v>8563</v>
      </c>
      <c r="H10" t="s">
        <v>37</v>
      </c>
      <c r="I10" t="s">
        <v>32</v>
      </c>
      <c r="J10" t="s">
        <v>15</v>
      </c>
      <c r="K10" s="6"/>
      <c r="L10" s="6"/>
      <c r="M10" s="13"/>
    </row>
    <row r="11" spans="1:19" x14ac:dyDescent="0.35">
      <c r="A11">
        <v>1010</v>
      </c>
      <c r="B11" t="s">
        <v>43</v>
      </c>
      <c r="C11" t="s">
        <v>44</v>
      </c>
      <c r="D11" t="s">
        <v>26</v>
      </c>
      <c r="E11">
        <v>1</v>
      </c>
      <c r="F11">
        <v>268</v>
      </c>
      <c r="G11">
        <v>268</v>
      </c>
      <c r="H11" t="s">
        <v>13</v>
      </c>
      <c r="I11" t="s">
        <v>19</v>
      </c>
      <c r="J11" t="s">
        <v>20</v>
      </c>
      <c r="K11" s="6"/>
      <c r="L11" s="6"/>
      <c r="M11" s="13"/>
    </row>
    <row r="12" spans="1:19" x14ac:dyDescent="0.35">
      <c r="A12">
        <v>1011</v>
      </c>
      <c r="B12" t="s">
        <v>45</v>
      </c>
      <c r="C12" t="s">
        <v>11</v>
      </c>
      <c r="D12" t="s">
        <v>12</v>
      </c>
      <c r="E12">
        <v>2</v>
      </c>
      <c r="F12">
        <v>54018</v>
      </c>
      <c r="G12">
        <v>108036</v>
      </c>
      <c r="H12" t="s">
        <v>37</v>
      </c>
      <c r="I12" t="s">
        <v>32</v>
      </c>
      <c r="J12" t="s">
        <v>15</v>
      </c>
      <c r="K12" s="6"/>
      <c r="L12" s="6"/>
      <c r="M12" s="13"/>
    </row>
    <row r="13" spans="1:19" x14ac:dyDescent="0.35">
      <c r="A13">
        <v>1012</v>
      </c>
      <c r="B13" t="s">
        <v>46</v>
      </c>
      <c r="C13" t="s">
        <v>17</v>
      </c>
      <c r="D13" t="s">
        <v>12</v>
      </c>
      <c r="E13">
        <v>3</v>
      </c>
      <c r="F13">
        <v>4762</v>
      </c>
      <c r="G13">
        <v>14286</v>
      </c>
      <c r="H13" t="s">
        <v>18</v>
      </c>
      <c r="I13" t="s">
        <v>32</v>
      </c>
      <c r="J13" t="s">
        <v>20</v>
      </c>
      <c r="K13" s="6"/>
      <c r="L13" s="6"/>
      <c r="M13" s="13"/>
    </row>
    <row r="14" spans="1:19" x14ac:dyDescent="0.35">
      <c r="A14">
        <v>1013</v>
      </c>
      <c r="B14" t="s">
        <v>47</v>
      </c>
      <c r="C14" t="s">
        <v>22</v>
      </c>
      <c r="D14" t="s">
        <v>23</v>
      </c>
      <c r="E14">
        <v>2</v>
      </c>
      <c r="F14">
        <v>4880</v>
      </c>
      <c r="G14">
        <v>9760</v>
      </c>
      <c r="H14" t="s">
        <v>27</v>
      </c>
      <c r="I14" t="s">
        <v>32</v>
      </c>
      <c r="J14" t="s">
        <v>33</v>
      </c>
      <c r="K14" s="6"/>
      <c r="L14" s="6"/>
      <c r="M14" s="13"/>
    </row>
    <row r="15" spans="1:19" x14ac:dyDescent="0.35">
      <c r="A15">
        <v>1014</v>
      </c>
      <c r="B15" t="s">
        <v>48</v>
      </c>
      <c r="C15" t="s">
        <v>25</v>
      </c>
      <c r="D15" t="s">
        <v>26</v>
      </c>
      <c r="E15">
        <v>1</v>
      </c>
      <c r="F15">
        <v>8508</v>
      </c>
      <c r="G15">
        <v>8508</v>
      </c>
      <c r="H15" t="s">
        <v>13</v>
      </c>
      <c r="I15" t="s">
        <v>32</v>
      </c>
      <c r="J15" t="s">
        <v>15</v>
      </c>
      <c r="K15" s="6"/>
      <c r="L15" s="6"/>
      <c r="M15" s="13"/>
    </row>
    <row r="16" spans="1:19" x14ac:dyDescent="0.35">
      <c r="A16">
        <v>1015</v>
      </c>
      <c r="B16" t="s">
        <v>49</v>
      </c>
      <c r="C16" t="s">
        <v>29</v>
      </c>
      <c r="D16" t="s">
        <v>26</v>
      </c>
      <c r="E16">
        <v>4</v>
      </c>
      <c r="F16">
        <v>119</v>
      </c>
      <c r="G16">
        <v>476</v>
      </c>
      <c r="H16" t="s">
        <v>13</v>
      </c>
      <c r="I16" t="s">
        <v>19</v>
      </c>
      <c r="J16" t="s">
        <v>20</v>
      </c>
      <c r="K16" s="6"/>
      <c r="L16" s="6"/>
      <c r="M16" s="13"/>
    </row>
    <row r="17" spans="1:13" x14ac:dyDescent="0.35">
      <c r="A17">
        <v>1016</v>
      </c>
      <c r="B17" t="s">
        <v>50</v>
      </c>
      <c r="C17" t="s">
        <v>31</v>
      </c>
      <c r="D17" t="s">
        <v>12</v>
      </c>
      <c r="E17">
        <v>1</v>
      </c>
      <c r="F17">
        <v>37589</v>
      </c>
      <c r="G17">
        <v>37589</v>
      </c>
      <c r="H17" t="s">
        <v>51</v>
      </c>
      <c r="I17" t="s">
        <v>19</v>
      </c>
      <c r="J17" t="s">
        <v>33</v>
      </c>
      <c r="K17" s="6"/>
      <c r="L17" s="6"/>
      <c r="M17" s="13"/>
    </row>
    <row r="18" spans="1:13" x14ac:dyDescent="0.35">
      <c r="A18">
        <v>1017</v>
      </c>
      <c r="B18" t="s">
        <v>52</v>
      </c>
      <c r="C18" t="s">
        <v>35</v>
      </c>
      <c r="D18" t="s">
        <v>36</v>
      </c>
      <c r="E18">
        <v>1</v>
      </c>
      <c r="F18">
        <v>781</v>
      </c>
      <c r="G18">
        <v>781</v>
      </c>
      <c r="H18" t="s">
        <v>18</v>
      </c>
      <c r="I18" t="s">
        <v>14</v>
      </c>
      <c r="J18" t="s">
        <v>20</v>
      </c>
      <c r="K18" s="6"/>
      <c r="L18" s="6"/>
      <c r="M18" s="13"/>
    </row>
    <row r="19" spans="1:13" x14ac:dyDescent="0.35">
      <c r="A19">
        <v>1018</v>
      </c>
      <c r="B19" t="s">
        <v>53</v>
      </c>
      <c r="C19" t="s">
        <v>39</v>
      </c>
      <c r="D19" t="s">
        <v>23</v>
      </c>
      <c r="E19">
        <v>5</v>
      </c>
      <c r="F19">
        <v>809</v>
      </c>
      <c r="G19">
        <v>4045</v>
      </c>
      <c r="H19" t="s">
        <v>51</v>
      </c>
      <c r="I19" t="s">
        <v>14</v>
      </c>
      <c r="J19" t="s">
        <v>20</v>
      </c>
      <c r="K19" s="6"/>
      <c r="L19" s="6"/>
      <c r="M19" s="13"/>
    </row>
    <row r="20" spans="1:13" x14ac:dyDescent="0.35">
      <c r="A20">
        <v>1019</v>
      </c>
      <c r="B20" t="s">
        <v>54</v>
      </c>
      <c r="C20" t="s">
        <v>42</v>
      </c>
      <c r="D20" t="s">
        <v>12</v>
      </c>
      <c r="E20">
        <v>2</v>
      </c>
      <c r="F20">
        <v>4129</v>
      </c>
      <c r="G20">
        <v>8258</v>
      </c>
      <c r="H20" t="s">
        <v>27</v>
      </c>
      <c r="I20" t="s">
        <v>14</v>
      </c>
      <c r="J20" t="s">
        <v>20</v>
      </c>
      <c r="K20" s="6"/>
      <c r="L20" s="6"/>
      <c r="M20" s="13"/>
    </row>
    <row r="21" spans="1:13" x14ac:dyDescent="0.35">
      <c r="A21">
        <v>1020</v>
      </c>
      <c r="B21" t="s">
        <v>55</v>
      </c>
      <c r="C21" t="s">
        <v>44</v>
      </c>
      <c r="D21" t="s">
        <v>26</v>
      </c>
      <c r="E21">
        <v>4</v>
      </c>
      <c r="F21">
        <v>168</v>
      </c>
      <c r="G21">
        <v>672</v>
      </c>
      <c r="H21" t="s">
        <v>18</v>
      </c>
      <c r="I21" t="s">
        <v>32</v>
      </c>
      <c r="J21" t="s">
        <v>33</v>
      </c>
      <c r="K21" s="6"/>
      <c r="L21" s="6"/>
      <c r="M21" s="13"/>
    </row>
    <row r="22" spans="1:13" x14ac:dyDescent="0.35">
      <c r="A22">
        <v>1021</v>
      </c>
      <c r="B22" t="s">
        <v>56</v>
      </c>
      <c r="C22" t="s">
        <v>11</v>
      </c>
      <c r="D22" t="s">
        <v>12</v>
      </c>
      <c r="E22">
        <v>2</v>
      </c>
      <c r="F22">
        <v>68516</v>
      </c>
      <c r="G22">
        <v>137032</v>
      </c>
      <c r="H22" t="s">
        <v>27</v>
      </c>
      <c r="I22" t="s">
        <v>14</v>
      </c>
      <c r="J22" t="s">
        <v>33</v>
      </c>
      <c r="K22" s="6"/>
      <c r="L22" s="6"/>
      <c r="M22" s="13"/>
    </row>
    <row r="23" spans="1:13" x14ac:dyDescent="0.35">
      <c r="A23">
        <v>1022</v>
      </c>
      <c r="B23" t="s">
        <v>57</v>
      </c>
      <c r="C23" t="s">
        <v>17</v>
      </c>
      <c r="D23" t="s">
        <v>12</v>
      </c>
      <c r="E23">
        <v>1</v>
      </c>
      <c r="F23">
        <v>3985</v>
      </c>
      <c r="G23">
        <v>3985</v>
      </c>
      <c r="H23" t="s">
        <v>51</v>
      </c>
      <c r="I23" t="s">
        <v>19</v>
      </c>
      <c r="J23" t="s">
        <v>15</v>
      </c>
      <c r="K23" s="6"/>
      <c r="L23" s="6"/>
      <c r="M23" s="13"/>
    </row>
    <row r="24" spans="1:13" x14ac:dyDescent="0.35">
      <c r="A24">
        <v>1023</v>
      </c>
      <c r="B24" t="s">
        <v>58</v>
      </c>
      <c r="C24" t="s">
        <v>22</v>
      </c>
      <c r="D24" t="s">
        <v>23</v>
      </c>
      <c r="E24">
        <v>1</v>
      </c>
      <c r="F24">
        <v>2380</v>
      </c>
      <c r="G24">
        <v>2380</v>
      </c>
      <c r="H24" t="s">
        <v>51</v>
      </c>
      <c r="I24" t="s">
        <v>32</v>
      </c>
      <c r="J24" t="s">
        <v>20</v>
      </c>
      <c r="K24" s="6"/>
      <c r="L24" s="6"/>
      <c r="M24" s="13"/>
    </row>
    <row r="25" spans="1:13" x14ac:dyDescent="0.35">
      <c r="A25">
        <v>1024</v>
      </c>
      <c r="B25" t="s">
        <v>59</v>
      </c>
      <c r="C25" t="s">
        <v>25</v>
      </c>
      <c r="D25" t="s">
        <v>26</v>
      </c>
      <c r="E25">
        <v>3</v>
      </c>
      <c r="F25">
        <v>13522</v>
      </c>
      <c r="G25">
        <v>40566</v>
      </c>
      <c r="H25" t="s">
        <v>40</v>
      </c>
      <c r="I25" t="s">
        <v>19</v>
      </c>
      <c r="J25" t="s">
        <v>20</v>
      </c>
      <c r="K25" s="6"/>
      <c r="L25" s="6"/>
      <c r="M25" s="13"/>
    </row>
    <row r="26" spans="1:13" x14ac:dyDescent="0.35">
      <c r="A26">
        <v>1025</v>
      </c>
      <c r="B26" t="s">
        <v>60</v>
      </c>
      <c r="C26" t="s">
        <v>29</v>
      </c>
      <c r="D26" t="s">
        <v>26</v>
      </c>
      <c r="E26">
        <v>1</v>
      </c>
      <c r="F26">
        <v>340</v>
      </c>
      <c r="G26">
        <v>340</v>
      </c>
      <c r="H26" t="s">
        <v>27</v>
      </c>
      <c r="I26" t="s">
        <v>14</v>
      </c>
      <c r="J26" t="s">
        <v>33</v>
      </c>
      <c r="K26" s="6"/>
      <c r="L26" s="6"/>
      <c r="M26" s="13"/>
    </row>
    <row r="27" spans="1:13" x14ac:dyDescent="0.35">
      <c r="A27">
        <v>1026</v>
      </c>
      <c r="B27" t="s">
        <v>61</v>
      </c>
      <c r="C27" t="s">
        <v>31</v>
      </c>
      <c r="D27" t="s">
        <v>12</v>
      </c>
      <c r="E27">
        <v>1</v>
      </c>
      <c r="F27">
        <v>34153</v>
      </c>
      <c r="G27">
        <v>34153</v>
      </c>
      <c r="H27" t="s">
        <v>40</v>
      </c>
      <c r="I27" t="s">
        <v>32</v>
      </c>
      <c r="J27" t="s">
        <v>20</v>
      </c>
      <c r="K27" s="6"/>
      <c r="L27" s="6"/>
      <c r="M27" s="13"/>
    </row>
    <row r="28" spans="1:13" x14ac:dyDescent="0.35">
      <c r="A28">
        <v>1027</v>
      </c>
      <c r="B28" t="s">
        <v>62</v>
      </c>
      <c r="C28" t="s">
        <v>35</v>
      </c>
      <c r="D28" t="s">
        <v>36</v>
      </c>
      <c r="E28">
        <v>1</v>
      </c>
      <c r="F28">
        <v>884</v>
      </c>
      <c r="G28">
        <v>884</v>
      </c>
      <c r="H28" t="s">
        <v>18</v>
      </c>
      <c r="I28" t="s">
        <v>32</v>
      </c>
      <c r="J28" t="s">
        <v>20</v>
      </c>
      <c r="K28" s="6"/>
      <c r="L28" s="6"/>
      <c r="M28" s="13"/>
    </row>
    <row r="29" spans="1:13" x14ac:dyDescent="0.35">
      <c r="A29">
        <v>1028</v>
      </c>
      <c r="B29" t="s">
        <v>63</v>
      </c>
      <c r="C29" t="s">
        <v>39</v>
      </c>
      <c r="D29" t="s">
        <v>23</v>
      </c>
      <c r="E29">
        <v>1</v>
      </c>
      <c r="F29">
        <v>1961</v>
      </c>
      <c r="G29">
        <v>1961</v>
      </c>
      <c r="H29" t="s">
        <v>27</v>
      </c>
      <c r="I29" t="s">
        <v>19</v>
      </c>
      <c r="J29" t="s">
        <v>33</v>
      </c>
      <c r="K29" s="6"/>
      <c r="L29" s="6"/>
      <c r="M29" s="13"/>
    </row>
    <row r="30" spans="1:13" x14ac:dyDescent="0.35">
      <c r="A30">
        <v>1029</v>
      </c>
      <c r="B30" t="s">
        <v>64</v>
      </c>
      <c r="C30" t="s">
        <v>42</v>
      </c>
      <c r="D30" t="s">
        <v>12</v>
      </c>
      <c r="E30">
        <v>1</v>
      </c>
      <c r="F30">
        <v>7608</v>
      </c>
      <c r="G30">
        <v>7608</v>
      </c>
      <c r="H30" t="s">
        <v>27</v>
      </c>
      <c r="I30" t="s">
        <v>14</v>
      </c>
      <c r="J30" t="s">
        <v>20</v>
      </c>
      <c r="K30" s="6"/>
      <c r="L30" s="6"/>
      <c r="M30" s="13"/>
    </row>
    <row r="31" spans="1:13" x14ac:dyDescent="0.35">
      <c r="A31">
        <v>1030</v>
      </c>
      <c r="B31" t="s">
        <v>65</v>
      </c>
      <c r="C31" t="s">
        <v>44</v>
      </c>
      <c r="D31" t="s">
        <v>26</v>
      </c>
      <c r="E31">
        <v>5</v>
      </c>
      <c r="F31">
        <v>126</v>
      </c>
      <c r="G31">
        <v>630</v>
      </c>
      <c r="H31" t="s">
        <v>37</v>
      </c>
      <c r="I31" t="s">
        <v>14</v>
      </c>
      <c r="J31" t="s">
        <v>33</v>
      </c>
      <c r="K31" s="6"/>
      <c r="L31" s="6"/>
      <c r="M31" s="13"/>
    </row>
    <row r="32" spans="1:13" x14ac:dyDescent="0.35">
      <c r="A32">
        <v>1031</v>
      </c>
      <c r="B32" t="s">
        <v>66</v>
      </c>
      <c r="C32" t="s">
        <v>11</v>
      </c>
      <c r="D32" t="s">
        <v>12</v>
      </c>
      <c r="E32">
        <v>1</v>
      </c>
      <c r="F32">
        <v>68088</v>
      </c>
      <c r="G32">
        <v>68088</v>
      </c>
      <c r="H32" t="s">
        <v>37</v>
      </c>
      <c r="I32" t="s">
        <v>19</v>
      </c>
      <c r="J32" t="s">
        <v>33</v>
      </c>
      <c r="K32" s="6"/>
      <c r="L32" s="6"/>
      <c r="M32" s="13"/>
    </row>
    <row r="33" spans="1:13" x14ac:dyDescent="0.35">
      <c r="A33">
        <v>1032</v>
      </c>
      <c r="B33" t="s">
        <v>67</v>
      </c>
      <c r="C33" t="s">
        <v>17</v>
      </c>
      <c r="D33" t="s">
        <v>12</v>
      </c>
      <c r="E33">
        <v>3</v>
      </c>
      <c r="F33">
        <v>2723</v>
      </c>
      <c r="G33">
        <v>8169</v>
      </c>
      <c r="H33" t="s">
        <v>18</v>
      </c>
      <c r="I33" t="s">
        <v>19</v>
      </c>
      <c r="J33" t="s">
        <v>20</v>
      </c>
      <c r="K33" s="6"/>
      <c r="L33" s="6"/>
      <c r="M33" s="13"/>
    </row>
    <row r="34" spans="1:13" x14ac:dyDescent="0.35">
      <c r="A34">
        <v>1033</v>
      </c>
      <c r="B34" t="s">
        <v>68</v>
      </c>
      <c r="C34" t="s">
        <v>22</v>
      </c>
      <c r="D34" t="s">
        <v>23</v>
      </c>
      <c r="E34">
        <v>1</v>
      </c>
      <c r="F34">
        <v>4157</v>
      </c>
      <c r="G34">
        <v>4157</v>
      </c>
      <c r="H34" t="s">
        <v>51</v>
      </c>
      <c r="I34" t="s">
        <v>19</v>
      </c>
      <c r="J34" t="s">
        <v>33</v>
      </c>
      <c r="K34" s="6"/>
      <c r="L34" s="6"/>
      <c r="M34" s="13"/>
    </row>
    <row r="35" spans="1:13" x14ac:dyDescent="0.35">
      <c r="A35">
        <v>1034</v>
      </c>
      <c r="B35" t="s">
        <v>69</v>
      </c>
      <c r="C35" t="s">
        <v>25</v>
      </c>
      <c r="D35" t="s">
        <v>26</v>
      </c>
      <c r="E35">
        <v>3</v>
      </c>
      <c r="F35">
        <v>3589</v>
      </c>
      <c r="G35">
        <v>10767</v>
      </c>
      <c r="H35" t="s">
        <v>27</v>
      </c>
      <c r="I35" t="s">
        <v>32</v>
      </c>
      <c r="J35" t="s">
        <v>20</v>
      </c>
      <c r="K35" s="6"/>
      <c r="L35" s="6"/>
      <c r="M35" s="13"/>
    </row>
    <row r="36" spans="1:13" x14ac:dyDescent="0.35">
      <c r="A36">
        <v>1035</v>
      </c>
      <c r="B36" t="s">
        <v>70</v>
      </c>
      <c r="C36" t="s">
        <v>29</v>
      </c>
      <c r="D36" t="s">
        <v>26</v>
      </c>
      <c r="E36">
        <v>3</v>
      </c>
      <c r="F36">
        <v>414</v>
      </c>
      <c r="G36">
        <v>1242</v>
      </c>
      <c r="H36" t="s">
        <v>18</v>
      </c>
      <c r="I36" t="s">
        <v>32</v>
      </c>
      <c r="J36" t="s">
        <v>20</v>
      </c>
      <c r="K36" s="6"/>
      <c r="L36" s="6"/>
      <c r="M36" s="13"/>
    </row>
    <row r="37" spans="1:13" x14ac:dyDescent="0.35">
      <c r="A37">
        <v>1036</v>
      </c>
      <c r="B37" t="s">
        <v>71</v>
      </c>
      <c r="C37" t="s">
        <v>31</v>
      </c>
      <c r="D37" t="s">
        <v>12</v>
      </c>
      <c r="E37">
        <v>2</v>
      </c>
      <c r="F37">
        <v>15134</v>
      </c>
      <c r="G37">
        <v>30268</v>
      </c>
      <c r="H37" t="s">
        <v>40</v>
      </c>
      <c r="I37" t="s">
        <v>32</v>
      </c>
      <c r="J37" t="s">
        <v>15</v>
      </c>
      <c r="K37" s="6"/>
      <c r="L37" s="6"/>
      <c r="M37" s="13"/>
    </row>
    <row r="38" spans="1:13" x14ac:dyDescent="0.35">
      <c r="A38">
        <v>1037</v>
      </c>
      <c r="B38" t="s">
        <v>72</v>
      </c>
      <c r="C38" t="s">
        <v>35</v>
      </c>
      <c r="D38" t="s">
        <v>36</v>
      </c>
      <c r="E38">
        <v>5</v>
      </c>
      <c r="F38">
        <v>605</v>
      </c>
      <c r="G38">
        <v>3025</v>
      </c>
      <c r="H38" t="s">
        <v>37</v>
      </c>
      <c r="I38" t="s">
        <v>32</v>
      </c>
      <c r="J38" t="s">
        <v>15</v>
      </c>
      <c r="K38" s="6"/>
      <c r="L38" s="6"/>
      <c r="M38" s="13"/>
    </row>
    <row r="39" spans="1:13" x14ac:dyDescent="0.35">
      <c r="A39">
        <v>1038</v>
      </c>
      <c r="B39" t="s">
        <v>73</v>
      </c>
      <c r="C39" t="s">
        <v>39</v>
      </c>
      <c r="D39" t="s">
        <v>23</v>
      </c>
      <c r="E39">
        <v>3</v>
      </c>
      <c r="F39">
        <v>1857</v>
      </c>
      <c r="G39">
        <v>5571</v>
      </c>
      <c r="H39" t="s">
        <v>18</v>
      </c>
      <c r="I39" t="s">
        <v>32</v>
      </c>
      <c r="J39" t="s">
        <v>15</v>
      </c>
      <c r="K39" s="6"/>
      <c r="L39" s="6"/>
      <c r="M39" s="13"/>
    </row>
    <row r="40" spans="1:13" x14ac:dyDescent="0.35">
      <c r="A40">
        <v>1039</v>
      </c>
      <c r="B40" t="s">
        <v>74</v>
      </c>
      <c r="C40" t="s">
        <v>42</v>
      </c>
      <c r="D40" t="s">
        <v>12</v>
      </c>
      <c r="E40">
        <v>1</v>
      </c>
      <c r="F40">
        <v>5190</v>
      </c>
      <c r="G40">
        <v>5190</v>
      </c>
      <c r="H40" t="s">
        <v>13</v>
      </c>
      <c r="I40" t="s">
        <v>32</v>
      </c>
      <c r="J40" t="s">
        <v>33</v>
      </c>
      <c r="K40" s="6"/>
      <c r="L40" s="6"/>
      <c r="M40" s="13"/>
    </row>
    <row r="41" spans="1:13" x14ac:dyDescent="0.35">
      <c r="A41">
        <v>1040</v>
      </c>
      <c r="B41" t="s">
        <v>75</v>
      </c>
      <c r="C41" t="s">
        <v>44</v>
      </c>
      <c r="D41" t="s">
        <v>26</v>
      </c>
      <c r="E41">
        <v>4</v>
      </c>
      <c r="F41">
        <v>338</v>
      </c>
      <c r="G41">
        <v>1352</v>
      </c>
      <c r="H41" t="s">
        <v>40</v>
      </c>
      <c r="I41" t="s">
        <v>14</v>
      </c>
      <c r="J41" t="s">
        <v>33</v>
      </c>
      <c r="K41" s="6"/>
      <c r="L41" s="6"/>
      <c r="M41" s="13"/>
    </row>
    <row r="42" spans="1:13" x14ac:dyDescent="0.35">
      <c r="A42">
        <v>1041</v>
      </c>
      <c r="B42" t="s">
        <v>76</v>
      </c>
      <c r="C42" t="s">
        <v>11</v>
      </c>
      <c r="D42" t="s">
        <v>12</v>
      </c>
      <c r="E42">
        <v>1</v>
      </c>
      <c r="F42">
        <v>52555</v>
      </c>
      <c r="G42">
        <v>52555</v>
      </c>
      <c r="H42" t="s">
        <v>37</v>
      </c>
      <c r="I42" t="s">
        <v>19</v>
      </c>
      <c r="J42" t="s">
        <v>33</v>
      </c>
      <c r="K42" s="6"/>
      <c r="L42" s="6"/>
      <c r="M42" s="13"/>
    </row>
    <row r="43" spans="1:13" x14ac:dyDescent="0.35">
      <c r="A43">
        <v>1042</v>
      </c>
      <c r="B43" t="s">
        <v>77</v>
      </c>
      <c r="C43" t="s">
        <v>17</v>
      </c>
      <c r="D43" t="s">
        <v>12</v>
      </c>
      <c r="E43">
        <v>1</v>
      </c>
      <c r="F43">
        <v>2478</v>
      </c>
      <c r="G43">
        <v>2478</v>
      </c>
      <c r="H43" t="s">
        <v>18</v>
      </c>
      <c r="I43" t="s">
        <v>32</v>
      </c>
      <c r="J43" t="s">
        <v>20</v>
      </c>
      <c r="K43" s="6"/>
      <c r="L43" s="6"/>
      <c r="M43" s="13"/>
    </row>
    <row r="44" spans="1:13" x14ac:dyDescent="0.35">
      <c r="A44">
        <v>1043</v>
      </c>
      <c r="B44" t="s">
        <v>78</v>
      </c>
      <c r="C44" t="s">
        <v>22</v>
      </c>
      <c r="D44" t="s">
        <v>23</v>
      </c>
      <c r="E44">
        <v>2</v>
      </c>
      <c r="F44">
        <v>4368</v>
      </c>
      <c r="G44">
        <v>8736</v>
      </c>
      <c r="H44" t="s">
        <v>13</v>
      </c>
      <c r="I44" t="s">
        <v>32</v>
      </c>
      <c r="J44" t="s">
        <v>33</v>
      </c>
      <c r="K44" s="6"/>
      <c r="L44" s="6"/>
      <c r="M44" s="13"/>
    </row>
    <row r="45" spans="1:13" x14ac:dyDescent="0.35">
      <c r="A45">
        <v>1044</v>
      </c>
      <c r="B45" t="s">
        <v>79</v>
      </c>
      <c r="C45" t="s">
        <v>25</v>
      </c>
      <c r="D45" t="s">
        <v>26</v>
      </c>
      <c r="E45">
        <v>5</v>
      </c>
      <c r="F45">
        <v>4294</v>
      </c>
      <c r="G45">
        <v>21470</v>
      </c>
      <c r="H45" t="s">
        <v>27</v>
      </c>
      <c r="I45" t="s">
        <v>32</v>
      </c>
      <c r="J45" t="s">
        <v>20</v>
      </c>
      <c r="K45" s="6"/>
      <c r="L45" s="6"/>
      <c r="M45" s="13"/>
    </row>
    <row r="46" spans="1:13" x14ac:dyDescent="0.35">
      <c r="A46">
        <v>1045</v>
      </c>
      <c r="B46" t="s">
        <v>80</v>
      </c>
      <c r="C46" t="s">
        <v>29</v>
      </c>
      <c r="D46" t="s">
        <v>26</v>
      </c>
      <c r="E46">
        <v>5</v>
      </c>
      <c r="F46">
        <v>877</v>
      </c>
      <c r="G46">
        <v>4385</v>
      </c>
      <c r="H46" t="s">
        <v>13</v>
      </c>
      <c r="I46" t="s">
        <v>14</v>
      </c>
      <c r="J46" t="s">
        <v>15</v>
      </c>
      <c r="K46" s="6"/>
      <c r="L46" s="6"/>
      <c r="M46" s="13"/>
    </row>
    <row r="47" spans="1:13" x14ac:dyDescent="0.35">
      <c r="A47">
        <v>1046</v>
      </c>
      <c r="B47" t="s">
        <v>81</v>
      </c>
      <c r="C47" t="s">
        <v>31</v>
      </c>
      <c r="D47" t="s">
        <v>12</v>
      </c>
      <c r="E47">
        <v>2</v>
      </c>
      <c r="F47">
        <v>35059</v>
      </c>
      <c r="G47">
        <v>70118</v>
      </c>
      <c r="H47" t="s">
        <v>37</v>
      </c>
      <c r="I47" t="s">
        <v>14</v>
      </c>
      <c r="J47" t="s">
        <v>20</v>
      </c>
      <c r="K47" s="6"/>
      <c r="L47" s="6"/>
      <c r="M47" s="13"/>
    </row>
    <row r="48" spans="1:13" x14ac:dyDescent="0.35">
      <c r="A48">
        <v>1047</v>
      </c>
      <c r="B48" t="s">
        <v>82</v>
      </c>
      <c r="C48" t="s">
        <v>35</v>
      </c>
      <c r="D48" t="s">
        <v>36</v>
      </c>
      <c r="E48">
        <v>3</v>
      </c>
      <c r="F48">
        <v>935</v>
      </c>
      <c r="G48">
        <v>2805</v>
      </c>
      <c r="H48" t="s">
        <v>13</v>
      </c>
      <c r="I48" t="s">
        <v>19</v>
      </c>
      <c r="J48" t="s">
        <v>20</v>
      </c>
      <c r="K48" s="6"/>
      <c r="L48" s="6"/>
      <c r="M48" s="13"/>
    </row>
    <row r="49" spans="1:13" x14ac:dyDescent="0.35">
      <c r="A49">
        <v>1048</v>
      </c>
      <c r="B49" t="s">
        <v>83</v>
      </c>
      <c r="C49" t="s">
        <v>39</v>
      </c>
      <c r="D49" t="s">
        <v>23</v>
      </c>
      <c r="E49">
        <v>1</v>
      </c>
      <c r="F49">
        <v>1978</v>
      </c>
      <c r="G49">
        <v>1978</v>
      </c>
      <c r="H49" t="s">
        <v>13</v>
      </c>
      <c r="I49" t="s">
        <v>19</v>
      </c>
      <c r="J49" t="s">
        <v>15</v>
      </c>
      <c r="K49" s="6"/>
      <c r="L49" s="6"/>
      <c r="M49" s="13"/>
    </row>
    <row r="50" spans="1:13" x14ac:dyDescent="0.35">
      <c r="A50">
        <v>1049</v>
      </c>
      <c r="B50" t="s">
        <v>84</v>
      </c>
      <c r="C50" t="s">
        <v>42</v>
      </c>
      <c r="D50" t="s">
        <v>12</v>
      </c>
      <c r="E50">
        <v>2</v>
      </c>
      <c r="F50">
        <v>14326</v>
      </c>
      <c r="G50">
        <v>28652</v>
      </c>
      <c r="H50" t="s">
        <v>51</v>
      </c>
      <c r="I50" t="s">
        <v>14</v>
      </c>
      <c r="J50" t="s">
        <v>15</v>
      </c>
      <c r="K50" s="6"/>
      <c r="L50" s="6"/>
      <c r="M50" s="13"/>
    </row>
    <row r="51" spans="1:13" x14ac:dyDescent="0.35">
      <c r="A51">
        <v>1050</v>
      </c>
      <c r="B51" t="s">
        <v>85</v>
      </c>
      <c r="C51" t="s">
        <v>44</v>
      </c>
      <c r="D51" t="s">
        <v>26</v>
      </c>
      <c r="E51">
        <v>3</v>
      </c>
      <c r="F51">
        <v>100</v>
      </c>
      <c r="G51">
        <v>300</v>
      </c>
      <c r="H51" t="s">
        <v>51</v>
      </c>
      <c r="I51" t="s">
        <v>19</v>
      </c>
      <c r="J51" t="s">
        <v>15</v>
      </c>
      <c r="K51" s="6"/>
      <c r="L51" s="6"/>
      <c r="M51" s="13"/>
    </row>
    <row r="52" spans="1:13" x14ac:dyDescent="0.35">
      <c r="A52">
        <v>1051</v>
      </c>
      <c r="B52" t="s">
        <v>86</v>
      </c>
      <c r="C52" t="s">
        <v>11</v>
      </c>
      <c r="D52" t="s">
        <v>12</v>
      </c>
      <c r="E52">
        <v>2</v>
      </c>
      <c r="F52">
        <v>54846</v>
      </c>
      <c r="G52">
        <v>109692</v>
      </c>
      <c r="H52" t="s">
        <v>13</v>
      </c>
      <c r="I52" t="s">
        <v>19</v>
      </c>
      <c r="J52" t="s">
        <v>33</v>
      </c>
      <c r="K52" s="6"/>
      <c r="L52" s="6"/>
      <c r="M52" s="13"/>
    </row>
    <row r="53" spans="1:13" x14ac:dyDescent="0.35">
      <c r="A53">
        <v>1052</v>
      </c>
      <c r="B53" t="s">
        <v>87</v>
      </c>
      <c r="C53" t="s">
        <v>17</v>
      </c>
      <c r="D53" t="s">
        <v>12</v>
      </c>
      <c r="E53">
        <v>3</v>
      </c>
      <c r="F53">
        <v>4855</v>
      </c>
      <c r="G53">
        <v>14565</v>
      </c>
      <c r="H53" t="s">
        <v>13</v>
      </c>
      <c r="I53" t="s">
        <v>19</v>
      </c>
      <c r="J53" t="s">
        <v>15</v>
      </c>
      <c r="K53" s="6"/>
      <c r="L53" s="6"/>
      <c r="M53" s="13"/>
    </row>
    <row r="54" spans="1:13" x14ac:dyDescent="0.35">
      <c r="A54">
        <v>1053</v>
      </c>
      <c r="B54" t="s">
        <v>88</v>
      </c>
      <c r="C54" t="s">
        <v>22</v>
      </c>
      <c r="D54" t="s">
        <v>23</v>
      </c>
      <c r="E54">
        <v>3</v>
      </c>
      <c r="F54">
        <v>1718</v>
      </c>
      <c r="G54">
        <v>5154</v>
      </c>
      <c r="H54" t="s">
        <v>37</v>
      </c>
      <c r="I54" t="s">
        <v>14</v>
      </c>
      <c r="J54" t="s">
        <v>20</v>
      </c>
      <c r="K54" s="6"/>
      <c r="L54" s="6"/>
      <c r="M54" s="13"/>
    </row>
    <row r="55" spans="1:13" x14ac:dyDescent="0.35">
      <c r="A55">
        <v>1054</v>
      </c>
      <c r="B55" t="s">
        <v>89</v>
      </c>
      <c r="C55" t="s">
        <v>25</v>
      </c>
      <c r="D55" t="s">
        <v>26</v>
      </c>
      <c r="E55">
        <v>5</v>
      </c>
      <c r="F55">
        <v>17415</v>
      </c>
      <c r="G55">
        <v>87075</v>
      </c>
      <c r="H55" t="s">
        <v>27</v>
      </c>
      <c r="I55" t="s">
        <v>19</v>
      </c>
      <c r="J55" t="s">
        <v>33</v>
      </c>
      <c r="K55" s="6"/>
      <c r="L55" s="6"/>
      <c r="M55" s="13"/>
    </row>
    <row r="56" spans="1:13" x14ac:dyDescent="0.35">
      <c r="A56">
        <v>1055</v>
      </c>
      <c r="B56" t="s">
        <v>90</v>
      </c>
      <c r="C56" t="s">
        <v>29</v>
      </c>
      <c r="D56" t="s">
        <v>26</v>
      </c>
      <c r="E56">
        <v>3</v>
      </c>
      <c r="F56">
        <v>661</v>
      </c>
      <c r="G56">
        <v>1983</v>
      </c>
      <c r="H56" t="s">
        <v>51</v>
      </c>
      <c r="I56" t="s">
        <v>19</v>
      </c>
      <c r="J56" t="s">
        <v>20</v>
      </c>
      <c r="K56" s="6"/>
      <c r="L56" s="6"/>
      <c r="M56" s="13"/>
    </row>
    <row r="57" spans="1:13" x14ac:dyDescent="0.35">
      <c r="A57">
        <v>1056</v>
      </c>
      <c r="B57" t="s">
        <v>91</v>
      </c>
      <c r="C57" t="s">
        <v>31</v>
      </c>
      <c r="D57" t="s">
        <v>12</v>
      </c>
      <c r="E57">
        <v>2</v>
      </c>
      <c r="F57">
        <v>30075</v>
      </c>
      <c r="G57">
        <v>60150</v>
      </c>
      <c r="H57" t="s">
        <v>27</v>
      </c>
      <c r="I57" t="s">
        <v>32</v>
      </c>
      <c r="J57" t="s">
        <v>15</v>
      </c>
      <c r="K57" s="6"/>
      <c r="L57" s="6"/>
      <c r="M57" s="13"/>
    </row>
    <row r="58" spans="1:13" x14ac:dyDescent="0.35">
      <c r="A58">
        <v>1057</v>
      </c>
      <c r="B58" t="s">
        <v>92</v>
      </c>
      <c r="C58" t="s">
        <v>35</v>
      </c>
      <c r="D58" t="s">
        <v>36</v>
      </c>
      <c r="E58">
        <v>3</v>
      </c>
      <c r="F58">
        <v>387</v>
      </c>
      <c r="G58">
        <v>1161</v>
      </c>
      <c r="H58" t="s">
        <v>37</v>
      </c>
      <c r="I58" t="s">
        <v>14</v>
      </c>
      <c r="J58" t="s">
        <v>15</v>
      </c>
      <c r="K58" s="6"/>
      <c r="L58" s="6"/>
      <c r="M58" s="13"/>
    </row>
    <row r="59" spans="1:13" x14ac:dyDescent="0.35">
      <c r="A59">
        <v>1058</v>
      </c>
      <c r="B59" t="s">
        <v>93</v>
      </c>
      <c r="C59" t="s">
        <v>39</v>
      </c>
      <c r="D59" t="s">
        <v>23</v>
      </c>
      <c r="E59">
        <v>5</v>
      </c>
      <c r="F59">
        <v>1084</v>
      </c>
      <c r="G59">
        <v>5420</v>
      </c>
      <c r="H59" t="s">
        <v>51</v>
      </c>
      <c r="I59" t="s">
        <v>19</v>
      </c>
      <c r="J59" t="s">
        <v>20</v>
      </c>
      <c r="K59" s="6"/>
      <c r="L59" s="6"/>
      <c r="M59" s="13"/>
    </row>
    <row r="60" spans="1:13" x14ac:dyDescent="0.35">
      <c r="A60">
        <v>1059</v>
      </c>
      <c r="B60" t="s">
        <v>94</v>
      </c>
      <c r="C60" t="s">
        <v>42</v>
      </c>
      <c r="D60" t="s">
        <v>12</v>
      </c>
      <c r="E60">
        <v>1</v>
      </c>
      <c r="F60">
        <v>11559</v>
      </c>
      <c r="G60">
        <v>11559</v>
      </c>
      <c r="H60" t="s">
        <v>51</v>
      </c>
      <c r="I60" t="s">
        <v>19</v>
      </c>
      <c r="J60" t="s">
        <v>15</v>
      </c>
      <c r="K60" s="6"/>
      <c r="L60" s="6"/>
      <c r="M60" s="13"/>
    </row>
    <row r="61" spans="1:13" x14ac:dyDescent="0.35">
      <c r="A61">
        <v>1060</v>
      </c>
      <c r="B61" t="s">
        <v>95</v>
      </c>
      <c r="C61" t="s">
        <v>44</v>
      </c>
      <c r="D61" t="s">
        <v>26</v>
      </c>
      <c r="E61">
        <v>5</v>
      </c>
      <c r="F61">
        <v>717</v>
      </c>
      <c r="G61">
        <v>3585</v>
      </c>
      <c r="H61" t="s">
        <v>18</v>
      </c>
      <c r="I61" t="s">
        <v>14</v>
      </c>
      <c r="J61" t="s">
        <v>20</v>
      </c>
      <c r="K61" s="6"/>
      <c r="L61" s="6"/>
      <c r="M61" s="13"/>
    </row>
    <row r="62" spans="1:13" x14ac:dyDescent="0.35">
      <c r="A62">
        <v>1061</v>
      </c>
      <c r="B62" t="s">
        <v>96</v>
      </c>
      <c r="C62" t="s">
        <v>11</v>
      </c>
      <c r="D62" t="s">
        <v>12</v>
      </c>
      <c r="E62">
        <v>2</v>
      </c>
      <c r="F62">
        <v>51590</v>
      </c>
      <c r="G62">
        <v>103180</v>
      </c>
      <c r="H62" t="s">
        <v>27</v>
      </c>
      <c r="I62" t="s">
        <v>32</v>
      </c>
      <c r="J62" t="s">
        <v>33</v>
      </c>
      <c r="K62" s="6"/>
      <c r="L62" s="6"/>
      <c r="M62" s="13"/>
    </row>
    <row r="63" spans="1:13" x14ac:dyDescent="0.35">
      <c r="A63">
        <v>1062</v>
      </c>
      <c r="B63" t="s">
        <v>97</v>
      </c>
      <c r="C63" t="s">
        <v>17</v>
      </c>
      <c r="D63" t="s">
        <v>12</v>
      </c>
      <c r="E63">
        <v>2</v>
      </c>
      <c r="F63">
        <v>2555</v>
      </c>
      <c r="G63">
        <v>5110</v>
      </c>
      <c r="H63" t="s">
        <v>40</v>
      </c>
      <c r="I63" t="s">
        <v>19</v>
      </c>
      <c r="J63" t="s">
        <v>20</v>
      </c>
      <c r="K63" s="6"/>
      <c r="L63" s="6"/>
      <c r="M63" s="13"/>
    </row>
    <row r="64" spans="1:13" x14ac:dyDescent="0.35">
      <c r="A64">
        <v>1063</v>
      </c>
      <c r="B64" t="s">
        <v>98</v>
      </c>
      <c r="C64" t="s">
        <v>22</v>
      </c>
      <c r="D64" t="s">
        <v>23</v>
      </c>
      <c r="E64">
        <v>3</v>
      </c>
      <c r="F64">
        <v>3601</v>
      </c>
      <c r="G64">
        <v>10803</v>
      </c>
      <c r="H64" t="s">
        <v>27</v>
      </c>
      <c r="I64" t="s">
        <v>19</v>
      </c>
      <c r="J64" t="s">
        <v>33</v>
      </c>
      <c r="K64" s="6"/>
      <c r="L64" s="6"/>
      <c r="M64" s="13"/>
    </row>
    <row r="65" spans="1:13" x14ac:dyDescent="0.35">
      <c r="A65">
        <v>1064</v>
      </c>
      <c r="B65" t="s">
        <v>99</v>
      </c>
      <c r="C65" t="s">
        <v>25</v>
      </c>
      <c r="D65" t="s">
        <v>26</v>
      </c>
      <c r="E65">
        <v>5</v>
      </c>
      <c r="F65">
        <v>9924</v>
      </c>
      <c r="G65">
        <v>49620</v>
      </c>
      <c r="H65" t="s">
        <v>13</v>
      </c>
      <c r="I65" t="s">
        <v>14</v>
      </c>
      <c r="J65" t="s">
        <v>20</v>
      </c>
      <c r="K65" s="6"/>
      <c r="L65" s="6"/>
      <c r="M65" s="13"/>
    </row>
    <row r="66" spans="1:13" x14ac:dyDescent="0.35">
      <c r="A66">
        <v>1065</v>
      </c>
      <c r="B66" t="s">
        <v>100</v>
      </c>
      <c r="C66" t="s">
        <v>29</v>
      </c>
      <c r="D66" t="s">
        <v>26</v>
      </c>
      <c r="E66">
        <v>5</v>
      </c>
      <c r="F66">
        <v>511</v>
      </c>
      <c r="G66">
        <v>2555</v>
      </c>
      <c r="H66" t="s">
        <v>18</v>
      </c>
      <c r="I66" t="s">
        <v>32</v>
      </c>
      <c r="J66" t="s">
        <v>33</v>
      </c>
      <c r="K66" s="6"/>
      <c r="L66" s="6"/>
      <c r="M66" s="13"/>
    </row>
    <row r="67" spans="1:13" x14ac:dyDescent="0.35">
      <c r="A67">
        <v>1066</v>
      </c>
      <c r="B67" t="s">
        <v>101</v>
      </c>
      <c r="C67" t="s">
        <v>31</v>
      </c>
      <c r="D67" t="s">
        <v>12</v>
      </c>
      <c r="E67">
        <v>1</v>
      </c>
      <c r="F67">
        <v>29247</v>
      </c>
      <c r="G67">
        <v>29247</v>
      </c>
      <c r="H67" t="s">
        <v>18</v>
      </c>
      <c r="I67" t="s">
        <v>19</v>
      </c>
      <c r="J67" t="s">
        <v>33</v>
      </c>
      <c r="K67" s="6"/>
      <c r="L67" s="6"/>
      <c r="M67" s="13"/>
    </row>
    <row r="68" spans="1:13" x14ac:dyDescent="0.35">
      <c r="A68">
        <v>1067</v>
      </c>
      <c r="B68" t="s">
        <v>102</v>
      </c>
      <c r="C68" t="s">
        <v>35</v>
      </c>
      <c r="D68" t="s">
        <v>36</v>
      </c>
      <c r="E68">
        <v>4</v>
      </c>
      <c r="F68">
        <v>699</v>
      </c>
      <c r="G68">
        <v>2796</v>
      </c>
      <c r="H68" t="s">
        <v>27</v>
      </c>
      <c r="I68" t="s">
        <v>14</v>
      </c>
      <c r="J68" t="s">
        <v>20</v>
      </c>
      <c r="K68" s="6"/>
      <c r="L68" s="6"/>
      <c r="M68" s="13"/>
    </row>
    <row r="69" spans="1:13" x14ac:dyDescent="0.35">
      <c r="A69">
        <v>1068</v>
      </c>
      <c r="B69" t="s">
        <v>103</v>
      </c>
      <c r="C69" t="s">
        <v>39</v>
      </c>
      <c r="D69" t="s">
        <v>23</v>
      </c>
      <c r="E69">
        <v>5</v>
      </c>
      <c r="F69">
        <v>566</v>
      </c>
      <c r="G69">
        <v>2830</v>
      </c>
      <c r="H69" t="s">
        <v>37</v>
      </c>
      <c r="I69" t="s">
        <v>32</v>
      </c>
      <c r="J69" t="s">
        <v>33</v>
      </c>
      <c r="K69" s="6"/>
      <c r="L69" s="6"/>
      <c r="M69" s="13"/>
    </row>
    <row r="70" spans="1:13" x14ac:dyDescent="0.35">
      <c r="A70">
        <v>1069</v>
      </c>
      <c r="B70" t="s">
        <v>104</v>
      </c>
      <c r="C70" t="s">
        <v>42</v>
      </c>
      <c r="D70" t="s">
        <v>12</v>
      </c>
      <c r="E70">
        <v>1</v>
      </c>
      <c r="F70">
        <v>5629</v>
      </c>
      <c r="G70">
        <v>5629</v>
      </c>
      <c r="H70" t="s">
        <v>40</v>
      </c>
      <c r="I70" t="s">
        <v>14</v>
      </c>
      <c r="J70" t="s">
        <v>20</v>
      </c>
      <c r="K70" s="6"/>
      <c r="L70" s="6"/>
      <c r="M70" s="13"/>
    </row>
    <row r="71" spans="1:13" x14ac:dyDescent="0.35">
      <c r="A71">
        <v>1070</v>
      </c>
      <c r="B71" t="s">
        <v>105</v>
      </c>
      <c r="C71" t="s">
        <v>44</v>
      </c>
      <c r="D71" t="s">
        <v>26</v>
      </c>
      <c r="E71">
        <v>3</v>
      </c>
      <c r="F71">
        <v>579</v>
      </c>
      <c r="G71">
        <v>1737</v>
      </c>
      <c r="H71" t="s">
        <v>18</v>
      </c>
      <c r="I71" t="s">
        <v>32</v>
      </c>
      <c r="J71" t="s">
        <v>15</v>
      </c>
      <c r="K71" s="6"/>
      <c r="L71" s="6"/>
      <c r="M71" s="13"/>
    </row>
    <row r="72" spans="1:13" x14ac:dyDescent="0.35">
      <c r="A72">
        <v>1071</v>
      </c>
      <c r="B72" t="s">
        <v>106</v>
      </c>
      <c r="C72" t="s">
        <v>11</v>
      </c>
      <c r="D72" t="s">
        <v>12</v>
      </c>
      <c r="E72">
        <v>2</v>
      </c>
      <c r="F72">
        <v>58940</v>
      </c>
      <c r="G72">
        <v>117880</v>
      </c>
      <c r="H72" t="s">
        <v>27</v>
      </c>
      <c r="I72" t="s">
        <v>19</v>
      </c>
      <c r="J72" t="s">
        <v>15</v>
      </c>
      <c r="K72" s="6"/>
      <c r="L72" s="6"/>
      <c r="M72" s="13"/>
    </row>
    <row r="73" spans="1:13" x14ac:dyDescent="0.35">
      <c r="A73">
        <v>1072</v>
      </c>
      <c r="B73" t="s">
        <v>107</v>
      </c>
      <c r="C73" t="s">
        <v>17</v>
      </c>
      <c r="D73" t="s">
        <v>12</v>
      </c>
      <c r="E73">
        <v>1</v>
      </c>
      <c r="F73">
        <v>3615</v>
      </c>
      <c r="G73">
        <v>3615</v>
      </c>
      <c r="H73" t="s">
        <v>27</v>
      </c>
      <c r="I73" t="s">
        <v>19</v>
      </c>
      <c r="J73" t="s">
        <v>20</v>
      </c>
      <c r="K73" s="6"/>
      <c r="L73" s="6"/>
      <c r="M73" s="13"/>
    </row>
    <row r="74" spans="1:13" x14ac:dyDescent="0.35">
      <c r="A74">
        <v>1073</v>
      </c>
      <c r="B74" t="s">
        <v>108</v>
      </c>
      <c r="C74" t="s">
        <v>22</v>
      </c>
      <c r="D74" t="s">
        <v>23</v>
      </c>
      <c r="E74">
        <v>3</v>
      </c>
      <c r="F74">
        <v>3472</v>
      </c>
      <c r="G74">
        <v>10416</v>
      </c>
      <c r="H74" t="s">
        <v>18</v>
      </c>
      <c r="I74" t="s">
        <v>14</v>
      </c>
      <c r="J74" t="s">
        <v>33</v>
      </c>
      <c r="K74" s="6"/>
      <c r="L74" s="6"/>
      <c r="M74" s="13"/>
    </row>
    <row r="75" spans="1:13" x14ac:dyDescent="0.35">
      <c r="A75">
        <v>1074</v>
      </c>
      <c r="B75" t="s">
        <v>109</v>
      </c>
      <c r="C75" t="s">
        <v>25</v>
      </c>
      <c r="D75" t="s">
        <v>26</v>
      </c>
      <c r="E75">
        <v>1</v>
      </c>
      <c r="F75">
        <v>2976</v>
      </c>
      <c r="G75">
        <v>2976</v>
      </c>
      <c r="H75" t="s">
        <v>18</v>
      </c>
      <c r="I75" t="s">
        <v>32</v>
      </c>
      <c r="J75" t="s">
        <v>15</v>
      </c>
      <c r="K75" s="6"/>
      <c r="L75" s="6"/>
      <c r="M75" s="13"/>
    </row>
    <row r="76" spans="1:13" x14ac:dyDescent="0.35">
      <c r="A76">
        <v>1075</v>
      </c>
      <c r="B76" t="s">
        <v>110</v>
      </c>
      <c r="C76" t="s">
        <v>29</v>
      </c>
      <c r="D76" t="s">
        <v>26</v>
      </c>
      <c r="E76">
        <v>3</v>
      </c>
      <c r="F76">
        <v>359</v>
      </c>
      <c r="G76">
        <v>1077</v>
      </c>
      <c r="H76" t="s">
        <v>40</v>
      </c>
      <c r="I76" t="s">
        <v>14</v>
      </c>
      <c r="J76" t="s">
        <v>15</v>
      </c>
      <c r="K76" s="6"/>
      <c r="L76" s="6"/>
      <c r="M76" s="13"/>
    </row>
    <row r="77" spans="1:13" x14ac:dyDescent="0.35">
      <c r="A77">
        <v>1076</v>
      </c>
      <c r="B77" t="s">
        <v>111</v>
      </c>
      <c r="C77" t="s">
        <v>31</v>
      </c>
      <c r="D77" t="s">
        <v>12</v>
      </c>
      <c r="E77">
        <v>1</v>
      </c>
      <c r="F77">
        <v>20775</v>
      </c>
      <c r="G77">
        <v>20775</v>
      </c>
      <c r="H77" t="s">
        <v>40</v>
      </c>
      <c r="I77" t="s">
        <v>19</v>
      </c>
      <c r="J77" t="s">
        <v>33</v>
      </c>
      <c r="K77" s="6"/>
      <c r="L77" s="6"/>
      <c r="M77" s="13"/>
    </row>
    <row r="78" spans="1:13" x14ac:dyDescent="0.35">
      <c r="A78">
        <v>1077</v>
      </c>
      <c r="B78" t="s">
        <v>112</v>
      </c>
      <c r="C78" t="s">
        <v>35</v>
      </c>
      <c r="D78" t="s">
        <v>36</v>
      </c>
      <c r="E78">
        <v>4</v>
      </c>
      <c r="F78">
        <v>920</v>
      </c>
      <c r="G78">
        <v>3680</v>
      </c>
      <c r="H78" t="s">
        <v>18</v>
      </c>
      <c r="I78" t="s">
        <v>19</v>
      </c>
      <c r="J78" t="s">
        <v>15</v>
      </c>
      <c r="K78" s="6"/>
      <c r="L78" s="6"/>
      <c r="M78" s="13"/>
    </row>
    <row r="79" spans="1:13" x14ac:dyDescent="0.35">
      <c r="A79">
        <v>1078</v>
      </c>
      <c r="B79" t="s">
        <v>113</v>
      </c>
      <c r="C79" t="s">
        <v>39</v>
      </c>
      <c r="D79" t="s">
        <v>23</v>
      </c>
      <c r="E79">
        <v>2</v>
      </c>
      <c r="F79">
        <v>907</v>
      </c>
      <c r="G79">
        <v>1814</v>
      </c>
      <c r="H79" t="s">
        <v>27</v>
      </c>
      <c r="I79" t="s">
        <v>14</v>
      </c>
      <c r="J79" t="s">
        <v>20</v>
      </c>
      <c r="K79" s="6"/>
      <c r="L79" s="6"/>
      <c r="M79" s="13"/>
    </row>
    <row r="80" spans="1:13" x14ac:dyDescent="0.35">
      <c r="A80">
        <v>1079</v>
      </c>
      <c r="B80" t="s">
        <v>114</v>
      </c>
      <c r="C80" t="s">
        <v>42</v>
      </c>
      <c r="D80" t="s">
        <v>12</v>
      </c>
      <c r="E80">
        <v>1</v>
      </c>
      <c r="F80">
        <v>13388</v>
      </c>
      <c r="G80">
        <v>13388</v>
      </c>
      <c r="H80" t="s">
        <v>27</v>
      </c>
      <c r="I80" t="s">
        <v>32</v>
      </c>
      <c r="J80" t="s">
        <v>33</v>
      </c>
      <c r="K80" s="6"/>
      <c r="L80" s="6"/>
      <c r="M80" s="13"/>
    </row>
    <row r="81" spans="1:13" x14ac:dyDescent="0.35">
      <c r="A81">
        <v>1080</v>
      </c>
      <c r="B81" t="s">
        <v>115</v>
      </c>
      <c r="C81" t="s">
        <v>44</v>
      </c>
      <c r="D81" t="s">
        <v>26</v>
      </c>
      <c r="E81">
        <v>2</v>
      </c>
      <c r="F81">
        <v>372</v>
      </c>
      <c r="G81">
        <v>744</v>
      </c>
      <c r="H81" t="s">
        <v>37</v>
      </c>
      <c r="I81" t="s">
        <v>19</v>
      </c>
      <c r="J81" t="s">
        <v>20</v>
      </c>
      <c r="K81" s="6"/>
      <c r="L81" s="6"/>
      <c r="M81" s="13"/>
    </row>
    <row r="82" spans="1:13" x14ac:dyDescent="0.35">
      <c r="A82">
        <v>1081</v>
      </c>
      <c r="B82" t="s">
        <v>116</v>
      </c>
      <c r="C82" t="s">
        <v>11</v>
      </c>
      <c r="D82" t="s">
        <v>12</v>
      </c>
      <c r="E82">
        <v>1</v>
      </c>
      <c r="F82">
        <v>44531</v>
      </c>
      <c r="G82">
        <v>44531</v>
      </c>
      <c r="H82" t="s">
        <v>18</v>
      </c>
      <c r="I82" t="s">
        <v>14</v>
      </c>
      <c r="J82" t="s">
        <v>33</v>
      </c>
      <c r="K82" s="6"/>
      <c r="L82" s="6"/>
      <c r="M82" s="13"/>
    </row>
    <row r="83" spans="1:13" x14ac:dyDescent="0.35">
      <c r="A83">
        <v>1082</v>
      </c>
      <c r="B83" t="s">
        <v>117</v>
      </c>
      <c r="C83" t="s">
        <v>17</v>
      </c>
      <c r="D83" t="s">
        <v>12</v>
      </c>
      <c r="E83">
        <v>2</v>
      </c>
      <c r="F83">
        <v>1963</v>
      </c>
      <c r="G83">
        <v>3926</v>
      </c>
      <c r="H83" t="s">
        <v>37</v>
      </c>
      <c r="I83" t="s">
        <v>14</v>
      </c>
      <c r="J83" t="s">
        <v>15</v>
      </c>
      <c r="K83" s="6"/>
      <c r="L83" s="6"/>
      <c r="M83" s="13"/>
    </row>
    <row r="84" spans="1:13" x14ac:dyDescent="0.35">
      <c r="A84">
        <v>1083</v>
      </c>
      <c r="B84" t="s">
        <v>118</v>
      </c>
      <c r="C84" t="s">
        <v>22</v>
      </c>
      <c r="D84" t="s">
        <v>23</v>
      </c>
      <c r="E84">
        <v>1</v>
      </c>
      <c r="F84">
        <v>2483</v>
      </c>
      <c r="G84">
        <v>2483</v>
      </c>
      <c r="H84" t="s">
        <v>27</v>
      </c>
      <c r="I84" t="s">
        <v>19</v>
      </c>
      <c r="J84" t="s">
        <v>15</v>
      </c>
      <c r="K84" s="6"/>
      <c r="L84" s="6"/>
      <c r="M84" s="13"/>
    </row>
    <row r="85" spans="1:13" x14ac:dyDescent="0.35">
      <c r="A85">
        <v>1084</v>
      </c>
      <c r="B85" t="s">
        <v>119</v>
      </c>
      <c r="C85" t="s">
        <v>25</v>
      </c>
      <c r="D85" t="s">
        <v>26</v>
      </c>
      <c r="E85">
        <v>5</v>
      </c>
      <c r="F85">
        <v>18677</v>
      </c>
      <c r="G85">
        <v>93385</v>
      </c>
      <c r="H85" t="s">
        <v>51</v>
      </c>
      <c r="I85" t="s">
        <v>19</v>
      </c>
      <c r="J85" t="s">
        <v>33</v>
      </c>
      <c r="K85" s="6"/>
      <c r="L85" s="6"/>
      <c r="M85" s="13"/>
    </row>
    <row r="86" spans="1:13" x14ac:dyDescent="0.35">
      <c r="A86">
        <v>1085</v>
      </c>
      <c r="B86" t="s">
        <v>120</v>
      </c>
      <c r="C86" t="s">
        <v>29</v>
      </c>
      <c r="D86" t="s">
        <v>26</v>
      </c>
      <c r="E86">
        <v>1</v>
      </c>
      <c r="F86">
        <v>583</v>
      </c>
      <c r="G86">
        <v>583</v>
      </c>
      <c r="H86" t="s">
        <v>27</v>
      </c>
      <c r="I86" t="s">
        <v>19</v>
      </c>
      <c r="J86" t="s">
        <v>15</v>
      </c>
      <c r="K86" s="6"/>
      <c r="L86" s="6"/>
      <c r="M86" s="13"/>
    </row>
    <row r="87" spans="1:13" x14ac:dyDescent="0.35">
      <c r="A87">
        <v>1086</v>
      </c>
      <c r="B87" t="s">
        <v>121</v>
      </c>
      <c r="C87" t="s">
        <v>31</v>
      </c>
      <c r="D87" t="s">
        <v>12</v>
      </c>
      <c r="E87">
        <v>1</v>
      </c>
      <c r="F87">
        <v>34775</v>
      </c>
      <c r="G87">
        <v>34775</v>
      </c>
      <c r="H87" t="s">
        <v>27</v>
      </c>
      <c r="I87" t="s">
        <v>32</v>
      </c>
      <c r="J87" t="s">
        <v>15</v>
      </c>
      <c r="K87" s="6"/>
      <c r="L87" s="6"/>
      <c r="M87" s="13"/>
    </row>
    <row r="88" spans="1:13" x14ac:dyDescent="0.35">
      <c r="A88">
        <v>1087</v>
      </c>
      <c r="B88" t="s">
        <v>122</v>
      </c>
      <c r="C88" t="s">
        <v>35</v>
      </c>
      <c r="D88" t="s">
        <v>36</v>
      </c>
      <c r="E88">
        <v>3</v>
      </c>
      <c r="F88">
        <v>635</v>
      </c>
      <c r="G88">
        <v>1905</v>
      </c>
      <c r="H88" t="s">
        <v>27</v>
      </c>
      <c r="I88" t="s">
        <v>19</v>
      </c>
      <c r="J88" t="s">
        <v>15</v>
      </c>
      <c r="K88" s="6"/>
      <c r="L88" s="6"/>
      <c r="M88" s="13"/>
    </row>
    <row r="89" spans="1:13" x14ac:dyDescent="0.35">
      <c r="A89">
        <v>1088</v>
      </c>
      <c r="B89" t="s">
        <v>123</v>
      </c>
      <c r="C89" t="s">
        <v>39</v>
      </c>
      <c r="D89" t="s">
        <v>23</v>
      </c>
      <c r="E89">
        <v>5</v>
      </c>
      <c r="F89">
        <v>527</v>
      </c>
      <c r="G89">
        <v>2635</v>
      </c>
      <c r="H89" t="s">
        <v>27</v>
      </c>
      <c r="I89" t="s">
        <v>32</v>
      </c>
      <c r="J89" t="s">
        <v>33</v>
      </c>
      <c r="K89" s="6"/>
      <c r="L89" s="6"/>
      <c r="M89" s="13"/>
    </row>
    <row r="90" spans="1:13" x14ac:dyDescent="0.35">
      <c r="A90">
        <v>1089</v>
      </c>
      <c r="B90" t="s">
        <v>124</v>
      </c>
      <c r="C90" t="s">
        <v>42</v>
      </c>
      <c r="D90" t="s">
        <v>12</v>
      </c>
      <c r="E90">
        <v>2</v>
      </c>
      <c r="F90">
        <v>3327</v>
      </c>
      <c r="G90">
        <v>6654</v>
      </c>
      <c r="H90" t="s">
        <v>51</v>
      </c>
      <c r="I90" t="s">
        <v>32</v>
      </c>
      <c r="J90" t="s">
        <v>33</v>
      </c>
      <c r="K90" s="6"/>
      <c r="L90" s="6"/>
      <c r="M90" s="13"/>
    </row>
    <row r="91" spans="1:13" x14ac:dyDescent="0.35">
      <c r="A91">
        <v>1090</v>
      </c>
      <c r="B91" t="s">
        <v>125</v>
      </c>
      <c r="C91" t="s">
        <v>44</v>
      </c>
      <c r="D91" t="s">
        <v>26</v>
      </c>
      <c r="E91">
        <v>1</v>
      </c>
      <c r="F91">
        <v>383</v>
      </c>
      <c r="G91">
        <v>383</v>
      </c>
      <c r="H91" t="s">
        <v>37</v>
      </c>
      <c r="I91" t="s">
        <v>19</v>
      </c>
      <c r="J91" t="s">
        <v>20</v>
      </c>
      <c r="K91" s="6"/>
      <c r="L91" s="6"/>
      <c r="M91" s="13"/>
    </row>
    <row r="92" spans="1:13" x14ac:dyDescent="0.35">
      <c r="A92">
        <v>1091</v>
      </c>
      <c r="B92" t="s">
        <v>126</v>
      </c>
      <c r="C92" t="s">
        <v>11</v>
      </c>
      <c r="D92" t="s">
        <v>12</v>
      </c>
      <c r="E92">
        <v>1</v>
      </c>
      <c r="F92">
        <v>61156</v>
      </c>
      <c r="G92">
        <v>61156</v>
      </c>
      <c r="H92" t="s">
        <v>13</v>
      </c>
      <c r="I92" t="s">
        <v>14</v>
      </c>
      <c r="J92" t="s">
        <v>20</v>
      </c>
      <c r="K92" s="6"/>
      <c r="L92" s="6"/>
      <c r="M92" s="13"/>
    </row>
    <row r="93" spans="1:13" x14ac:dyDescent="0.35">
      <c r="A93">
        <v>1092</v>
      </c>
      <c r="B93" t="s">
        <v>127</v>
      </c>
      <c r="C93" t="s">
        <v>17</v>
      </c>
      <c r="D93" t="s">
        <v>12</v>
      </c>
      <c r="E93">
        <v>1</v>
      </c>
      <c r="F93">
        <v>3607</v>
      </c>
      <c r="G93">
        <v>3607</v>
      </c>
      <c r="H93" t="s">
        <v>18</v>
      </c>
      <c r="I93" t="s">
        <v>32</v>
      </c>
      <c r="J93" t="s">
        <v>33</v>
      </c>
      <c r="K93" s="6"/>
      <c r="L93" s="6"/>
      <c r="M93" s="13"/>
    </row>
    <row r="94" spans="1:13" x14ac:dyDescent="0.35">
      <c r="A94">
        <v>1093</v>
      </c>
      <c r="B94" t="s">
        <v>128</v>
      </c>
      <c r="C94" t="s">
        <v>22</v>
      </c>
      <c r="D94" t="s">
        <v>23</v>
      </c>
      <c r="E94">
        <v>3</v>
      </c>
      <c r="F94">
        <v>3055</v>
      </c>
      <c r="G94">
        <v>9165</v>
      </c>
      <c r="H94" t="s">
        <v>27</v>
      </c>
      <c r="I94" t="s">
        <v>14</v>
      </c>
      <c r="J94" t="s">
        <v>33</v>
      </c>
      <c r="K94" s="6"/>
      <c r="L94" s="6"/>
      <c r="M94" s="13"/>
    </row>
    <row r="95" spans="1:13" x14ac:dyDescent="0.35">
      <c r="A95">
        <v>1094</v>
      </c>
      <c r="B95" t="s">
        <v>129</v>
      </c>
      <c r="C95" t="s">
        <v>25</v>
      </c>
      <c r="D95" t="s">
        <v>26</v>
      </c>
      <c r="E95">
        <v>4</v>
      </c>
      <c r="F95">
        <v>18106</v>
      </c>
      <c r="G95">
        <v>72424</v>
      </c>
      <c r="H95" t="s">
        <v>27</v>
      </c>
      <c r="I95" t="s">
        <v>19</v>
      </c>
      <c r="J95" t="s">
        <v>33</v>
      </c>
      <c r="K95" s="6"/>
      <c r="L95" s="6"/>
      <c r="M95" s="13"/>
    </row>
    <row r="96" spans="1:13" x14ac:dyDescent="0.35">
      <c r="A96">
        <v>1095</v>
      </c>
      <c r="B96" t="s">
        <v>130</v>
      </c>
      <c r="C96" t="s">
        <v>29</v>
      </c>
      <c r="D96" t="s">
        <v>26</v>
      </c>
      <c r="E96">
        <v>5</v>
      </c>
      <c r="F96">
        <v>103</v>
      </c>
      <c r="G96">
        <v>515</v>
      </c>
      <c r="H96" t="s">
        <v>18</v>
      </c>
      <c r="I96" t="s">
        <v>14</v>
      </c>
      <c r="J96" t="s">
        <v>20</v>
      </c>
      <c r="K96" s="6"/>
      <c r="L96" s="6"/>
      <c r="M96" s="13"/>
    </row>
    <row r="97" spans="1:13" x14ac:dyDescent="0.35">
      <c r="A97">
        <v>1096</v>
      </c>
      <c r="B97" t="s">
        <v>131</v>
      </c>
      <c r="C97" t="s">
        <v>31</v>
      </c>
      <c r="D97" t="s">
        <v>12</v>
      </c>
      <c r="E97">
        <v>1</v>
      </c>
      <c r="F97">
        <v>13217</v>
      </c>
      <c r="G97">
        <v>13217</v>
      </c>
      <c r="H97" t="s">
        <v>27</v>
      </c>
      <c r="I97" t="s">
        <v>32</v>
      </c>
      <c r="J97" t="s">
        <v>15</v>
      </c>
      <c r="K97" s="6"/>
      <c r="L97" s="6"/>
      <c r="M97" s="13"/>
    </row>
    <row r="98" spans="1:13" x14ac:dyDescent="0.35">
      <c r="A98">
        <v>1097</v>
      </c>
      <c r="B98" t="s">
        <v>132</v>
      </c>
      <c r="C98" t="s">
        <v>35</v>
      </c>
      <c r="D98" t="s">
        <v>36</v>
      </c>
      <c r="E98">
        <v>2</v>
      </c>
      <c r="F98">
        <v>511</v>
      </c>
      <c r="G98">
        <v>1022</v>
      </c>
      <c r="H98" t="s">
        <v>37</v>
      </c>
      <c r="I98" t="s">
        <v>14</v>
      </c>
      <c r="J98" t="s">
        <v>33</v>
      </c>
      <c r="K98" s="6"/>
      <c r="L98" s="6"/>
      <c r="M98" s="13"/>
    </row>
    <row r="99" spans="1:13" x14ac:dyDescent="0.35">
      <c r="A99">
        <v>1098</v>
      </c>
      <c r="B99" t="s">
        <v>133</v>
      </c>
      <c r="C99" t="s">
        <v>39</v>
      </c>
      <c r="D99" t="s">
        <v>23</v>
      </c>
      <c r="E99">
        <v>2</v>
      </c>
      <c r="F99">
        <v>513</v>
      </c>
      <c r="G99">
        <v>1026</v>
      </c>
      <c r="H99" t="s">
        <v>51</v>
      </c>
      <c r="I99" t="s">
        <v>14</v>
      </c>
      <c r="J99" t="s">
        <v>20</v>
      </c>
      <c r="K99" s="6"/>
      <c r="L99" s="6"/>
      <c r="M99" s="13"/>
    </row>
    <row r="100" spans="1:13" x14ac:dyDescent="0.35">
      <c r="A100">
        <v>1099</v>
      </c>
      <c r="B100" t="s">
        <v>134</v>
      </c>
      <c r="C100" t="s">
        <v>42</v>
      </c>
      <c r="D100" t="s">
        <v>12</v>
      </c>
      <c r="E100">
        <v>2</v>
      </c>
      <c r="F100">
        <v>6283</v>
      </c>
      <c r="G100">
        <v>12566</v>
      </c>
      <c r="H100" t="s">
        <v>13</v>
      </c>
      <c r="I100" t="s">
        <v>14</v>
      </c>
      <c r="J100" t="s">
        <v>20</v>
      </c>
      <c r="K100" s="6"/>
      <c r="L100" s="6"/>
      <c r="M100" s="13"/>
    </row>
    <row r="101" spans="1:13" x14ac:dyDescent="0.35">
      <c r="A101">
        <v>1100</v>
      </c>
      <c r="B101" t="s">
        <v>135</v>
      </c>
      <c r="C101" t="s">
        <v>44</v>
      </c>
      <c r="D101" t="s">
        <v>26</v>
      </c>
      <c r="E101">
        <v>4</v>
      </c>
      <c r="F101">
        <v>552</v>
      </c>
      <c r="G101">
        <v>2208</v>
      </c>
      <c r="H101" t="s">
        <v>18</v>
      </c>
      <c r="I101" t="s">
        <v>14</v>
      </c>
      <c r="J101" t="s">
        <v>33</v>
      </c>
      <c r="K101" s="6"/>
      <c r="L101" s="6"/>
      <c r="M101" s="13"/>
    </row>
    <row r="102" spans="1:13" x14ac:dyDescent="0.35">
      <c r="A102">
        <v>1101</v>
      </c>
      <c r="B102" t="s">
        <v>136</v>
      </c>
      <c r="C102" t="s">
        <v>11</v>
      </c>
      <c r="D102" t="s">
        <v>12</v>
      </c>
      <c r="E102">
        <v>1</v>
      </c>
      <c r="F102">
        <v>56441</v>
      </c>
      <c r="G102">
        <v>56441</v>
      </c>
      <c r="H102" t="s">
        <v>13</v>
      </c>
      <c r="I102" t="s">
        <v>32</v>
      </c>
      <c r="J102" t="s">
        <v>15</v>
      </c>
      <c r="K102" s="6"/>
      <c r="L102" s="6"/>
      <c r="M102" s="13"/>
    </row>
    <row r="103" spans="1:13" x14ac:dyDescent="0.35">
      <c r="A103">
        <v>1102</v>
      </c>
      <c r="B103" t="s">
        <v>137</v>
      </c>
      <c r="C103" t="s">
        <v>17</v>
      </c>
      <c r="D103" t="s">
        <v>12</v>
      </c>
      <c r="E103">
        <v>2</v>
      </c>
      <c r="F103">
        <v>4833</v>
      </c>
      <c r="G103">
        <v>9666</v>
      </c>
      <c r="H103" t="s">
        <v>37</v>
      </c>
      <c r="I103" t="s">
        <v>14</v>
      </c>
      <c r="J103" t="s">
        <v>20</v>
      </c>
      <c r="K103" s="6"/>
      <c r="L103" s="6"/>
      <c r="M103" s="13"/>
    </row>
    <row r="104" spans="1:13" x14ac:dyDescent="0.35">
      <c r="A104">
        <v>1103</v>
      </c>
      <c r="B104" t="s">
        <v>138</v>
      </c>
      <c r="C104" t="s">
        <v>22</v>
      </c>
      <c r="D104" t="s">
        <v>23</v>
      </c>
      <c r="E104">
        <v>1</v>
      </c>
      <c r="F104">
        <v>1314</v>
      </c>
      <c r="G104">
        <v>1314</v>
      </c>
      <c r="H104" t="s">
        <v>37</v>
      </c>
      <c r="I104" t="s">
        <v>14</v>
      </c>
      <c r="J104" t="s">
        <v>15</v>
      </c>
      <c r="K104" s="6"/>
      <c r="L104" s="6"/>
      <c r="M104" s="13"/>
    </row>
    <row r="105" spans="1:13" x14ac:dyDescent="0.35">
      <c r="A105">
        <v>1104</v>
      </c>
      <c r="B105" t="s">
        <v>139</v>
      </c>
      <c r="C105" t="s">
        <v>25</v>
      </c>
      <c r="D105" t="s">
        <v>26</v>
      </c>
      <c r="E105">
        <v>1</v>
      </c>
      <c r="F105">
        <v>5201</v>
      </c>
      <c r="G105">
        <v>5201</v>
      </c>
      <c r="H105" t="s">
        <v>13</v>
      </c>
      <c r="I105" t="s">
        <v>19</v>
      </c>
      <c r="J105" t="s">
        <v>33</v>
      </c>
      <c r="K105" s="6"/>
      <c r="L105" s="6"/>
      <c r="M105" s="13"/>
    </row>
    <row r="106" spans="1:13" x14ac:dyDescent="0.35">
      <c r="A106">
        <v>1105</v>
      </c>
      <c r="B106" t="s">
        <v>140</v>
      </c>
      <c r="C106" t="s">
        <v>29</v>
      </c>
      <c r="D106" t="s">
        <v>26</v>
      </c>
      <c r="E106">
        <v>2</v>
      </c>
      <c r="F106">
        <v>469</v>
      </c>
      <c r="G106">
        <v>938</v>
      </c>
      <c r="H106" t="s">
        <v>13</v>
      </c>
      <c r="I106" t="s">
        <v>19</v>
      </c>
      <c r="J106" t="s">
        <v>15</v>
      </c>
      <c r="K106" s="6"/>
      <c r="L106" s="6"/>
      <c r="M106" s="13"/>
    </row>
    <row r="107" spans="1:13" x14ac:dyDescent="0.35">
      <c r="A107">
        <v>1106</v>
      </c>
      <c r="B107" t="s">
        <v>141</v>
      </c>
      <c r="C107" t="s">
        <v>31</v>
      </c>
      <c r="D107" t="s">
        <v>12</v>
      </c>
      <c r="E107">
        <v>2</v>
      </c>
      <c r="F107">
        <v>24448</v>
      </c>
      <c r="G107">
        <v>48896</v>
      </c>
      <c r="H107" t="s">
        <v>27</v>
      </c>
      <c r="I107" t="s">
        <v>19</v>
      </c>
      <c r="J107" t="s">
        <v>20</v>
      </c>
      <c r="K107" s="6"/>
      <c r="L107" s="6"/>
      <c r="M107" s="13"/>
    </row>
    <row r="108" spans="1:13" x14ac:dyDescent="0.35">
      <c r="A108">
        <v>1107</v>
      </c>
      <c r="B108" t="s">
        <v>142</v>
      </c>
      <c r="C108" t="s">
        <v>35</v>
      </c>
      <c r="D108" t="s">
        <v>36</v>
      </c>
      <c r="E108">
        <v>3</v>
      </c>
      <c r="F108">
        <v>378</v>
      </c>
      <c r="G108">
        <v>1134</v>
      </c>
      <c r="H108" t="s">
        <v>51</v>
      </c>
      <c r="I108" t="s">
        <v>19</v>
      </c>
      <c r="J108" t="s">
        <v>20</v>
      </c>
      <c r="K108" s="6"/>
      <c r="L108" s="6"/>
      <c r="M108" s="13"/>
    </row>
    <row r="109" spans="1:13" x14ac:dyDescent="0.35">
      <c r="A109">
        <v>1108</v>
      </c>
      <c r="B109" t="s">
        <v>143</v>
      </c>
      <c r="C109" t="s">
        <v>39</v>
      </c>
      <c r="D109" t="s">
        <v>23</v>
      </c>
      <c r="E109">
        <v>1</v>
      </c>
      <c r="F109">
        <v>1310</v>
      </c>
      <c r="G109">
        <v>1310</v>
      </c>
      <c r="H109" t="s">
        <v>51</v>
      </c>
      <c r="I109" t="s">
        <v>19</v>
      </c>
      <c r="J109" t="s">
        <v>20</v>
      </c>
      <c r="K109" s="6"/>
      <c r="L109" s="6"/>
      <c r="M109" s="13"/>
    </row>
    <row r="110" spans="1:13" x14ac:dyDescent="0.35">
      <c r="A110">
        <v>1109</v>
      </c>
      <c r="B110" t="s">
        <v>144</v>
      </c>
      <c r="C110" t="s">
        <v>42</v>
      </c>
      <c r="D110" t="s">
        <v>12</v>
      </c>
      <c r="E110">
        <v>1</v>
      </c>
      <c r="F110">
        <v>5590</v>
      </c>
      <c r="G110">
        <v>5590</v>
      </c>
      <c r="H110" t="s">
        <v>51</v>
      </c>
      <c r="I110" t="s">
        <v>32</v>
      </c>
      <c r="J110" t="s">
        <v>33</v>
      </c>
      <c r="K110" s="6"/>
      <c r="L110" s="6"/>
      <c r="M110" s="13"/>
    </row>
    <row r="111" spans="1:13" x14ac:dyDescent="0.35">
      <c r="A111">
        <v>1110</v>
      </c>
      <c r="B111" t="s">
        <v>145</v>
      </c>
      <c r="C111" t="s">
        <v>44</v>
      </c>
      <c r="D111" t="s">
        <v>26</v>
      </c>
      <c r="E111">
        <v>3</v>
      </c>
      <c r="F111">
        <v>405</v>
      </c>
      <c r="G111">
        <v>1215</v>
      </c>
      <c r="H111" t="s">
        <v>18</v>
      </c>
      <c r="I111" t="s">
        <v>14</v>
      </c>
      <c r="J111" t="s">
        <v>33</v>
      </c>
      <c r="K111" s="6"/>
      <c r="L111" s="6"/>
      <c r="M111" s="13"/>
    </row>
    <row r="112" spans="1:13" x14ac:dyDescent="0.35">
      <c r="A112">
        <v>1111</v>
      </c>
      <c r="B112" t="s">
        <v>146</v>
      </c>
      <c r="C112" t="s">
        <v>11</v>
      </c>
      <c r="D112" t="s">
        <v>12</v>
      </c>
      <c r="E112">
        <v>1</v>
      </c>
      <c r="F112">
        <v>51984</v>
      </c>
      <c r="G112">
        <v>51984</v>
      </c>
      <c r="H112" t="s">
        <v>40</v>
      </c>
      <c r="I112" t="s">
        <v>14</v>
      </c>
      <c r="J112" t="s">
        <v>33</v>
      </c>
      <c r="K112" s="6"/>
      <c r="L112" s="6"/>
      <c r="M112" s="13"/>
    </row>
    <row r="113" spans="1:13" x14ac:dyDescent="0.35">
      <c r="A113">
        <v>1112</v>
      </c>
      <c r="B113" t="s">
        <v>147</v>
      </c>
      <c r="C113" t="s">
        <v>17</v>
      </c>
      <c r="D113" t="s">
        <v>12</v>
      </c>
      <c r="E113">
        <v>3</v>
      </c>
      <c r="F113">
        <v>2766</v>
      </c>
      <c r="G113">
        <v>8298</v>
      </c>
      <c r="H113" t="s">
        <v>13</v>
      </c>
      <c r="I113" t="s">
        <v>32</v>
      </c>
      <c r="J113" t="s">
        <v>33</v>
      </c>
      <c r="K113" s="6"/>
      <c r="L113" s="6"/>
      <c r="M113" s="13"/>
    </row>
    <row r="114" spans="1:13" x14ac:dyDescent="0.35">
      <c r="A114">
        <v>1113</v>
      </c>
      <c r="B114" t="s">
        <v>148</v>
      </c>
      <c r="C114" t="s">
        <v>22</v>
      </c>
      <c r="D114" t="s">
        <v>23</v>
      </c>
      <c r="E114">
        <v>3</v>
      </c>
      <c r="F114">
        <v>2625</v>
      </c>
      <c r="G114">
        <v>7875</v>
      </c>
      <c r="H114" t="s">
        <v>51</v>
      </c>
      <c r="I114" t="s">
        <v>14</v>
      </c>
      <c r="J114" t="s">
        <v>20</v>
      </c>
      <c r="K114" s="6"/>
      <c r="L114" s="6"/>
      <c r="M114" s="13"/>
    </row>
    <row r="115" spans="1:13" x14ac:dyDescent="0.35">
      <c r="A115">
        <v>1114</v>
      </c>
      <c r="B115" t="s">
        <v>149</v>
      </c>
      <c r="C115" t="s">
        <v>25</v>
      </c>
      <c r="D115" t="s">
        <v>26</v>
      </c>
      <c r="E115">
        <v>2</v>
      </c>
      <c r="F115">
        <v>2573</v>
      </c>
      <c r="G115">
        <v>5146</v>
      </c>
      <c r="H115" t="s">
        <v>27</v>
      </c>
      <c r="I115" t="s">
        <v>32</v>
      </c>
      <c r="J115" t="s">
        <v>20</v>
      </c>
      <c r="K115" s="6"/>
      <c r="L115" s="6"/>
      <c r="M115" s="13"/>
    </row>
    <row r="116" spans="1:13" x14ac:dyDescent="0.35">
      <c r="A116">
        <v>1115</v>
      </c>
      <c r="B116" t="s">
        <v>150</v>
      </c>
      <c r="C116" t="s">
        <v>29</v>
      </c>
      <c r="D116" t="s">
        <v>26</v>
      </c>
      <c r="E116">
        <v>2</v>
      </c>
      <c r="F116">
        <v>798</v>
      </c>
      <c r="G116">
        <v>1596</v>
      </c>
      <c r="H116" t="s">
        <v>18</v>
      </c>
      <c r="I116" t="s">
        <v>14</v>
      </c>
      <c r="J116" t="s">
        <v>33</v>
      </c>
      <c r="K116" s="6"/>
      <c r="L116" s="6"/>
      <c r="M116" s="13"/>
    </row>
    <row r="117" spans="1:13" x14ac:dyDescent="0.35">
      <c r="A117">
        <v>1116</v>
      </c>
      <c r="B117" t="s">
        <v>151</v>
      </c>
      <c r="C117" t="s">
        <v>31</v>
      </c>
      <c r="D117" t="s">
        <v>12</v>
      </c>
      <c r="E117">
        <v>2</v>
      </c>
      <c r="F117">
        <v>31517</v>
      </c>
      <c r="G117">
        <v>63034</v>
      </c>
      <c r="H117" t="s">
        <v>51</v>
      </c>
      <c r="I117" t="s">
        <v>14</v>
      </c>
      <c r="J117" t="s">
        <v>15</v>
      </c>
      <c r="K117" s="6"/>
      <c r="L117" s="6"/>
      <c r="M117" s="13"/>
    </row>
    <row r="118" spans="1:13" x14ac:dyDescent="0.35">
      <c r="A118">
        <v>1117</v>
      </c>
      <c r="B118" t="s">
        <v>152</v>
      </c>
      <c r="C118" t="s">
        <v>35</v>
      </c>
      <c r="D118" t="s">
        <v>36</v>
      </c>
      <c r="E118">
        <v>1</v>
      </c>
      <c r="F118">
        <v>343</v>
      </c>
      <c r="G118">
        <v>343</v>
      </c>
      <c r="H118" t="s">
        <v>13</v>
      </c>
      <c r="I118" t="s">
        <v>32</v>
      </c>
      <c r="J118" t="s">
        <v>20</v>
      </c>
      <c r="K118" s="6"/>
      <c r="L118" s="6"/>
      <c r="M118" s="13"/>
    </row>
    <row r="119" spans="1:13" x14ac:dyDescent="0.35">
      <c r="A119">
        <v>1118</v>
      </c>
      <c r="B119" t="s">
        <v>153</v>
      </c>
      <c r="C119" t="s">
        <v>39</v>
      </c>
      <c r="D119" t="s">
        <v>23</v>
      </c>
      <c r="E119">
        <v>3</v>
      </c>
      <c r="F119">
        <v>1021</v>
      </c>
      <c r="G119">
        <v>3063</v>
      </c>
      <c r="H119" t="s">
        <v>13</v>
      </c>
      <c r="I119" t="s">
        <v>32</v>
      </c>
      <c r="J119" t="s">
        <v>33</v>
      </c>
      <c r="K119" s="6"/>
      <c r="L119" s="6"/>
      <c r="M119" s="13"/>
    </row>
    <row r="120" spans="1:13" x14ac:dyDescent="0.35">
      <c r="A120">
        <v>1119</v>
      </c>
      <c r="B120" t="s">
        <v>154</v>
      </c>
      <c r="C120" t="s">
        <v>42</v>
      </c>
      <c r="D120" t="s">
        <v>12</v>
      </c>
      <c r="E120">
        <v>1</v>
      </c>
      <c r="F120">
        <v>8543</v>
      </c>
      <c r="G120">
        <v>8543</v>
      </c>
      <c r="H120" t="s">
        <v>51</v>
      </c>
      <c r="I120" t="s">
        <v>14</v>
      </c>
      <c r="J120" t="s">
        <v>15</v>
      </c>
      <c r="K120" s="6"/>
      <c r="L120" s="6"/>
      <c r="M120" s="13"/>
    </row>
    <row r="121" spans="1:13" x14ac:dyDescent="0.35">
      <c r="A121">
        <v>1120</v>
      </c>
      <c r="B121" t="s">
        <v>155</v>
      </c>
      <c r="C121" t="s">
        <v>44</v>
      </c>
      <c r="D121" t="s">
        <v>26</v>
      </c>
      <c r="E121">
        <v>2</v>
      </c>
      <c r="F121">
        <v>235</v>
      </c>
      <c r="G121">
        <v>470</v>
      </c>
      <c r="H121" t="s">
        <v>18</v>
      </c>
      <c r="I121" t="s">
        <v>32</v>
      </c>
      <c r="J121" t="s">
        <v>15</v>
      </c>
      <c r="K121" s="6"/>
      <c r="L121" s="6"/>
      <c r="M121" s="13"/>
    </row>
    <row r="122" spans="1:13" x14ac:dyDescent="0.35">
      <c r="A122">
        <v>1121</v>
      </c>
      <c r="B122" t="s">
        <v>156</v>
      </c>
      <c r="C122" t="s">
        <v>11</v>
      </c>
      <c r="D122" t="s">
        <v>12</v>
      </c>
      <c r="E122">
        <v>1</v>
      </c>
      <c r="F122">
        <v>51840</v>
      </c>
      <c r="G122">
        <v>51840</v>
      </c>
      <c r="H122" t="s">
        <v>18</v>
      </c>
      <c r="I122" t="s">
        <v>14</v>
      </c>
      <c r="J122" t="s">
        <v>33</v>
      </c>
      <c r="K122" s="6"/>
      <c r="L122" s="6"/>
      <c r="M122" s="13"/>
    </row>
    <row r="123" spans="1:13" x14ac:dyDescent="0.35">
      <c r="A123">
        <v>1122</v>
      </c>
      <c r="B123" t="s">
        <v>157</v>
      </c>
      <c r="C123" t="s">
        <v>17</v>
      </c>
      <c r="D123" t="s">
        <v>12</v>
      </c>
      <c r="E123">
        <v>2</v>
      </c>
      <c r="F123">
        <v>4435</v>
      </c>
      <c r="G123">
        <v>8870</v>
      </c>
      <c r="H123" t="s">
        <v>13</v>
      </c>
      <c r="I123" t="s">
        <v>14</v>
      </c>
      <c r="J123" t="s">
        <v>33</v>
      </c>
      <c r="K123" s="6"/>
      <c r="L123" s="6"/>
      <c r="M123" s="13"/>
    </row>
    <row r="124" spans="1:13" x14ac:dyDescent="0.35">
      <c r="A124">
        <v>1123</v>
      </c>
      <c r="B124" t="s">
        <v>158</v>
      </c>
      <c r="C124" t="s">
        <v>22</v>
      </c>
      <c r="D124" t="s">
        <v>23</v>
      </c>
      <c r="E124">
        <v>3</v>
      </c>
      <c r="F124">
        <v>2138</v>
      </c>
      <c r="G124">
        <v>6414</v>
      </c>
      <c r="H124" t="s">
        <v>13</v>
      </c>
      <c r="I124" t="s">
        <v>14</v>
      </c>
      <c r="J124" t="s">
        <v>15</v>
      </c>
      <c r="K124" s="6"/>
      <c r="L124" s="6"/>
      <c r="M124" s="13"/>
    </row>
    <row r="125" spans="1:13" x14ac:dyDescent="0.35">
      <c r="A125">
        <v>1124</v>
      </c>
      <c r="B125" t="s">
        <v>159</v>
      </c>
      <c r="C125" t="s">
        <v>25</v>
      </c>
      <c r="D125" t="s">
        <v>26</v>
      </c>
      <c r="E125">
        <v>5</v>
      </c>
      <c r="F125">
        <v>5434</v>
      </c>
      <c r="G125">
        <v>27170</v>
      </c>
      <c r="H125" t="s">
        <v>37</v>
      </c>
      <c r="I125" t="s">
        <v>14</v>
      </c>
      <c r="J125" t="s">
        <v>15</v>
      </c>
      <c r="K125" s="6"/>
      <c r="L125" s="6"/>
      <c r="M125" s="13"/>
    </row>
    <row r="126" spans="1:13" x14ac:dyDescent="0.35">
      <c r="A126">
        <v>1125</v>
      </c>
      <c r="B126" t="s">
        <v>160</v>
      </c>
      <c r="C126" t="s">
        <v>29</v>
      </c>
      <c r="D126" t="s">
        <v>26</v>
      </c>
      <c r="E126">
        <v>1</v>
      </c>
      <c r="F126">
        <v>961</v>
      </c>
      <c r="G126">
        <v>961</v>
      </c>
      <c r="H126" t="s">
        <v>13</v>
      </c>
      <c r="I126" t="s">
        <v>14</v>
      </c>
      <c r="J126" t="s">
        <v>20</v>
      </c>
      <c r="K126" s="6"/>
      <c r="L126" s="6"/>
      <c r="M126" s="13"/>
    </row>
    <row r="127" spans="1:13" x14ac:dyDescent="0.35">
      <c r="A127">
        <v>1126</v>
      </c>
      <c r="B127" t="s">
        <v>161</v>
      </c>
      <c r="C127" t="s">
        <v>31</v>
      </c>
      <c r="D127" t="s">
        <v>12</v>
      </c>
      <c r="E127">
        <v>2</v>
      </c>
      <c r="F127">
        <v>28891</v>
      </c>
      <c r="G127">
        <v>57782</v>
      </c>
      <c r="H127" t="s">
        <v>27</v>
      </c>
      <c r="I127" t="s">
        <v>19</v>
      </c>
      <c r="J127" t="s">
        <v>15</v>
      </c>
      <c r="K127" s="6"/>
      <c r="L127" s="6"/>
      <c r="M127" s="13"/>
    </row>
    <row r="128" spans="1:13" x14ac:dyDescent="0.35">
      <c r="A128">
        <v>1127</v>
      </c>
      <c r="B128" t="s">
        <v>162</v>
      </c>
      <c r="C128" t="s">
        <v>35</v>
      </c>
      <c r="D128" t="s">
        <v>36</v>
      </c>
      <c r="E128">
        <v>3</v>
      </c>
      <c r="F128">
        <v>433</v>
      </c>
      <c r="G128">
        <v>1299</v>
      </c>
      <c r="H128" t="s">
        <v>51</v>
      </c>
      <c r="I128" t="s">
        <v>14</v>
      </c>
      <c r="J128" t="s">
        <v>33</v>
      </c>
      <c r="K128" s="6"/>
      <c r="L128" s="6"/>
      <c r="M128" s="13"/>
    </row>
    <row r="129" spans="1:13" x14ac:dyDescent="0.35">
      <c r="A129">
        <v>1128</v>
      </c>
      <c r="B129" t="s">
        <v>163</v>
      </c>
      <c r="C129" t="s">
        <v>39</v>
      </c>
      <c r="D129" t="s">
        <v>23</v>
      </c>
      <c r="E129">
        <v>2</v>
      </c>
      <c r="F129">
        <v>912</v>
      </c>
      <c r="G129">
        <v>1824</v>
      </c>
      <c r="H129" t="s">
        <v>51</v>
      </c>
      <c r="I129" t="s">
        <v>14</v>
      </c>
      <c r="J129" t="s">
        <v>33</v>
      </c>
      <c r="K129" s="6"/>
      <c r="L129" s="6"/>
      <c r="M129" s="13"/>
    </row>
    <row r="130" spans="1:13" x14ac:dyDescent="0.35">
      <c r="A130">
        <v>1129</v>
      </c>
      <c r="B130" t="s">
        <v>164</v>
      </c>
      <c r="C130" t="s">
        <v>42</v>
      </c>
      <c r="D130" t="s">
        <v>12</v>
      </c>
      <c r="E130">
        <v>2</v>
      </c>
      <c r="F130">
        <v>12792</v>
      </c>
      <c r="G130">
        <v>25584</v>
      </c>
      <c r="H130" t="s">
        <v>13</v>
      </c>
      <c r="I130" t="s">
        <v>19</v>
      </c>
      <c r="J130" t="s">
        <v>15</v>
      </c>
      <c r="K130" s="6"/>
      <c r="L130" s="6"/>
      <c r="M130" s="13"/>
    </row>
    <row r="131" spans="1:13" x14ac:dyDescent="0.35">
      <c r="A131">
        <v>1130</v>
      </c>
      <c r="B131" t="s">
        <v>165</v>
      </c>
      <c r="C131" t="s">
        <v>44</v>
      </c>
      <c r="D131" t="s">
        <v>26</v>
      </c>
      <c r="E131">
        <v>3</v>
      </c>
      <c r="F131">
        <v>150</v>
      </c>
      <c r="G131">
        <v>450</v>
      </c>
      <c r="H131" t="s">
        <v>40</v>
      </c>
      <c r="I131" t="s">
        <v>19</v>
      </c>
      <c r="J131" t="s">
        <v>33</v>
      </c>
      <c r="K131" s="6"/>
      <c r="L131" s="6"/>
      <c r="M131" s="13"/>
    </row>
    <row r="132" spans="1:13" x14ac:dyDescent="0.35">
      <c r="A132">
        <v>1131</v>
      </c>
      <c r="B132" t="s">
        <v>166</v>
      </c>
      <c r="C132" t="s">
        <v>11</v>
      </c>
      <c r="D132" t="s">
        <v>12</v>
      </c>
      <c r="E132">
        <v>1</v>
      </c>
      <c r="F132">
        <v>61259</v>
      </c>
      <c r="G132">
        <v>61259</v>
      </c>
      <c r="H132" t="s">
        <v>37</v>
      </c>
      <c r="I132" t="s">
        <v>19</v>
      </c>
      <c r="J132" t="s">
        <v>15</v>
      </c>
      <c r="K132" s="6"/>
      <c r="L132" s="6"/>
      <c r="M132" s="13"/>
    </row>
    <row r="133" spans="1:13" x14ac:dyDescent="0.35">
      <c r="A133">
        <v>1132</v>
      </c>
      <c r="B133" t="s">
        <v>167</v>
      </c>
      <c r="C133" t="s">
        <v>17</v>
      </c>
      <c r="D133" t="s">
        <v>12</v>
      </c>
      <c r="E133">
        <v>1</v>
      </c>
      <c r="F133">
        <v>2998</v>
      </c>
      <c r="G133">
        <v>2998</v>
      </c>
      <c r="H133" t="s">
        <v>13</v>
      </c>
      <c r="I133" t="s">
        <v>14</v>
      </c>
      <c r="J133" t="s">
        <v>15</v>
      </c>
      <c r="K133" s="6"/>
      <c r="L133" s="6"/>
      <c r="M133" s="13"/>
    </row>
    <row r="134" spans="1:13" x14ac:dyDescent="0.35">
      <c r="A134">
        <v>1133</v>
      </c>
      <c r="B134" t="s">
        <v>168</v>
      </c>
      <c r="C134" t="s">
        <v>22</v>
      </c>
      <c r="D134" t="s">
        <v>23</v>
      </c>
      <c r="E134">
        <v>3</v>
      </c>
      <c r="F134">
        <v>1682</v>
      </c>
      <c r="G134">
        <v>5046</v>
      </c>
      <c r="H134" t="s">
        <v>37</v>
      </c>
      <c r="I134" t="s">
        <v>19</v>
      </c>
      <c r="J134" t="s">
        <v>20</v>
      </c>
      <c r="K134" s="6"/>
      <c r="L134" s="6"/>
      <c r="M134" s="13"/>
    </row>
    <row r="135" spans="1:13" x14ac:dyDescent="0.35">
      <c r="A135">
        <v>1134</v>
      </c>
      <c r="B135" t="s">
        <v>169</v>
      </c>
      <c r="C135" t="s">
        <v>25</v>
      </c>
      <c r="D135" t="s">
        <v>26</v>
      </c>
      <c r="E135">
        <v>1</v>
      </c>
      <c r="F135">
        <v>12576</v>
      </c>
      <c r="G135">
        <v>12576</v>
      </c>
      <c r="H135" t="s">
        <v>13</v>
      </c>
      <c r="I135" t="s">
        <v>14</v>
      </c>
      <c r="J135" t="s">
        <v>20</v>
      </c>
      <c r="K135" s="6"/>
      <c r="L135" s="6"/>
      <c r="M135" s="13"/>
    </row>
    <row r="136" spans="1:13" x14ac:dyDescent="0.35">
      <c r="A136">
        <v>1135</v>
      </c>
      <c r="B136" t="s">
        <v>170</v>
      </c>
      <c r="C136" t="s">
        <v>29</v>
      </c>
      <c r="D136" t="s">
        <v>26</v>
      </c>
      <c r="E136">
        <v>1</v>
      </c>
      <c r="F136">
        <v>740</v>
      </c>
      <c r="G136">
        <v>740</v>
      </c>
      <c r="H136" t="s">
        <v>51</v>
      </c>
      <c r="I136" t="s">
        <v>32</v>
      </c>
      <c r="J136" t="s">
        <v>33</v>
      </c>
      <c r="K136" s="6"/>
      <c r="L136" s="6"/>
      <c r="M136" s="13"/>
    </row>
    <row r="137" spans="1:13" x14ac:dyDescent="0.35">
      <c r="A137">
        <v>1136</v>
      </c>
      <c r="B137" t="s">
        <v>171</v>
      </c>
      <c r="C137" t="s">
        <v>31</v>
      </c>
      <c r="D137" t="s">
        <v>12</v>
      </c>
      <c r="E137">
        <v>2</v>
      </c>
      <c r="F137">
        <v>38690</v>
      </c>
      <c r="G137">
        <v>77380</v>
      </c>
      <c r="H137" t="s">
        <v>37</v>
      </c>
      <c r="I137" t="s">
        <v>19</v>
      </c>
      <c r="J137" t="s">
        <v>20</v>
      </c>
      <c r="K137" s="6"/>
      <c r="L137" s="6"/>
      <c r="M137" s="13"/>
    </row>
    <row r="138" spans="1:13" x14ac:dyDescent="0.35">
      <c r="A138">
        <v>1137</v>
      </c>
      <c r="B138" t="s">
        <v>172</v>
      </c>
      <c r="C138" t="s">
        <v>35</v>
      </c>
      <c r="D138" t="s">
        <v>36</v>
      </c>
      <c r="E138">
        <v>1</v>
      </c>
      <c r="F138">
        <v>309</v>
      </c>
      <c r="G138">
        <v>309</v>
      </c>
      <c r="H138" t="s">
        <v>51</v>
      </c>
      <c r="I138" t="s">
        <v>32</v>
      </c>
      <c r="J138" t="s">
        <v>15</v>
      </c>
      <c r="K138" s="6"/>
      <c r="L138" s="6"/>
      <c r="M138" s="13"/>
    </row>
    <row r="139" spans="1:13" x14ac:dyDescent="0.35">
      <c r="A139">
        <v>1138</v>
      </c>
      <c r="B139" t="s">
        <v>173</v>
      </c>
      <c r="C139" t="s">
        <v>39</v>
      </c>
      <c r="D139" t="s">
        <v>23</v>
      </c>
      <c r="E139">
        <v>3</v>
      </c>
      <c r="F139">
        <v>1670</v>
      </c>
      <c r="G139">
        <v>5010</v>
      </c>
      <c r="H139" t="s">
        <v>37</v>
      </c>
      <c r="I139" t="s">
        <v>32</v>
      </c>
      <c r="J139" t="s">
        <v>20</v>
      </c>
      <c r="K139" s="6"/>
      <c r="L139" s="6"/>
      <c r="M139" s="13"/>
    </row>
    <row r="140" spans="1:13" x14ac:dyDescent="0.35">
      <c r="A140">
        <v>1139</v>
      </c>
      <c r="B140" t="s">
        <v>174</v>
      </c>
      <c r="C140" t="s">
        <v>42</v>
      </c>
      <c r="D140" t="s">
        <v>12</v>
      </c>
      <c r="E140">
        <v>1</v>
      </c>
      <c r="F140">
        <v>13908</v>
      </c>
      <c r="G140">
        <v>13908</v>
      </c>
      <c r="H140" t="s">
        <v>27</v>
      </c>
      <c r="I140" t="s">
        <v>14</v>
      </c>
      <c r="J140" t="s">
        <v>15</v>
      </c>
      <c r="K140" s="6"/>
      <c r="L140" s="6"/>
      <c r="M140" s="13"/>
    </row>
    <row r="141" spans="1:13" x14ac:dyDescent="0.35">
      <c r="A141">
        <v>1140</v>
      </c>
      <c r="B141" t="s">
        <v>175</v>
      </c>
      <c r="C141" t="s">
        <v>44</v>
      </c>
      <c r="D141" t="s">
        <v>26</v>
      </c>
      <c r="E141">
        <v>1</v>
      </c>
      <c r="F141">
        <v>619</v>
      </c>
      <c r="G141">
        <v>619</v>
      </c>
      <c r="H141" t="s">
        <v>27</v>
      </c>
      <c r="I141" t="s">
        <v>19</v>
      </c>
      <c r="J141" t="s">
        <v>33</v>
      </c>
      <c r="K141" s="6"/>
      <c r="L141" s="6"/>
      <c r="M141" s="13"/>
    </row>
    <row r="142" spans="1:13" x14ac:dyDescent="0.35">
      <c r="A142">
        <v>1141</v>
      </c>
      <c r="B142" t="s">
        <v>176</v>
      </c>
      <c r="C142" t="s">
        <v>11</v>
      </c>
      <c r="D142" t="s">
        <v>12</v>
      </c>
      <c r="E142">
        <v>1</v>
      </c>
      <c r="F142">
        <v>58661</v>
      </c>
      <c r="G142">
        <v>58661</v>
      </c>
      <c r="H142" t="s">
        <v>18</v>
      </c>
      <c r="I142" t="s">
        <v>14</v>
      </c>
      <c r="J142" t="s">
        <v>33</v>
      </c>
      <c r="K142" s="6"/>
      <c r="L142" s="6"/>
      <c r="M142" s="13"/>
    </row>
    <row r="143" spans="1:13" x14ac:dyDescent="0.35">
      <c r="A143">
        <v>1142</v>
      </c>
      <c r="B143" t="s">
        <v>177</v>
      </c>
      <c r="C143" t="s">
        <v>17</v>
      </c>
      <c r="D143" t="s">
        <v>12</v>
      </c>
      <c r="E143">
        <v>3</v>
      </c>
      <c r="F143">
        <v>3441</v>
      </c>
      <c r="G143">
        <v>10323</v>
      </c>
      <c r="H143" t="s">
        <v>27</v>
      </c>
      <c r="I143" t="s">
        <v>19</v>
      </c>
      <c r="J143" t="s">
        <v>33</v>
      </c>
      <c r="K143" s="6"/>
      <c r="L143" s="6"/>
      <c r="M143" s="13"/>
    </row>
    <row r="144" spans="1:13" x14ac:dyDescent="0.35">
      <c r="A144">
        <v>1143</v>
      </c>
      <c r="B144" t="s">
        <v>178</v>
      </c>
      <c r="C144" t="s">
        <v>22</v>
      </c>
      <c r="D144" t="s">
        <v>23</v>
      </c>
      <c r="E144">
        <v>2</v>
      </c>
      <c r="F144">
        <v>4503</v>
      </c>
      <c r="G144">
        <v>9006</v>
      </c>
      <c r="H144" t="s">
        <v>18</v>
      </c>
      <c r="I144" t="s">
        <v>19</v>
      </c>
      <c r="J144" t="s">
        <v>15</v>
      </c>
      <c r="K144" s="6"/>
      <c r="L144" s="6"/>
      <c r="M144" s="13"/>
    </row>
    <row r="145" spans="1:13" x14ac:dyDescent="0.35">
      <c r="A145">
        <v>1144</v>
      </c>
      <c r="B145" t="s">
        <v>179</v>
      </c>
      <c r="C145" t="s">
        <v>25</v>
      </c>
      <c r="D145" t="s">
        <v>26</v>
      </c>
      <c r="E145">
        <v>5</v>
      </c>
      <c r="F145">
        <v>10835</v>
      </c>
      <c r="G145">
        <v>54175</v>
      </c>
      <c r="H145" t="s">
        <v>13</v>
      </c>
      <c r="I145" t="s">
        <v>32</v>
      </c>
      <c r="J145" t="s">
        <v>20</v>
      </c>
      <c r="K145" s="6"/>
      <c r="L145" s="6"/>
      <c r="M145" s="13"/>
    </row>
    <row r="146" spans="1:13" x14ac:dyDescent="0.35">
      <c r="A146">
        <v>1145</v>
      </c>
      <c r="B146" t="s">
        <v>180</v>
      </c>
      <c r="C146" t="s">
        <v>29</v>
      </c>
      <c r="D146" t="s">
        <v>26</v>
      </c>
      <c r="E146">
        <v>2</v>
      </c>
      <c r="F146">
        <v>334</v>
      </c>
      <c r="G146">
        <v>668</v>
      </c>
      <c r="H146" t="s">
        <v>27</v>
      </c>
      <c r="I146" t="s">
        <v>32</v>
      </c>
      <c r="J146" t="s">
        <v>20</v>
      </c>
      <c r="K146" s="6"/>
      <c r="L146" s="6"/>
      <c r="M146" s="13"/>
    </row>
    <row r="147" spans="1:13" x14ac:dyDescent="0.35">
      <c r="A147">
        <v>1146</v>
      </c>
      <c r="B147" t="s">
        <v>181</v>
      </c>
      <c r="C147" t="s">
        <v>31</v>
      </c>
      <c r="D147" t="s">
        <v>12</v>
      </c>
      <c r="E147">
        <v>2</v>
      </c>
      <c r="F147">
        <v>14992</v>
      </c>
      <c r="G147">
        <v>29984</v>
      </c>
      <c r="H147" t="s">
        <v>18</v>
      </c>
      <c r="I147" t="s">
        <v>14</v>
      </c>
      <c r="J147" t="s">
        <v>33</v>
      </c>
      <c r="K147" s="6"/>
      <c r="L147" s="6"/>
      <c r="M147" s="13"/>
    </row>
    <row r="148" spans="1:13" x14ac:dyDescent="0.35">
      <c r="A148">
        <v>1147</v>
      </c>
      <c r="B148" t="s">
        <v>182</v>
      </c>
      <c r="C148" t="s">
        <v>35</v>
      </c>
      <c r="D148" t="s">
        <v>36</v>
      </c>
      <c r="E148">
        <v>3</v>
      </c>
      <c r="F148">
        <v>385</v>
      </c>
      <c r="G148">
        <v>1155</v>
      </c>
      <c r="H148" t="s">
        <v>18</v>
      </c>
      <c r="I148" t="s">
        <v>19</v>
      </c>
      <c r="J148" t="s">
        <v>15</v>
      </c>
      <c r="K148" s="6"/>
      <c r="L148" s="6"/>
      <c r="M148" s="13"/>
    </row>
    <row r="149" spans="1:13" x14ac:dyDescent="0.35">
      <c r="A149">
        <v>1148</v>
      </c>
      <c r="B149" t="s">
        <v>183</v>
      </c>
      <c r="C149" t="s">
        <v>39</v>
      </c>
      <c r="D149" t="s">
        <v>23</v>
      </c>
      <c r="E149">
        <v>1</v>
      </c>
      <c r="F149">
        <v>1196</v>
      </c>
      <c r="G149">
        <v>1196</v>
      </c>
      <c r="H149" t="s">
        <v>51</v>
      </c>
      <c r="I149" t="s">
        <v>32</v>
      </c>
      <c r="J149" t="s">
        <v>20</v>
      </c>
      <c r="K149" s="6"/>
      <c r="L149" s="6"/>
      <c r="M149" s="13"/>
    </row>
    <row r="150" spans="1:13" x14ac:dyDescent="0.35">
      <c r="A150">
        <v>1149</v>
      </c>
      <c r="B150" t="s">
        <v>184</v>
      </c>
      <c r="C150" t="s">
        <v>42</v>
      </c>
      <c r="D150" t="s">
        <v>12</v>
      </c>
      <c r="E150">
        <v>2</v>
      </c>
      <c r="F150">
        <v>4766</v>
      </c>
      <c r="G150">
        <v>9532</v>
      </c>
      <c r="H150" t="s">
        <v>40</v>
      </c>
      <c r="I150" t="s">
        <v>32</v>
      </c>
      <c r="J150" t="s">
        <v>15</v>
      </c>
      <c r="K150" s="6"/>
      <c r="L150" s="6"/>
      <c r="M150" s="13"/>
    </row>
    <row r="151" spans="1:13" x14ac:dyDescent="0.35">
      <c r="A151">
        <v>1150</v>
      </c>
      <c r="B151" t="s">
        <v>185</v>
      </c>
      <c r="C151" t="s">
        <v>44</v>
      </c>
      <c r="D151" t="s">
        <v>26</v>
      </c>
      <c r="E151">
        <v>4</v>
      </c>
      <c r="F151">
        <v>317</v>
      </c>
      <c r="G151">
        <v>1268</v>
      </c>
      <c r="H151" t="s">
        <v>13</v>
      </c>
      <c r="I151" t="s">
        <v>14</v>
      </c>
      <c r="J151" t="s">
        <v>33</v>
      </c>
      <c r="K151" s="6"/>
      <c r="L151" s="6"/>
      <c r="M151" s="13"/>
    </row>
    <row r="152" spans="1:13" x14ac:dyDescent="0.35">
      <c r="A152">
        <v>1151</v>
      </c>
      <c r="B152" t="s">
        <v>186</v>
      </c>
      <c r="C152" t="s">
        <v>11</v>
      </c>
      <c r="D152" t="s">
        <v>12</v>
      </c>
      <c r="E152">
        <v>2</v>
      </c>
      <c r="F152">
        <v>59735</v>
      </c>
      <c r="G152">
        <v>119470</v>
      </c>
      <c r="H152" t="s">
        <v>18</v>
      </c>
      <c r="I152" t="s">
        <v>32</v>
      </c>
      <c r="J152" t="s">
        <v>20</v>
      </c>
      <c r="K152" s="6"/>
      <c r="L152" s="6"/>
      <c r="M152" s="13"/>
    </row>
    <row r="153" spans="1:13" x14ac:dyDescent="0.35">
      <c r="A153">
        <v>1152</v>
      </c>
      <c r="B153" t="s">
        <v>187</v>
      </c>
      <c r="C153" t="s">
        <v>17</v>
      </c>
      <c r="D153" t="s">
        <v>12</v>
      </c>
      <c r="E153">
        <v>2</v>
      </c>
      <c r="F153">
        <v>3950</v>
      </c>
      <c r="G153">
        <v>7900</v>
      </c>
      <c r="H153" t="s">
        <v>27</v>
      </c>
      <c r="I153" t="s">
        <v>19</v>
      </c>
      <c r="J153" t="s">
        <v>20</v>
      </c>
      <c r="K153" s="6"/>
      <c r="L153" s="6"/>
      <c r="M153" s="13"/>
    </row>
    <row r="154" spans="1:13" x14ac:dyDescent="0.35">
      <c r="A154">
        <v>1153</v>
      </c>
      <c r="B154" t="s">
        <v>188</v>
      </c>
      <c r="C154" t="s">
        <v>22</v>
      </c>
      <c r="D154" t="s">
        <v>23</v>
      </c>
      <c r="E154">
        <v>2</v>
      </c>
      <c r="F154">
        <v>3263</v>
      </c>
      <c r="G154">
        <v>6526</v>
      </c>
      <c r="H154" t="s">
        <v>13</v>
      </c>
      <c r="I154" t="s">
        <v>19</v>
      </c>
      <c r="J154" t="s">
        <v>20</v>
      </c>
      <c r="K154" s="6"/>
      <c r="L154" s="6"/>
      <c r="M154" s="13"/>
    </row>
    <row r="155" spans="1:13" x14ac:dyDescent="0.35">
      <c r="A155">
        <v>1154</v>
      </c>
      <c r="B155" t="s">
        <v>189</v>
      </c>
      <c r="C155" t="s">
        <v>25</v>
      </c>
      <c r="D155" t="s">
        <v>26</v>
      </c>
      <c r="E155">
        <v>4</v>
      </c>
      <c r="F155">
        <v>8514</v>
      </c>
      <c r="G155">
        <v>34056</v>
      </c>
      <c r="H155" t="s">
        <v>18</v>
      </c>
      <c r="I155" t="s">
        <v>19</v>
      </c>
      <c r="J155" t="s">
        <v>33</v>
      </c>
      <c r="K155" s="6"/>
      <c r="L155" s="6"/>
      <c r="M155" s="13"/>
    </row>
    <row r="156" spans="1:13" x14ac:dyDescent="0.35">
      <c r="A156">
        <v>1155</v>
      </c>
      <c r="B156" t="s">
        <v>190</v>
      </c>
      <c r="C156" t="s">
        <v>29</v>
      </c>
      <c r="D156" t="s">
        <v>26</v>
      </c>
      <c r="E156">
        <v>2</v>
      </c>
      <c r="F156">
        <v>172</v>
      </c>
      <c r="G156">
        <v>344</v>
      </c>
      <c r="H156" t="s">
        <v>40</v>
      </c>
      <c r="I156" t="s">
        <v>14</v>
      </c>
      <c r="J156" t="s">
        <v>33</v>
      </c>
      <c r="K156" s="6"/>
      <c r="L156" s="6"/>
      <c r="M156" s="13"/>
    </row>
    <row r="157" spans="1:13" x14ac:dyDescent="0.35">
      <c r="A157">
        <v>1156</v>
      </c>
      <c r="B157" t="s">
        <v>191</v>
      </c>
      <c r="C157" t="s">
        <v>31</v>
      </c>
      <c r="D157" t="s">
        <v>12</v>
      </c>
      <c r="E157">
        <v>1</v>
      </c>
      <c r="F157">
        <v>21077</v>
      </c>
      <c r="G157">
        <v>21077</v>
      </c>
      <c r="H157" t="s">
        <v>40</v>
      </c>
      <c r="I157" t="s">
        <v>19</v>
      </c>
      <c r="J157" t="s">
        <v>20</v>
      </c>
      <c r="K157" s="6"/>
      <c r="L157" s="6"/>
      <c r="M157" s="13"/>
    </row>
    <row r="158" spans="1:13" x14ac:dyDescent="0.35">
      <c r="A158">
        <v>1157</v>
      </c>
      <c r="B158" t="s">
        <v>192</v>
      </c>
      <c r="C158" t="s">
        <v>35</v>
      </c>
      <c r="D158" t="s">
        <v>36</v>
      </c>
      <c r="E158">
        <v>5</v>
      </c>
      <c r="F158">
        <v>747</v>
      </c>
      <c r="G158">
        <v>3735</v>
      </c>
      <c r="H158" t="s">
        <v>40</v>
      </c>
      <c r="I158" t="s">
        <v>32</v>
      </c>
      <c r="J158" t="s">
        <v>33</v>
      </c>
      <c r="K158" s="6"/>
      <c r="L158" s="6"/>
      <c r="M158" s="13"/>
    </row>
    <row r="159" spans="1:13" x14ac:dyDescent="0.35">
      <c r="A159">
        <v>1158</v>
      </c>
      <c r="B159" t="s">
        <v>193</v>
      </c>
      <c r="C159" t="s">
        <v>39</v>
      </c>
      <c r="D159" t="s">
        <v>23</v>
      </c>
      <c r="E159">
        <v>2</v>
      </c>
      <c r="F159">
        <v>850</v>
      </c>
      <c r="G159">
        <v>1700</v>
      </c>
      <c r="H159" t="s">
        <v>27</v>
      </c>
      <c r="I159" t="s">
        <v>14</v>
      </c>
      <c r="J159" t="s">
        <v>15</v>
      </c>
      <c r="K159" s="6"/>
      <c r="L159" s="6"/>
      <c r="M159" s="13"/>
    </row>
    <row r="160" spans="1:13" x14ac:dyDescent="0.35">
      <c r="A160">
        <v>1159</v>
      </c>
      <c r="B160" t="s">
        <v>194</v>
      </c>
      <c r="C160" t="s">
        <v>42</v>
      </c>
      <c r="D160" t="s">
        <v>12</v>
      </c>
      <c r="E160">
        <v>2</v>
      </c>
      <c r="F160">
        <v>13771</v>
      </c>
      <c r="G160">
        <v>27542</v>
      </c>
      <c r="H160" t="s">
        <v>13</v>
      </c>
      <c r="I160" t="s">
        <v>14</v>
      </c>
      <c r="J160" t="s">
        <v>15</v>
      </c>
      <c r="K160" s="6"/>
      <c r="L160" s="6"/>
      <c r="M160" s="13"/>
    </row>
    <row r="161" spans="1:13" x14ac:dyDescent="0.35">
      <c r="A161">
        <v>1160</v>
      </c>
      <c r="B161" t="s">
        <v>195</v>
      </c>
      <c r="C161" t="s">
        <v>44</v>
      </c>
      <c r="D161" t="s">
        <v>26</v>
      </c>
      <c r="E161">
        <v>4</v>
      </c>
      <c r="F161">
        <v>258</v>
      </c>
      <c r="G161">
        <v>1032</v>
      </c>
      <c r="H161" t="s">
        <v>40</v>
      </c>
      <c r="I161" t="s">
        <v>19</v>
      </c>
      <c r="J161" t="s">
        <v>20</v>
      </c>
      <c r="K161" s="6"/>
      <c r="L161" s="6"/>
      <c r="M161" s="13"/>
    </row>
    <row r="162" spans="1:13" x14ac:dyDescent="0.35">
      <c r="A162">
        <v>1161</v>
      </c>
      <c r="B162" t="s">
        <v>196</v>
      </c>
      <c r="C162" t="s">
        <v>11</v>
      </c>
      <c r="D162" t="s">
        <v>12</v>
      </c>
      <c r="E162">
        <v>2</v>
      </c>
      <c r="F162">
        <v>44856</v>
      </c>
      <c r="G162">
        <v>89712</v>
      </c>
      <c r="H162" t="s">
        <v>51</v>
      </c>
      <c r="I162" t="s">
        <v>19</v>
      </c>
      <c r="J162" t="s">
        <v>33</v>
      </c>
      <c r="K162" s="6"/>
      <c r="L162" s="6"/>
      <c r="M162" s="13"/>
    </row>
    <row r="163" spans="1:13" x14ac:dyDescent="0.35">
      <c r="A163">
        <v>1162</v>
      </c>
      <c r="B163" t="s">
        <v>197</v>
      </c>
      <c r="C163" t="s">
        <v>17</v>
      </c>
      <c r="D163" t="s">
        <v>12</v>
      </c>
      <c r="E163">
        <v>3</v>
      </c>
      <c r="F163">
        <v>3161</v>
      </c>
      <c r="G163">
        <v>9483</v>
      </c>
      <c r="H163" t="s">
        <v>13</v>
      </c>
      <c r="I163" t="s">
        <v>19</v>
      </c>
      <c r="J163" t="s">
        <v>33</v>
      </c>
      <c r="K163" s="6"/>
      <c r="L163" s="6"/>
      <c r="M163" s="13"/>
    </row>
    <row r="164" spans="1:13" x14ac:dyDescent="0.35">
      <c r="A164">
        <v>1163</v>
      </c>
      <c r="B164" t="s">
        <v>198</v>
      </c>
      <c r="C164" t="s">
        <v>22</v>
      </c>
      <c r="D164" t="s">
        <v>23</v>
      </c>
      <c r="E164">
        <v>1</v>
      </c>
      <c r="F164">
        <v>4464</v>
      </c>
      <c r="G164">
        <v>4464</v>
      </c>
      <c r="H164" t="s">
        <v>13</v>
      </c>
      <c r="I164" t="s">
        <v>32</v>
      </c>
      <c r="J164" t="s">
        <v>33</v>
      </c>
      <c r="K164" s="6"/>
      <c r="L164" s="6"/>
      <c r="M164" s="13"/>
    </row>
    <row r="165" spans="1:13" x14ac:dyDescent="0.35">
      <c r="A165">
        <v>1164</v>
      </c>
      <c r="B165" t="s">
        <v>199</v>
      </c>
      <c r="C165" t="s">
        <v>25</v>
      </c>
      <c r="D165" t="s">
        <v>26</v>
      </c>
      <c r="E165">
        <v>1</v>
      </c>
      <c r="F165">
        <v>4758</v>
      </c>
      <c r="G165">
        <v>4758</v>
      </c>
      <c r="H165" t="s">
        <v>18</v>
      </c>
      <c r="I165" t="s">
        <v>32</v>
      </c>
      <c r="J165" t="s">
        <v>33</v>
      </c>
      <c r="K165" s="6"/>
      <c r="L165" s="6"/>
      <c r="M165" s="13"/>
    </row>
    <row r="166" spans="1:13" x14ac:dyDescent="0.35">
      <c r="A166">
        <v>1165</v>
      </c>
      <c r="B166" t="s">
        <v>200</v>
      </c>
      <c r="C166" t="s">
        <v>29</v>
      </c>
      <c r="D166" t="s">
        <v>26</v>
      </c>
      <c r="E166">
        <v>4</v>
      </c>
      <c r="F166">
        <v>490</v>
      </c>
      <c r="G166">
        <v>1960</v>
      </c>
      <c r="H166" t="s">
        <v>13</v>
      </c>
      <c r="I166" t="s">
        <v>32</v>
      </c>
      <c r="J166" t="s">
        <v>20</v>
      </c>
      <c r="K166" s="6"/>
      <c r="L166" s="6"/>
      <c r="M166" s="13"/>
    </row>
    <row r="167" spans="1:13" x14ac:dyDescent="0.35">
      <c r="A167">
        <v>1166</v>
      </c>
      <c r="B167" t="s">
        <v>201</v>
      </c>
      <c r="C167" t="s">
        <v>31</v>
      </c>
      <c r="D167" t="s">
        <v>12</v>
      </c>
      <c r="E167">
        <v>1</v>
      </c>
      <c r="F167">
        <v>38739</v>
      </c>
      <c r="G167">
        <v>38739</v>
      </c>
      <c r="H167" t="s">
        <v>40</v>
      </c>
      <c r="I167" t="s">
        <v>14</v>
      </c>
      <c r="J167" t="s">
        <v>20</v>
      </c>
      <c r="K167" s="6"/>
      <c r="L167" s="6"/>
      <c r="M167" s="13"/>
    </row>
    <row r="168" spans="1:13" x14ac:dyDescent="0.35">
      <c r="A168">
        <v>1167</v>
      </c>
      <c r="B168" t="s">
        <v>202</v>
      </c>
      <c r="C168" t="s">
        <v>35</v>
      </c>
      <c r="D168" t="s">
        <v>36</v>
      </c>
      <c r="E168">
        <v>3</v>
      </c>
      <c r="F168">
        <v>368</v>
      </c>
      <c r="G168">
        <v>1104</v>
      </c>
      <c r="H168" t="s">
        <v>13</v>
      </c>
      <c r="I168" t="s">
        <v>19</v>
      </c>
      <c r="J168" t="s">
        <v>33</v>
      </c>
      <c r="K168" s="6"/>
      <c r="L168" s="6"/>
      <c r="M168" s="13"/>
    </row>
    <row r="169" spans="1:13" x14ac:dyDescent="0.35">
      <c r="A169">
        <v>1168</v>
      </c>
      <c r="B169" t="s">
        <v>203</v>
      </c>
      <c r="C169" t="s">
        <v>39</v>
      </c>
      <c r="D169" t="s">
        <v>23</v>
      </c>
      <c r="E169">
        <v>1</v>
      </c>
      <c r="F169">
        <v>1931</v>
      </c>
      <c r="G169">
        <v>1931</v>
      </c>
      <c r="H169" t="s">
        <v>27</v>
      </c>
      <c r="I169" t="s">
        <v>19</v>
      </c>
      <c r="J169" t="s">
        <v>15</v>
      </c>
      <c r="K169" s="6"/>
      <c r="L169" s="6"/>
      <c r="M169" s="13"/>
    </row>
    <row r="170" spans="1:13" x14ac:dyDescent="0.35">
      <c r="A170">
        <v>1169</v>
      </c>
      <c r="B170" t="s">
        <v>204</v>
      </c>
      <c r="C170" t="s">
        <v>42</v>
      </c>
      <c r="D170" t="s">
        <v>12</v>
      </c>
      <c r="E170">
        <v>2</v>
      </c>
      <c r="F170">
        <v>14370</v>
      </c>
      <c r="G170">
        <v>28740</v>
      </c>
      <c r="H170" t="s">
        <v>51</v>
      </c>
      <c r="I170" t="s">
        <v>19</v>
      </c>
      <c r="J170" t="s">
        <v>20</v>
      </c>
      <c r="K170" s="6"/>
      <c r="L170" s="6"/>
      <c r="M170" s="13"/>
    </row>
    <row r="171" spans="1:13" x14ac:dyDescent="0.35">
      <c r="A171">
        <v>1170</v>
      </c>
      <c r="B171" t="s">
        <v>205</v>
      </c>
      <c r="C171" t="s">
        <v>44</v>
      </c>
      <c r="D171" t="s">
        <v>26</v>
      </c>
      <c r="E171">
        <v>2</v>
      </c>
      <c r="F171">
        <v>780</v>
      </c>
      <c r="G171">
        <v>1560</v>
      </c>
      <c r="H171" t="s">
        <v>13</v>
      </c>
      <c r="I171" t="s">
        <v>32</v>
      </c>
      <c r="J171" t="s">
        <v>33</v>
      </c>
      <c r="K171" s="6"/>
      <c r="L171" s="6"/>
      <c r="M171" s="13"/>
    </row>
    <row r="172" spans="1:13" x14ac:dyDescent="0.35">
      <c r="A172">
        <v>1171</v>
      </c>
      <c r="B172" t="s">
        <v>206</v>
      </c>
      <c r="C172" t="s">
        <v>11</v>
      </c>
      <c r="D172" t="s">
        <v>12</v>
      </c>
      <c r="E172">
        <v>2</v>
      </c>
      <c r="F172">
        <v>54865</v>
      </c>
      <c r="G172">
        <v>109730</v>
      </c>
      <c r="H172" t="s">
        <v>40</v>
      </c>
      <c r="I172" t="s">
        <v>14</v>
      </c>
      <c r="J172" t="s">
        <v>20</v>
      </c>
      <c r="K172" s="6"/>
      <c r="L172" s="6"/>
      <c r="M172" s="13"/>
    </row>
    <row r="173" spans="1:13" x14ac:dyDescent="0.35">
      <c r="A173">
        <v>1172</v>
      </c>
      <c r="B173" t="s">
        <v>207</v>
      </c>
      <c r="C173" t="s">
        <v>17</v>
      </c>
      <c r="D173" t="s">
        <v>12</v>
      </c>
      <c r="E173">
        <v>2</v>
      </c>
      <c r="F173">
        <v>4481</v>
      </c>
      <c r="G173">
        <v>8962</v>
      </c>
      <c r="H173" t="s">
        <v>37</v>
      </c>
      <c r="I173" t="s">
        <v>14</v>
      </c>
      <c r="J173" t="s">
        <v>20</v>
      </c>
      <c r="K173" s="6"/>
      <c r="L173" s="6"/>
      <c r="M173" s="13"/>
    </row>
    <row r="174" spans="1:13" x14ac:dyDescent="0.35">
      <c r="A174">
        <v>1173</v>
      </c>
      <c r="B174" t="s">
        <v>208</v>
      </c>
      <c r="C174" t="s">
        <v>22</v>
      </c>
      <c r="D174" t="s">
        <v>23</v>
      </c>
      <c r="E174">
        <v>2</v>
      </c>
      <c r="F174">
        <v>1972</v>
      </c>
      <c r="G174">
        <v>3944</v>
      </c>
      <c r="H174" t="s">
        <v>27</v>
      </c>
      <c r="I174" t="s">
        <v>14</v>
      </c>
      <c r="J174" t="s">
        <v>15</v>
      </c>
      <c r="K174" s="6"/>
      <c r="L174" s="6"/>
      <c r="M174" s="13"/>
    </row>
    <row r="175" spans="1:13" x14ac:dyDescent="0.35">
      <c r="A175">
        <v>1174</v>
      </c>
      <c r="B175" t="s">
        <v>209</v>
      </c>
      <c r="C175" t="s">
        <v>25</v>
      </c>
      <c r="D175" t="s">
        <v>26</v>
      </c>
      <c r="E175">
        <v>1</v>
      </c>
      <c r="F175">
        <v>9837</v>
      </c>
      <c r="G175">
        <v>9837</v>
      </c>
      <c r="H175" t="s">
        <v>40</v>
      </c>
      <c r="I175" t="s">
        <v>14</v>
      </c>
      <c r="J175" t="s">
        <v>15</v>
      </c>
      <c r="K175" s="6"/>
      <c r="L175" s="6"/>
      <c r="M175" s="13"/>
    </row>
    <row r="176" spans="1:13" x14ac:dyDescent="0.35">
      <c r="A176">
        <v>1175</v>
      </c>
      <c r="B176" t="s">
        <v>210</v>
      </c>
      <c r="C176" t="s">
        <v>29</v>
      </c>
      <c r="D176" t="s">
        <v>26</v>
      </c>
      <c r="E176">
        <v>5</v>
      </c>
      <c r="F176">
        <v>857</v>
      </c>
      <c r="G176">
        <v>4285</v>
      </c>
      <c r="H176" t="s">
        <v>13</v>
      </c>
      <c r="I176" t="s">
        <v>19</v>
      </c>
      <c r="J176" t="s">
        <v>15</v>
      </c>
      <c r="K176" s="6"/>
      <c r="L176" s="6"/>
      <c r="M176" s="13"/>
    </row>
    <row r="177" spans="1:13" x14ac:dyDescent="0.35">
      <c r="A177">
        <v>1176</v>
      </c>
      <c r="B177" t="s">
        <v>211</v>
      </c>
      <c r="C177" t="s">
        <v>31</v>
      </c>
      <c r="D177" t="s">
        <v>12</v>
      </c>
      <c r="E177">
        <v>1</v>
      </c>
      <c r="F177">
        <v>20323</v>
      </c>
      <c r="G177">
        <v>20323</v>
      </c>
      <c r="H177" t="s">
        <v>13</v>
      </c>
      <c r="I177" t="s">
        <v>14</v>
      </c>
      <c r="J177" t="s">
        <v>15</v>
      </c>
      <c r="K177" s="6"/>
      <c r="L177" s="6"/>
      <c r="M177" s="13"/>
    </row>
    <row r="178" spans="1:13" x14ac:dyDescent="0.35">
      <c r="A178">
        <v>1177</v>
      </c>
      <c r="B178" t="s">
        <v>212</v>
      </c>
      <c r="C178" t="s">
        <v>35</v>
      </c>
      <c r="D178" t="s">
        <v>36</v>
      </c>
      <c r="E178">
        <v>5</v>
      </c>
      <c r="F178">
        <v>1000</v>
      </c>
      <c r="G178">
        <v>5000</v>
      </c>
      <c r="H178" t="s">
        <v>40</v>
      </c>
      <c r="I178" t="s">
        <v>19</v>
      </c>
      <c r="J178" t="s">
        <v>33</v>
      </c>
      <c r="K178" s="6"/>
      <c r="L178" s="6"/>
      <c r="M178" s="13"/>
    </row>
    <row r="179" spans="1:13" x14ac:dyDescent="0.35">
      <c r="A179">
        <v>1178</v>
      </c>
      <c r="B179" t="s">
        <v>213</v>
      </c>
      <c r="C179" t="s">
        <v>39</v>
      </c>
      <c r="D179" t="s">
        <v>23</v>
      </c>
      <c r="E179">
        <v>5</v>
      </c>
      <c r="F179">
        <v>1359</v>
      </c>
      <c r="G179">
        <v>6795</v>
      </c>
      <c r="H179" t="s">
        <v>13</v>
      </c>
      <c r="I179" t="s">
        <v>32</v>
      </c>
      <c r="J179" t="s">
        <v>33</v>
      </c>
      <c r="K179" s="6"/>
      <c r="L179" s="6"/>
      <c r="M179" s="13"/>
    </row>
    <row r="180" spans="1:13" x14ac:dyDescent="0.35">
      <c r="A180">
        <v>1179</v>
      </c>
      <c r="B180" t="s">
        <v>214</v>
      </c>
      <c r="C180" t="s">
        <v>42</v>
      </c>
      <c r="D180" t="s">
        <v>12</v>
      </c>
      <c r="E180">
        <v>1</v>
      </c>
      <c r="F180">
        <v>14026</v>
      </c>
      <c r="G180">
        <v>14026</v>
      </c>
      <c r="H180" t="s">
        <v>27</v>
      </c>
      <c r="I180" t="s">
        <v>32</v>
      </c>
      <c r="J180" t="s">
        <v>15</v>
      </c>
      <c r="K180" s="6"/>
      <c r="L180" s="6"/>
      <c r="M180" s="13"/>
    </row>
    <row r="181" spans="1:13" x14ac:dyDescent="0.35">
      <c r="A181">
        <v>1180</v>
      </c>
      <c r="B181" t="s">
        <v>215</v>
      </c>
      <c r="C181" t="s">
        <v>44</v>
      </c>
      <c r="D181" t="s">
        <v>26</v>
      </c>
      <c r="E181">
        <v>2</v>
      </c>
      <c r="F181">
        <v>685</v>
      </c>
      <c r="G181">
        <v>1370</v>
      </c>
      <c r="H181" t="s">
        <v>40</v>
      </c>
      <c r="I181" t="s">
        <v>19</v>
      </c>
      <c r="J181" t="s">
        <v>20</v>
      </c>
      <c r="K181" s="6"/>
      <c r="L181" s="6"/>
      <c r="M181" s="13"/>
    </row>
    <row r="182" spans="1:13" x14ac:dyDescent="0.35">
      <c r="A182">
        <v>1181</v>
      </c>
      <c r="B182" t="s">
        <v>216</v>
      </c>
      <c r="C182" t="s">
        <v>11</v>
      </c>
      <c r="D182" t="s">
        <v>12</v>
      </c>
      <c r="E182">
        <v>1</v>
      </c>
      <c r="F182">
        <v>54311</v>
      </c>
      <c r="G182">
        <v>54311</v>
      </c>
      <c r="H182" t="s">
        <v>18</v>
      </c>
      <c r="I182" t="s">
        <v>32</v>
      </c>
      <c r="J182" t="s">
        <v>20</v>
      </c>
      <c r="K182" s="6"/>
      <c r="L182" s="6"/>
      <c r="M182" s="13"/>
    </row>
    <row r="183" spans="1:13" x14ac:dyDescent="0.35">
      <c r="A183">
        <v>1182</v>
      </c>
      <c r="B183" t="s">
        <v>217</v>
      </c>
      <c r="C183" t="s">
        <v>17</v>
      </c>
      <c r="D183" t="s">
        <v>12</v>
      </c>
      <c r="E183">
        <v>2</v>
      </c>
      <c r="F183">
        <v>1713</v>
      </c>
      <c r="G183">
        <v>3426</v>
      </c>
      <c r="H183" t="s">
        <v>27</v>
      </c>
      <c r="I183" t="s">
        <v>14</v>
      </c>
      <c r="J183" t="s">
        <v>15</v>
      </c>
      <c r="K183" s="6"/>
      <c r="L183" s="6"/>
      <c r="M183" s="13"/>
    </row>
    <row r="184" spans="1:13" x14ac:dyDescent="0.35">
      <c r="A184">
        <v>1183</v>
      </c>
      <c r="B184" t="s">
        <v>218</v>
      </c>
      <c r="C184" t="s">
        <v>22</v>
      </c>
      <c r="D184" t="s">
        <v>23</v>
      </c>
      <c r="E184">
        <v>2</v>
      </c>
      <c r="F184">
        <v>3204</v>
      </c>
      <c r="G184">
        <v>6408</v>
      </c>
      <c r="H184" t="s">
        <v>40</v>
      </c>
      <c r="I184" t="s">
        <v>32</v>
      </c>
      <c r="J184" t="s">
        <v>20</v>
      </c>
      <c r="K184" s="6"/>
      <c r="L184" s="6"/>
      <c r="M184" s="13"/>
    </row>
    <row r="185" spans="1:13" x14ac:dyDescent="0.35">
      <c r="A185">
        <v>1184</v>
      </c>
      <c r="B185" t="s">
        <v>219</v>
      </c>
      <c r="C185" t="s">
        <v>25</v>
      </c>
      <c r="D185" t="s">
        <v>26</v>
      </c>
      <c r="E185">
        <v>5</v>
      </c>
      <c r="F185">
        <v>18542</v>
      </c>
      <c r="G185">
        <v>92710</v>
      </c>
      <c r="H185" t="s">
        <v>40</v>
      </c>
      <c r="I185" t="s">
        <v>19</v>
      </c>
      <c r="J185" t="s">
        <v>20</v>
      </c>
      <c r="K185" s="6"/>
      <c r="L185" s="6"/>
      <c r="M185" s="13"/>
    </row>
    <row r="186" spans="1:13" x14ac:dyDescent="0.35">
      <c r="A186">
        <v>1185</v>
      </c>
      <c r="B186" t="s">
        <v>220</v>
      </c>
      <c r="C186" t="s">
        <v>29</v>
      </c>
      <c r="D186" t="s">
        <v>26</v>
      </c>
      <c r="E186">
        <v>1</v>
      </c>
      <c r="F186">
        <v>521</v>
      </c>
      <c r="G186">
        <v>521</v>
      </c>
      <c r="H186" t="s">
        <v>13</v>
      </c>
      <c r="I186" t="s">
        <v>14</v>
      </c>
      <c r="J186" t="s">
        <v>20</v>
      </c>
      <c r="K186" s="6"/>
      <c r="L186" s="6"/>
      <c r="M186" s="13"/>
    </row>
    <row r="187" spans="1:13" x14ac:dyDescent="0.35">
      <c r="A187">
        <v>1186</v>
      </c>
      <c r="B187" t="s">
        <v>221</v>
      </c>
      <c r="C187" t="s">
        <v>31</v>
      </c>
      <c r="D187" t="s">
        <v>12</v>
      </c>
      <c r="E187">
        <v>1</v>
      </c>
      <c r="F187">
        <v>13218</v>
      </c>
      <c r="G187">
        <v>13218</v>
      </c>
      <c r="H187" t="s">
        <v>40</v>
      </c>
      <c r="I187" t="s">
        <v>14</v>
      </c>
      <c r="J187" t="s">
        <v>20</v>
      </c>
      <c r="K187" s="6"/>
      <c r="L187" s="6"/>
      <c r="M187" s="13"/>
    </row>
    <row r="188" spans="1:13" x14ac:dyDescent="0.35">
      <c r="A188">
        <v>1187</v>
      </c>
      <c r="B188" t="s">
        <v>222</v>
      </c>
      <c r="C188" t="s">
        <v>35</v>
      </c>
      <c r="D188" t="s">
        <v>36</v>
      </c>
      <c r="E188">
        <v>2</v>
      </c>
      <c r="F188">
        <v>248</v>
      </c>
      <c r="G188">
        <v>496</v>
      </c>
      <c r="H188" t="s">
        <v>27</v>
      </c>
      <c r="I188" t="s">
        <v>19</v>
      </c>
      <c r="J188" t="s">
        <v>20</v>
      </c>
      <c r="K188" s="6"/>
      <c r="L188" s="6"/>
      <c r="M188" s="13"/>
    </row>
    <row r="189" spans="1:13" x14ac:dyDescent="0.35">
      <c r="A189">
        <v>1188</v>
      </c>
      <c r="B189" t="s">
        <v>223</v>
      </c>
      <c r="C189" t="s">
        <v>39</v>
      </c>
      <c r="D189" t="s">
        <v>23</v>
      </c>
      <c r="E189">
        <v>4</v>
      </c>
      <c r="F189">
        <v>1353</v>
      </c>
      <c r="G189">
        <v>5412</v>
      </c>
      <c r="H189" t="s">
        <v>27</v>
      </c>
      <c r="I189" t="s">
        <v>32</v>
      </c>
      <c r="J189" t="s">
        <v>33</v>
      </c>
      <c r="K189" s="6"/>
      <c r="L189" s="6"/>
      <c r="M189" s="13"/>
    </row>
    <row r="190" spans="1:13" x14ac:dyDescent="0.35">
      <c r="A190">
        <v>1189</v>
      </c>
      <c r="B190" t="s">
        <v>224</v>
      </c>
      <c r="C190" t="s">
        <v>42</v>
      </c>
      <c r="D190" t="s">
        <v>12</v>
      </c>
      <c r="E190">
        <v>2</v>
      </c>
      <c r="F190">
        <v>13462</v>
      </c>
      <c r="G190">
        <v>26924</v>
      </c>
      <c r="H190" t="s">
        <v>13</v>
      </c>
      <c r="I190" t="s">
        <v>19</v>
      </c>
      <c r="J190" t="s">
        <v>33</v>
      </c>
      <c r="K190" s="6"/>
      <c r="L190" s="6"/>
      <c r="M190" s="13"/>
    </row>
    <row r="191" spans="1:13" x14ac:dyDescent="0.35">
      <c r="A191">
        <v>1190</v>
      </c>
      <c r="B191" t="s">
        <v>225</v>
      </c>
      <c r="C191" t="s">
        <v>44</v>
      </c>
      <c r="D191" t="s">
        <v>26</v>
      </c>
      <c r="E191">
        <v>5</v>
      </c>
      <c r="F191">
        <v>404</v>
      </c>
      <c r="G191">
        <v>2020</v>
      </c>
      <c r="H191" t="s">
        <v>40</v>
      </c>
      <c r="I191" t="s">
        <v>19</v>
      </c>
      <c r="J191" t="s">
        <v>15</v>
      </c>
      <c r="K191" s="6"/>
      <c r="L191" s="6"/>
      <c r="M191" s="13"/>
    </row>
    <row r="192" spans="1:13" x14ac:dyDescent="0.35">
      <c r="A192">
        <v>1191</v>
      </c>
      <c r="B192" t="s">
        <v>226</v>
      </c>
      <c r="C192" t="s">
        <v>11</v>
      </c>
      <c r="D192" t="s">
        <v>12</v>
      </c>
      <c r="E192">
        <v>1</v>
      </c>
      <c r="F192">
        <v>59800</v>
      </c>
      <c r="G192">
        <v>59800</v>
      </c>
      <c r="H192" t="s">
        <v>37</v>
      </c>
      <c r="I192" t="s">
        <v>19</v>
      </c>
      <c r="J192" t="s">
        <v>33</v>
      </c>
      <c r="K192" s="6"/>
      <c r="L192" s="6"/>
      <c r="M192" s="13"/>
    </row>
    <row r="193" spans="1:13" x14ac:dyDescent="0.35">
      <c r="A193">
        <v>1192</v>
      </c>
      <c r="B193" t="s">
        <v>227</v>
      </c>
      <c r="C193" t="s">
        <v>17</v>
      </c>
      <c r="D193" t="s">
        <v>12</v>
      </c>
      <c r="E193">
        <v>2</v>
      </c>
      <c r="F193">
        <v>2639</v>
      </c>
      <c r="G193">
        <v>5278</v>
      </c>
      <c r="H193" t="s">
        <v>18</v>
      </c>
      <c r="I193" t="s">
        <v>32</v>
      </c>
      <c r="J193" t="s">
        <v>20</v>
      </c>
      <c r="K193" s="6"/>
      <c r="L193" s="6"/>
      <c r="M193" s="13"/>
    </row>
    <row r="194" spans="1:13" x14ac:dyDescent="0.35">
      <c r="A194">
        <v>1193</v>
      </c>
      <c r="B194" t="s">
        <v>228</v>
      </c>
      <c r="C194" t="s">
        <v>22</v>
      </c>
      <c r="D194" t="s">
        <v>23</v>
      </c>
      <c r="E194">
        <v>1</v>
      </c>
      <c r="F194">
        <v>2167</v>
      </c>
      <c r="G194">
        <v>2167</v>
      </c>
      <c r="H194" t="s">
        <v>51</v>
      </c>
      <c r="I194" t="s">
        <v>14</v>
      </c>
      <c r="J194" t="s">
        <v>20</v>
      </c>
      <c r="K194" s="6"/>
      <c r="L194" s="6"/>
      <c r="M194" s="13"/>
    </row>
    <row r="195" spans="1:13" x14ac:dyDescent="0.35">
      <c r="A195">
        <v>1194</v>
      </c>
      <c r="B195" t="s">
        <v>229</v>
      </c>
      <c r="C195" t="s">
        <v>25</v>
      </c>
      <c r="D195" t="s">
        <v>26</v>
      </c>
      <c r="E195">
        <v>3</v>
      </c>
      <c r="F195">
        <v>8179</v>
      </c>
      <c r="G195">
        <v>24537</v>
      </c>
      <c r="H195" t="s">
        <v>13</v>
      </c>
      <c r="I195" t="s">
        <v>32</v>
      </c>
      <c r="J195" t="s">
        <v>15</v>
      </c>
      <c r="K195" s="6"/>
      <c r="L195" s="6"/>
      <c r="M195" s="13"/>
    </row>
    <row r="196" spans="1:13" x14ac:dyDescent="0.35">
      <c r="A196">
        <v>1195</v>
      </c>
      <c r="B196" t="s">
        <v>230</v>
      </c>
      <c r="C196" t="s">
        <v>29</v>
      </c>
      <c r="D196" t="s">
        <v>26</v>
      </c>
      <c r="E196">
        <v>1</v>
      </c>
      <c r="F196">
        <v>374</v>
      </c>
      <c r="G196">
        <v>374</v>
      </c>
      <c r="H196" t="s">
        <v>40</v>
      </c>
      <c r="I196" t="s">
        <v>14</v>
      </c>
      <c r="J196" t="s">
        <v>15</v>
      </c>
      <c r="K196" s="6"/>
      <c r="L196" s="6"/>
      <c r="M196" s="13"/>
    </row>
    <row r="197" spans="1:13" x14ac:dyDescent="0.35">
      <c r="A197">
        <v>1196</v>
      </c>
      <c r="B197" t="s">
        <v>231</v>
      </c>
      <c r="C197" t="s">
        <v>31</v>
      </c>
      <c r="D197" t="s">
        <v>12</v>
      </c>
      <c r="E197">
        <v>1</v>
      </c>
      <c r="F197">
        <v>36595</v>
      </c>
      <c r="G197">
        <v>36595</v>
      </c>
      <c r="H197" t="s">
        <v>27</v>
      </c>
      <c r="I197" t="s">
        <v>14</v>
      </c>
      <c r="J197" t="s">
        <v>33</v>
      </c>
      <c r="K197" s="6"/>
      <c r="L197" s="6"/>
      <c r="M197" s="13"/>
    </row>
    <row r="198" spans="1:13" x14ac:dyDescent="0.35">
      <c r="A198">
        <v>1197</v>
      </c>
      <c r="B198" t="s">
        <v>232</v>
      </c>
      <c r="C198" t="s">
        <v>35</v>
      </c>
      <c r="D198" t="s">
        <v>36</v>
      </c>
      <c r="E198">
        <v>5</v>
      </c>
      <c r="F198">
        <v>570</v>
      </c>
      <c r="G198">
        <v>2850</v>
      </c>
      <c r="H198" t="s">
        <v>37</v>
      </c>
      <c r="I198" t="s">
        <v>19</v>
      </c>
      <c r="J198" t="s">
        <v>20</v>
      </c>
      <c r="K198" s="6"/>
      <c r="L198" s="6"/>
      <c r="M198" s="13"/>
    </row>
    <row r="199" spans="1:13" x14ac:dyDescent="0.35">
      <c r="A199">
        <v>1198</v>
      </c>
      <c r="B199" t="s">
        <v>233</v>
      </c>
      <c r="C199" t="s">
        <v>39</v>
      </c>
      <c r="D199" t="s">
        <v>23</v>
      </c>
      <c r="E199">
        <v>3</v>
      </c>
      <c r="F199">
        <v>1005</v>
      </c>
      <c r="G199">
        <v>3015</v>
      </c>
      <c r="H199" t="s">
        <v>37</v>
      </c>
      <c r="I199" t="s">
        <v>19</v>
      </c>
      <c r="J199" t="s">
        <v>33</v>
      </c>
      <c r="K199" s="6"/>
      <c r="L199" s="6"/>
      <c r="M199" s="13"/>
    </row>
    <row r="200" spans="1:13" x14ac:dyDescent="0.35">
      <c r="A200">
        <v>1199</v>
      </c>
      <c r="B200" t="s">
        <v>234</v>
      </c>
      <c r="C200" t="s">
        <v>42</v>
      </c>
      <c r="D200" t="s">
        <v>12</v>
      </c>
      <c r="E200">
        <v>2</v>
      </c>
      <c r="F200">
        <v>14435</v>
      </c>
      <c r="G200">
        <v>28870</v>
      </c>
      <c r="H200" t="s">
        <v>18</v>
      </c>
      <c r="I200" t="s">
        <v>19</v>
      </c>
      <c r="J200" t="s">
        <v>15</v>
      </c>
      <c r="K200" s="6"/>
      <c r="L200" s="6"/>
      <c r="M200" s="13"/>
    </row>
    <row r="201" spans="1:13" x14ac:dyDescent="0.35">
      <c r="A201">
        <v>1200</v>
      </c>
      <c r="B201" t="s">
        <v>235</v>
      </c>
      <c r="C201" t="s">
        <v>44</v>
      </c>
      <c r="D201" t="s">
        <v>26</v>
      </c>
      <c r="E201">
        <v>5</v>
      </c>
      <c r="F201">
        <v>351</v>
      </c>
      <c r="G201">
        <v>1755</v>
      </c>
      <c r="H201" t="s">
        <v>40</v>
      </c>
      <c r="I201" t="s">
        <v>32</v>
      </c>
      <c r="J201" t="s">
        <v>15</v>
      </c>
      <c r="K201" s="6"/>
      <c r="L201" s="6"/>
      <c r="M201" s="13"/>
    </row>
    <row r="202" spans="1:13" x14ac:dyDescent="0.35">
      <c r="A202">
        <v>1201</v>
      </c>
      <c r="B202" t="s">
        <v>236</v>
      </c>
      <c r="C202" t="s">
        <v>11</v>
      </c>
      <c r="D202" t="s">
        <v>12</v>
      </c>
      <c r="E202">
        <v>2</v>
      </c>
      <c r="F202">
        <v>60581</v>
      </c>
      <c r="G202">
        <v>121162</v>
      </c>
      <c r="H202" t="s">
        <v>27</v>
      </c>
      <c r="I202" t="s">
        <v>14</v>
      </c>
      <c r="J202" t="s">
        <v>33</v>
      </c>
      <c r="K202" s="6"/>
      <c r="L202" s="6"/>
      <c r="M202" s="13"/>
    </row>
    <row r="203" spans="1:13" x14ac:dyDescent="0.35">
      <c r="A203">
        <v>1202</v>
      </c>
      <c r="B203" t="s">
        <v>237</v>
      </c>
      <c r="C203" t="s">
        <v>17</v>
      </c>
      <c r="D203" t="s">
        <v>12</v>
      </c>
      <c r="E203">
        <v>1</v>
      </c>
      <c r="F203">
        <v>2742</v>
      </c>
      <c r="G203">
        <v>2742</v>
      </c>
      <c r="H203" t="s">
        <v>51</v>
      </c>
      <c r="I203" t="s">
        <v>32</v>
      </c>
      <c r="J203" t="s">
        <v>33</v>
      </c>
      <c r="K203" s="6"/>
      <c r="L203" s="6"/>
      <c r="M203" s="13"/>
    </row>
    <row r="204" spans="1:13" x14ac:dyDescent="0.35">
      <c r="A204">
        <v>1203</v>
      </c>
      <c r="B204" t="s">
        <v>238</v>
      </c>
      <c r="C204" t="s">
        <v>22</v>
      </c>
      <c r="D204" t="s">
        <v>23</v>
      </c>
      <c r="E204">
        <v>3</v>
      </c>
      <c r="F204">
        <v>3576</v>
      </c>
      <c r="G204">
        <v>10728</v>
      </c>
      <c r="H204" t="s">
        <v>37</v>
      </c>
      <c r="I204" t="s">
        <v>14</v>
      </c>
      <c r="J204" t="s">
        <v>15</v>
      </c>
      <c r="K204" s="6"/>
      <c r="L204" s="6"/>
      <c r="M204" s="13"/>
    </row>
    <row r="205" spans="1:13" x14ac:dyDescent="0.35">
      <c r="A205">
        <v>1204</v>
      </c>
      <c r="B205" t="s">
        <v>239</v>
      </c>
      <c r="C205" t="s">
        <v>25</v>
      </c>
      <c r="D205" t="s">
        <v>26</v>
      </c>
      <c r="E205">
        <v>4</v>
      </c>
      <c r="F205">
        <v>15524</v>
      </c>
      <c r="G205">
        <v>62096</v>
      </c>
      <c r="H205" t="s">
        <v>13</v>
      </c>
      <c r="I205" t="s">
        <v>19</v>
      </c>
      <c r="J205" t="s">
        <v>15</v>
      </c>
      <c r="K205" s="6"/>
      <c r="L205" s="6"/>
      <c r="M205" s="13"/>
    </row>
    <row r="206" spans="1:13" x14ac:dyDescent="0.35">
      <c r="A206">
        <v>1205</v>
      </c>
      <c r="B206" t="s">
        <v>240</v>
      </c>
      <c r="C206" t="s">
        <v>29</v>
      </c>
      <c r="D206" t="s">
        <v>26</v>
      </c>
      <c r="E206">
        <v>3</v>
      </c>
      <c r="F206">
        <v>973</v>
      </c>
      <c r="G206">
        <v>2919</v>
      </c>
      <c r="H206" t="s">
        <v>27</v>
      </c>
      <c r="I206" t="s">
        <v>19</v>
      </c>
      <c r="J206" t="s">
        <v>20</v>
      </c>
      <c r="K206" s="6"/>
      <c r="L206" s="6"/>
      <c r="M206" s="13"/>
    </row>
    <row r="207" spans="1:13" x14ac:dyDescent="0.35">
      <c r="A207">
        <v>1206</v>
      </c>
      <c r="B207" t="s">
        <v>241</v>
      </c>
      <c r="C207" t="s">
        <v>31</v>
      </c>
      <c r="D207" t="s">
        <v>12</v>
      </c>
      <c r="E207">
        <v>2</v>
      </c>
      <c r="F207">
        <v>19223</v>
      </c>
      <c r="G207">
        <v>38446</v>
      </c>
      <c r="H207" t="s">
        <v>27</v>
      </c>
      <c r="I207" t="s">
        <v>14</v>
      </c>
      <c r="J207" t="s">
        <v>20</v>
      </c>
      <c r="K207" s="6"/>
      <c r="L207" s="6"/>
      <c r="M207" s="13"/>
    </row>
    <row r="208" spans="1:13" x14ac:dyDescent="0.35">
      <c r="A208">
        <v>1207</v>
      </c>
      <c r="B208" t="s">
        <v>242</v>
      </c>
      <c r="C208" t="s">
        <v>35</v>
      </c>
      <c r="D208" t="s">
        <v>36</v>
      </c>
      <c r="E208">
        <v>3</v>
      </c>
      <c r="F208">
        <v>197</v>
      </c>
      <c r="G208">
        <v>591</v>
      </c>
      <c r="H208" t="s">
        <v>51</v>
      </c>
      <c r="I208" t="s">
        <v>32</v>
      </c>
      <c r="J208" t="s">
        <v>15</v>
      </c>
      <c r="K208" s="6"/>
      <c r="L208" s="6"/>
      <c r="M208" s="13"/>
    </row>
    <row r="209" spans="1:13" x14ac:dyDescent="0.35">
      <c r="A209">
        <v>1208</v>
      </c>
      <c r="B209" t="s">
        <v>243</v>
      </c>
      <c r="C209" t="s">
        <v>39</v>
      </c>
      <c r="D209" t="s">
        <v>23</v>
      </c>
      <c r="E209">
        <v>4</v>
      </c>
      <c r="F209">
        <v>1862</v>
      </c>
      <c r="G209">
        <v>7448</v>
      </c>
      <c r="H209" t="s">
        <v>13</v>
      </c>
      <c r="I209" t="s">
        <v>32</v>
      </c>
      <c r="J209" t="s">
        <v>20</v>
      </c>
      <c r="K209" s="6"/>
      <c r="L209" s="6"/>
      <c r="M209" s="13"/>
    </row>
    <row r="210" spans="1:13" x14ac:dyDescent="0.35">
      <c r="A210">
        <v>1209</v>
      </c>
      <c r="B210" t="s">
        <v>244</v>
      </c>
      <c r="C210" t="s">
        <v>42</v>
      </c>
      <c r="D210" t="s">
        <v>12</v>
      </c>
      <c r="E210">
        <v>2</v>
      </c>
      <c r="F210">
        <v>7732</v>
      </c>
      <c r="G210">
        <v>15464</v>
      </c>
      <c r="H210" t="s">
        <v>40</v>
      </c>
      <c r="I210" t="s">
        <v>32</v>
      </c>
      <c r="J210" t="s">
        <v>33</v>
      </c>
      <c r="K210" s="6"/>
      <c r="L210" s="6"/>
      <c r="M210" s="13"/>
    </row>
    <row r="211" spans="1:13" x14ac:dyDescent="0.35">
      <c r="A211">
        <v>1210</v>
      </c>
      <c r="B211" t="s">
        <v>245</v>
      </c>
      <c r="C211" t="s">
        <v>44</v>
      </c>
      <c r="D211" t="s">
        <v>26</v>
      </c>
      <c r="E211">
        <v>3</v>
      </c>
      <c r="F211">
        <v>508</v>
      </c>
      <c r="G211">
        <v>1524</v>
      </c>
      <c r="H211" t="s">
        <v>51</v>
      </c>
      <c r="I211" t="s">
        <v>14</v>
      </c>
      <c r="J211" t="s">
        <v>33</v>
      </c>
      <c r="K211" s="6"/>
      <c r="L211" s="6"/>
      <c r="M211" s="13"/>
    </row>
    <row r="212" spans="1:13" x14ac:dyDescent="0.35">
      <c r="A212">
        <v>1211</v>
      </c>
      <c r="B212" t="s">
        <v>246</v>
      </c>
      <c r="C212" t="s">
        <v>11</v>
      </c>
      <c r="D212" t="s">
        <v>12</v>
      </c>
      <c r="E212">
        <v>1</v>
      </c>
      <c r="F212">
        <v>55970</v>
      </c>
      <c r="G212">
        <v>55970</v>
      </c>
      <c r="H212" t="s">
        <v>27</v>
      </c>
      <c r="I212" t="s">
        <v>14</v>
      </c>
      <c r="J212" t="s">
        <v>33</v>
      </c>
      <c r="K212" s="6"/>
      <c r="L212" s="6"/>
      <c r="M212" s="13"/>
    </row>
    <row r="213" spans="1:13" x14ac:dyDescent="0.35">
      <c r="A213">
        <v>1212</v>
      </c>
      <c r="B213" t="s">
        <v>247</v>
      </c>
      <c r="C213" t="s">
        <v>17</v>
      </c>
      <c r="D213" t="s">
        <v>12</v>
      </c>
      <c r="E213">
        <v>2</v>
      </c>
      <c r="F213">
        <v>2129</v>
      </c>
      <c r="G213">
        <v>4258</v>
      </c>
      <c r="H213" t="s">
        <v>37</v>
      </c>
      <c r="I213" t="s">
        <v>32</v>
      </c>
      <c r="J213" t="s">
        <v>33</v>
      </c>
      <c r="K213" s="6"/>
      <c r="L213" s="6"/>
      <c r="M213" s="13"/>
    </row>
    <row r="214" spans="1:13" x14ac:dyDescent="0.35">
      <c r="A214">
        <v>1213</v>
      </c>
      <c r="B214" t="s">
        <v>248</v>
      </c>
      <c r="C214" t="s">
        <v>22</v>
      </c>
      <c r="D214" t="s">
        <v>23</v>
      </c>
      <c r="E214">
        <v>3</v>
      </c>
      <c r="F214">
        <v>2280</v>
      </c>
      <c r="G214">
        <v>6840</v>
      </c>
      <c r="H214" t="s">
        <v>27</v>
      </c>
      <c r="I214" t="s">
        <v>14</v>
      </c>
      <c r="J214" t="s">
        <v>20</v>
      </c>
      <c r="K214" s="6"/>
      <c r="L214" s="6"/>
      <c r="M214" s="13"/>
    </row>
    <row r="215" spans="1:13" x14ac:dyDescent="0.35">
      <c r="A215">
        <v>1214</v>
      </c>
      <c r="B215" t="s">
        <v>249</v>
      </c>
      <c r="C215" t="s">
        <v>25</v>
      </c>
      <c r="D215" t="s">
        <v>26</v>
      </c>
      <c r="E215">
        <v>1</v>
      </c>
      <c r="F215">
        <v>2260</v>
      </c>
      <c r="G215">
        <v>2260</v>
      </c>
      <c r="H215" t="s">
        <v>18</v>
      </c>
      <c r="I215" t="s">
        <v>14</v>
      </c>
      <c r="J215" t="s">
        <v>15</v>
      </c>
      <c r="K215" s="6"/>
      <c r="L215" s="6"/>
      <c r="M215" s="13"/>
    </row>
    <row r="216" spans="1:13" x14ac:dyDescent="0.35">
      <c r="A216">
        <v>1215</v>
      </c>
      <c r="B216" t="s">
        <v>250</v>
      </c>
      <c r="C216" t="s">
        <v>29</v>
      </c>
      <c r="D216" t="s">
        <v>26</v>
      </c>
      <c r="E216">
        <v>4</v>
      </c>
      <c r="F216">
        <v>962</v>
      </c>
      <c r="G216">
        <v>3848</v>
      </c>
      <c r="H216" t="s">
        <v>37</v>
      </c>
      <c r="I216" t="s">
        <v>14</v>
      </c>
      <c r="J216" t="s">
        <v>20</v>
      </c>
      <c r="K216" s="6"/>
      <c r="L216" s="6"/>
      <c r="M216" s="13"/>
    </row>
    <row r="217" spans="1:13" x14ac:dyDescent="0.35">
      <c r="A217">
        <v>1216</v>
      </c>
      <c r="B217" t="s">
        <v>251</v>
      </c>
      <c r="C217" t="s">
        <v>31</v>
      </c>
      <c r="D217" t="s">
        <v>12</v>
      </c>
      <c r="E217">
        <v>2</v>
      </c>
      <c r="F217">
        <v>12775</v>
      </c>
      <c r="G217">
        <v>25550</v>
      </c>
      <c r="H217" t="s">
        <v>40</v>
      </c>
      <c r="I217" t="s">
        <v>32</v>
      </c>
      <c r="J217" t="s">
        <v>15</v>
      </c>
      <c r="K217" s="6"/>
      <c r="L217" s="6"/>
      <c r="M217" s="13"/>
    </row>
    <row r="218" spans="1:13" x14ac:dyDescent="0.35">
      <c r="A218">
        <v>1217</v>
      </c>
      <c r="B218" t="s">
        <v>252</v>
      </c>
      <c r="C218" t="s">
        <v>35</v>
      </c>
      <c r="D218" t="s">
        <v>36</v>
      </c>
      <c r="E218">
        <v>2</v>
      </c>
      <c r="F218">
        <v>685</v>
      </c>
      <c r="G218">
        <v>1370</v>
      </c>
      <c r="H218" t="s">
        <v>13</v>
      </c>
      <c r="I218" t="s">
        <v>19</v>
      </c>
      <c r="J218" t="s">
        <v>33</v>
      </c>
      <c r="K218" s="6"/>
      <c r="L218" s="6"/>
      <c r="M218" s="13"/>
    </row>
    <row r="219" spans="1:13" x14ac:dyDescent="0.35">
      <c r="A219">
        <v>1218</v>
      </c>
      <c r="B219" t="s">
        <v>253</v>
      </c>
      <c r="C219" t="s">
        <v>39</v>
      </c>
      <c r="D219" t="s">
        <v>23</v>
      </c>
      <c r="E219">
        <v>4</v>
      </c>
      <c r="F219">
        <v>1218</v>
      </c>
      <c r="G219">
        <v>4872</v>
      </c>
      <c r="H219" t="s">
        <v>51</v>
      </c>
      <c r="I219" t="s">
        <v>19</v>
      </c>
      <c r="J219" t="s">
        <v>33</v>
      </c>
      <c r="K219" s="6"/>
      <c r="L219" s="6"/>
      <c r="M219" s="13"/>
    </row>
    <row r="220" spans="1:13" x14ac:dyDescent="0.35">
      <c r="A220">
        <v>1219</v>
      </c>
      <c r="B220" t="s">
        <v>254</v>
      </c>
      <c r="C220" t="s">
        <v>42</v>
      </c>
      <c r="D220" t="s">
        <v>12</v>
      </c>
      <c r="E220">
        <v>1</v>
      </c>
      <c r="F220">
        <v>4031</v>
      </c>
      <c r="G220">
        <v>4031</v>
      </c>
      <c r="H220" t="s">
        <v>27</v>
      </c>
      <c r="I220" t="s">
        <v>14</v>
      </c>
      <c r="J220" t="s">
        <v>15</v>
      </c>
      <c r="K220" s="6"/>
      <c r="L220" s="6"/>
      <c r="M220" s="13"/>
    </row>
    <row r="221" spans="1:13" x14ac:dyDescent="0.35">
      <c r="A221">
        <v>1220</v>
      </c>
      <c r="B221" t="s">
        <v>255</v>
      </c>
      <c r="C221" t="s">
        <v>44</v>
      </c>
      <c r="D221" t="s">
        <v>26</v>
      </c>
      <c r="E221">
        <v>2</v>
      </c>
      <c r="F221">
        <v>140</v>
      </c>
      <c r="G221">
        <v>280</v>
      </c>
      <c r="H221" t="s">
        <v>40</v>
      </c>
      <c r="I221" t="s">
        <v>14</v>
      </c>
      <c r="J221" t="s">
        <v>15</v>
      </c>
      <c r="K221" s="6"/>
      <c r="L221" s="6"/>
      <c r="M221" s="13"/>
    </row>
    <row r="222" spans="1:13" x14ac:dyDescent="0.35">
      <c r="A222">
        <v>1221</v>
      </c>
      <c r="B222" t="s">
        <v>256</v>
      </c>
      <c r="C222" t="s">
        <v>11</v>
      </c>
      <c r="D222" t="s">
        <v>12</v>
      </c>
      <c r="E222">
        <v>2</v>
      </c>
      <c r="F222">
        <v>54557</v>
      </c>
      <c r="G222">
        <v>109114</v>
      </c>
      <c r="H222" t="s">
        <v>37</v>
      </c>
      <c r="I222" t="s">
        <v>32</v>
      </c>
      <c r="J222" t="s">
        <v>33</v>
      </c>
      <c r="K222" s="6"/>
      <c r="L222" s="6"/>
      <c r="M222" s="13"/>
    </row>
    <row r="223" spans="1:13" x14ac:dyDescent="0.35">
      <c r="A223">
        <v>1222</v>
      </c>
      <c r="B223" t="s">
        <v>257</v>
      </c>
      <c r="C223" t="s">
        <v>17</v>
      </c>
      <c r="D223" t="s">
        <v>12</v>
      </c>
      <c r="E223">
        <v>2</v>
      </c>
      <c r="F223">
        <v>1892</v>
      </c>
      <c r="G223">
        <v>3784</v>
      </c>
      <c r="H223" t="s">
        <v>40</v>
      </c>
      <c r="I223" t="s">
        <v>14</v>
      </c>
      <c r="J223" t="s">
        <v>15</v>
      </c>
      <c r="K223" s="6"/>
      <c r="L223" s="6"/>
      <c r="M223" s="13"/>
    </row>
    <row r="224" spans="1:13" x14ac:dyDescent="0.35">
      <c r="A224">
        <v>1223</v>
      </c>
      <c r="B224" t="s">
        <v>258</v>
      </c>
      <c r="C224" t="s">
        <v>22</v>
      </c>
      <c r="D224" t="s">
        <v>23</v>
      </c>
      <c r="E224">
        <v>3</v>
      </c>
      <c r="F224">
        <v>3197</v>
      </c>
      <c r="G224">
        <v>9591</v>
      </c>
      <c r="H224" t="s">
        <v>18</v>
      </c>
      <c r="I224" t="s">
        <v>14</v>
      </c>
      <c r="J224" t="s">
        <v>33</v>
      </c>
      <c r="K224" s="6"/>
      <c r="L224" s="6"/>
      <c r="M224" s="13"/>
    </row>
    <row r="225" spans="1:13" x14ac:dyDescent="0.35">
      <c r="A225">
        <v>1224</v>
      </c>
      <c r="B225" t="s">
        <v>259</v>
      </c>
      <c r="C225" t="s">
        <v>25</v>
      </c>
      <c r="D225" t="s">
        <v>26</v>
      </c>
      <c r="E225">
        <v>5</v>
      </c>
      <c r="F225">
        <v>10225</v>
      </c>
      <c r="G225">
        <v>51125</v>
      </c>
      <c r="H225" t="s">
        <v>18</v>
      </c>
      <c r="I225" t="s">
        <v>32</v>
      </c>
      <c r="J225" t="s">
        <v>33</v>
      </c>
      <c r="K225" s="6"/>
      <c r="L225" s="6"/>
      <c r="M225" s="13"/>
    </row>
    <row r="226" spans="1:13" x14ac:dyDescent="0.35">
      <c r="A226">
        <v>1225</v>
      </c>
      <c r="B226" t="s">
        <v>260</v>
      </c>
      <c r="C226" t="s">
        <v>29</v>
      </c>
      <c r="D226" t="s">
        <v>26</v>
      </c>
      <c r="E226">
        <v>2</v>
      </c>
      <c r="F226">
        <v>899</v>
      </c>
      <c r="G226">
        <v>1798</v>
      </c>
      <c r="H226" t="s">
        <v>51</v>
      </c>
      <c r="I226" t="s">
        <v>19</v>
      </c>
      <c r="J226" t="s">
        <v>20</v>
      </c>
      <c r="K226" s="6"/>
      <c r="L226" s="6"/>
      <c r="M226" s="13"/>
    </row>
    <row r="227" spans="1:13" x14ac:dyDescent="0.35">
      <c r="A227">
        <v>1226</v>
      </c>
      <c r="B227" t="s">
        <v>261</v>
      </c>
      <c r="C227" t="s">
        <v>31</v>
      </c>
      <c r="D227" t="s">
        <v>12</v>
      </c>
      <c r="E227">
        <v>1</v>
      </c>
      <c r="F227">
        <v>32743</v>
      </c>
      <c r="G227">
        <v>32743</v>
      </c>
      <c r="H227" t="s">
        <v>51</v>
      </c>
      <c r="I227" t="s">
        <v>14</v>
      </c>
      <c r="J227" t="s">
        <v>15</v>
      </c>
      <c r="K227" s="6"/>
      <c r="L227" s="6"/>
      <c r="M227" s="13"/>
    </row>
    <row r="228" spans="1:13" x14ac:dyDescent="0.35">
      <c r="A228">
        <v>1227</v>
      </c>
      <c r="B228" t="s">
        <v>262</v>
      </c>
      <c r="C228" t="s">
        <v>35</v>
      </c>
      <c r="D228" t="s">
        <v>36</v>
      </c>
      <c r="E228">
        <v>3</v>
      </c>
      <c r="F228">
        <v>736</v>
      </c>
      <c r="G228">
        <v>2208</v>
      </c>
      <c r="H228" t="s">
        <v>40</v>
      </c>
      <c r="I228" t="s">
        <v>32</v>
      </c>
      <c r="J228" t="s">
        <v>33</v>
      </c>
      <c r="K228" s="6"/>
      <c r="L228" s="6"/>
      <c r="M228" s="13"/>
    </row>
    <row r="229" spans="1:13" x14ac:dyDescent="0.35">
      <c r="A229">
        <v>1228</v>
      </c>
      <c r="B229" t="s">
        <v>263</v>
      </c>
      <c r="C229" t="s">
        <v>39</v>
      </c>
      <c r="D229" t="s">
        <v>23</v>
      </c>
      <c r="E229">
        <v>4</v>
      </c>
      <c r="F229">
        <v>1504</v>
      </c>
      <c r="G229">
        <v>6016</v>
      </c>
      <c r="H229" t="s">
        <v>18</v>
      </c>
      <c r="I229" t="s">
        <v>14</v>
      </c>
      <c r="J229" t="s">
        <v>33</v>
      </c>
      <c r="K229" s="6"/>
      <c r="L229" s="6"/>
      <c r="M229" s="13"/>
    </row>
    <row r="230" spans="1:13" x14ac:dyDescent="0.35">
      <c r="A230">
        <v>1229</v>
      </c>
      <c r="B230" t="s">
        <v>264</v>
      </c>
      <c r="C230" t="s">
        <v>42</v>
      </c>
      <c r="D230" t="s">
        <v>12</v>
      </c>
      <c r="E230">
        <v>2</v>
      </c>
      <c r="F230">
        <v>7086</v>
      </c>
      <c r="G230">
        <v>14172</v>
      </c>
      <c r="H230" t="s">
        <v>27</v>
      </c>
      <c r="I230" t="s">
        <v>14</v>
      </c>
      <c r="J230" t="s">
        <v>15</v>
      </c>
      <c r="K230" s="6"/>
      <c r="L230" s="6"/>
      <c r="M230" s="13"/>
    </row>
    <row r="231" spans="1:13" x14ac:dyDescent="0.35">
      <c r="A231">
        <v>1230</v>
      </c>
      <c r="B231" t="s">
        <v>265</v>
      </c>
      <c r="C231" t="s">
        <v>44</v>
      </c>
      <c r="D231" t="s">
        <v>26</v>
      </c>
      <c r="E231">
        <v>1</v>
      </c>
      <c r="F231">
        <v>783</v>
      </c>
      <c r="G231">
        <v>783</v>
      </c>
      <c r="H231" t="s">
        <v>37</v>
      </c>
      <c r="I231" t="s">
        <v>32</v>
      </c>
      <c r="J231" t="s">
        <v>20</v>
      </c>
      <c r="K231" s="6"/>
      <c r="L231" s="6"/>
      <c r="M231" s="13"/>
    </row>
    <row r="232" spans="1:13" x14ac:dyDescent="0.35">
      <c r="A232">
        <v>1231</v>
      </c>
      <c r="B232" t="s">
        <v>266</v>
      </c>
      <c r="C232" t="s">
        <v>11</v>
      </c>
      <c r="D232" t="s">
        <v>12</v>
      </c>
      <c r="E232">
        <v>1</v>
      </c>
      <c r="F232">
        <v>67161</v>
      </c>
      <c r="G232">
        <v>67161</v>
      </c>
      <c r="H232" t="s">
        <v>27</v>
      </c>
      <c r="I232" t="s">
        <v>19</v>
      </c>
      <c r="J232" t="s">
        <v>33</v>
      </c>
      <c r="K232" s="6"/>
      <c r="L232" s="6"/>
      <c r="M232" s="13"/>
    </row>
    <row r="233" spans="1:13" x14ac:dyDescent="0.35">
      <c r="A233">
        <v>1232</v>
      </c>
      <c r="B233" t="s">
        <v>267</v>
      </c>
      <c r="C233" t="s">
        <v>17</v>
      </c>
      <c r="D233" t="s">
        <v>12</v>
      </c>
      <c r="E233">
        <v>3</v>
      </c>
      <c r="F233">
        <v>2774</v>
      </c>
      <c r="G233">
        <v>8322</v>
      </c>
      <c r="H233" t="s">
        <v>13</v>
      </c>
      <c r="I233" t="s">
        <v>19</v>
      </c>
      <c r="J233" t="s">
        <v>20</v>
      </c>
      <c r="K233" s="6"/>
      <c r="L233" s="6"/>
      <c r="M233" s="13"/>
    </row>
    <row r="234" spans="1:13" x14ac:dyDescent="0.35">
      <c r="A234">
        <v>1233</v>
      </c>
      <c r="B234" t="s">
        <v>268</v>
      </c>
      <c r="C234" t="s">
        <v>22</v>
      </c>
      <c r="D234" t="s">
        <v>23</v>
      </c>
      <c r="E234">
        <v>2</v>
      </c>
      <c r="F234">
        <v>1961</v>
      </c>
      <c r="G234">
        <v>3922</v>
      </c>
      <c r="H234" t="s">
        <v>18</v>
      </c>
      <c r="I234" t="s">
        <v>14</v>
      </c>
      <c r="J234" t="s">
        <v>15</v>
      </c>
      <c r="K234" s="6"/>
      <c r="L234" s="6"/>
      <c r="M234" s="13"/>
    </row>
    <row r="235" spans="1:13" x14ac:dyDescent="0.35">
      <c r="A235">
        <v>1234</v>
      </c>
      <c r="B235" t="s">
        <v>269</v>
      </c>
      <c r="C235" t="s">
        <v>25</v>
      </c>
      <c r="D235" t="s">
        <v>26</v>
      </c>
      <c r="E235">
        <v>3</v>
      </c>
      <c r="F235">
        <v>3843</v>
      </c>
      <c r="G235">
        <v>11529</v>
      </c>
      <c r="H235" t="s">
        <v>37</v>
      </c>
      <c r="I235" t="s">
        <v>19</v>
      </c>
      <c r="J235" t="s">
        <v>15</v>
      </c>
      <c r="K235" s="6"/>
      <c r="L235" s="6"/>
      <c r="M235" s="13"/>
    </row>
    <row r="236" spans="1:13" x14ac:dyDescent="0.35">
      <c r="A236">
        <v>1235</v>
      </c>
      <c r="B236" t="s">
        <v>270</v>
      </c>
      <c r="C236" t="s">
        <v>29</v>
      </c>
      <c r="D236" t="s">
        <v>26</v>
      </c>
      <c r="E236">
        <v>2</v>
      </c>
      <c r="F236">
        <v>515</v>
      </c>
      <c r="G236">
        <v>1030</v>
      </c>
      <c r="H236" t="s">
        <v>51</v>
      </c>
      <c r="I236" t="s">
        <v>14</v>
      </c>
      <c r="J236" t="s">
        <v>33</v>
      </c>
      <c r="K236" s="6"/>
      <c r="L236" s="6"/>
      <c r="M236" s="13"/>
    </row>
    <row r="237" spans="1:13" x14ac:dyDescent="0.35">
      <c r="A237">
        <v>1236</v>
      </c>
      <c r="B237" t="s">
        <v>271</v>
      </c>
      <c r="C237" t="s">
        <v>31</v>
      </c>
      <c r="D237" t="s">
        <v>12</v>
      </c>
      <c r="E237">
        <v>2</v>
      </c>
      <c r="F237">
        <v>18773</v>
      </c>
      <c r="G237">
        <v>37546</v>
      </c>
      <c r="H237" t="s">
        <v>37</v>
      </c>
      <c r="I237" t="s">
        <v>19</v>
      </c>
      <c r="J237" t="s">
        <v>33</v>
      </c>
      <c r="K237" s="6"/>
      <c r="L237" s="6"/>
      <c r="M237" s="13"/>
    </row>
    <row r="238" spans="1:13" x14ac:dyDescent="0.35">
      <c r="A238">
        <v>1237</v>
      </c>
      <c r="B238" t="s">
        <v>272</v>
      </c>
      <c r="C238" t="s">
        <v>35</v>
      </c>
      <c r="D238" t="s">
        <v>36</v>
      </c>
      <c r="E238">
        <v>2</v>
      </c>
      <c r="F238">
        <v>418</v>
      </c>
      <c r="G238">
        <v>836</v>
      </c>
      <c r="H238" t="s">
        <v>37</v>
      </c>
      <c r="I238" t="s">
        <v>19</v>
      </c>
      <c r="J238" t="s">
        <v>15</v>
      </c>
      <c r="K238" s="6"/>
      <c r="L238" s="6"/>
      <c r="M238" s="13"/>
    </row>
    <row r="239" spans="1:13" x14ac:dyDescent="0.35">
      <c r="A239">
        <v>1238</v>
      </c>
      <c r="B239" t="s">
        <v>273</v>
      </c>
      <c r="C239" t="s">
        <v>39</v>
      </c>
      <c r="D239" t="s">
        <v>23</v>
      </c>
      <c r="E239">
        <v>2</v>
      </c>
      <c r="F239">
        <v>996</v>
      </c>
      <c r="G239">
        <v>1992</v>
      </c>
      <c r="H239" t="s">
        <v>51</v>
      </c>
      <c r="I239" t="s">
        <v>32</v>
      </c>
      <c r="J239" t="s">
        <v>15</v>
      </c>
      <c r="K239" s="6"/>
      <c r="L239" s="6"/>
      <c r="M239" s="13"/>
    </row>
    <row r="240" spans="1:13" x14ac:dyDescent="0.35">
      <c r="A240">
        <v>1239</v>
      </c>
      <c r="B240" t="s">
        <v>274</v>
      </c>
      <c r="C240" t="s">
        <v>42</v>
      </c>
      <c r="D240" t="s">
        <v>12</v>
      </c>
      <c r="E240">
        <v>2</v>
      </c>
      <c r="F240">
        <v>12569</v>
      </c>
      <c r="G240">
        <v>25138</v>
      </c>
      <c r="H240" t="s">
        <v>37</v>
      </c>
      <c r="I240" t="s">
        <v>14</v>
      </c>
      <c r="J240" t="s">
        <v>20</v>
      </c>
      <c r="K240" s="6"/>
      <c r="L240" s="6"/>
      <c r="M240" s="13"/>
    </row>
    <row r="241" spans="1:13" x14ac:dyDescent="0.35">
      <c r="A241">
        <v>1240</v>
      </c>
      <c r="B241" t="s">
        <v>275</v>
      </c>
      <c r="C241" t="s">
        <v>44</v>
      </c>
      <c r="D241" t="s">
        <v>26</v>
      </c>
      <c r="E241">
        <v>3</v>
      </c>
      <c r="F241">
        <v>241</v>
      </c>
      <c r="G241">
        <v>723</v>
      </c>
      <c r="H241" t="s">
        <v>18</v>
      </c>
      <c r="I241" t="s">
        <v>32</v>
      </c>
      <c r="J241" t="s">
        <v>15</v>
      </c>
      <c r="K241" s="6"/>
      <c r="L241" s="6"/>
      <c r="M241" s="13"/>
    </row>
    <row r="242" spans="1:13" x14ac:dyDescent="0.35">
      <c r="A242">
        <v>1241</v>
      </c>
      <c r="B242" t="s">
        <v>276</v>
      </c>
      <c r="C242" t="s">
        <v>11</v>
      </c>
      <c r="D242" t="s">
        <v>12</v>
      </c>
      <c r="E242">
        <v>1</v>
      </c>
      <c r="F242">
        <v>51561</v>
      </c>
      <c r="G242">
        <v>51561</v>
      </c>
      <c r="H242" t="s">
        <v>27</v>
      </c>
      <c r="I242" t="s">
        <v>19</v>
      </c>
      <c r="J242" t="s">
        <v>20</v>
      </c>
      <c r="K242" s="6"/>
      <c r="L242" s="6"/>
      <c r="M242" s="13"/>
    </row>
    <row r="243" spans="1:13" x14ac:dyDescent="0.35">
      <c r="A243">
        <v>1242</v>
      </c>
      <c r="B243" t="s">
        <v>277</v>
      </c>
      <c r="C243" t="s">
        <v>17</v>
      </c>
      <c r="D243" t="s">
        <v>12</v>
      </c>
      <c r="E243">
        <v>3</v>
      </c>
      <c r="F243">
        <v>2846</v>
      </c>
      <c r="G243">
        <v>8538</v>
      </c>
      <c r="H243" t="s">
        <v>18</v>
      </c>
      <c r="I243" t="s">
        <v>14</v>
      </c>
      <c r="J243" t="s">
        <v>15</v>
      </c>
      <c r="K243" s="6"/>
      <c r="L243" s="6"/>
      <c r="M243" s="13"/>
    </row>
    <row r="244" spans="1:13" x14ac:dyDescent="0.35">
      <c r="A244">
        <v>1243</v>
      </c>
      <c r="B244" t="s">
        <v>278</v>
      </c>
      <c r="C244" t="s">
        <v>22</v>
      </c>
      <c r="D244" t="s">
        <v>23</v>
      </c>
      <c r="E244">
        <v>2</v>
      </c>
      <c r="F244">
        <v>1792</v>
      </c>
      <c r="G244">
        <v>3584</v>
      </c>
      <c r="H244" t="s">
        <v>37</v>
      </c>
      <c r="I244" t="s">
        <v>14</v>
      </c>
      <c r="J244" t="s">
        <v>20</v>
      </c>
      <c r="K244" s="6"/>
      <c r="L244" s="6"/>
      <c r="M244" s="13"/>
    </row>
    <row r="245" spans="1:13" x14ac:dyDescent="0.35">
      <c r="A245">
        <v>1244</v>
      </c>
      <c r="B245" t="s">
        <v>279</v>
      </c>
      <c r="C245" t="s">
        <v>25</v>
      </c>
      <c r="D245" t="s">
        <v>26</v>
      </c>
      <c r="E245">
        <v>1</v>
      </c>
      <c r="F245">
        <v>17414</v>
      </c>
      <c r="G245">
        <v>17414</v>
      </c>
      <c r="H245" t="s">
        <v>37</v>
      </c>
      <c r="I245" t="s">
        <v>14</v>
      </c>
      <c r="J245" t="s">
        <v>20</v>
      </c>
      <c r="K245" s="6"/>
      <c r="L245" s="6"/>
      <c r="M245" s="13"/>
    </row>
    <row r="246" spans="1:13" x14ac:dyDescent="0.35">
      <c r="A246">
        <v>1245</v>
      </c>
      <c r="B246" t="s">
        <v>280</v>
      </c>
      <c r="C246" t="s">
        <v>29</v>
      </c>
      <c r="D246" t="s">
        <v>26</v>
      </c>
      <c r="E246">
        <v>5</v>
      </c>
      <c r="F246">
        <v>417</v>
      </c>
      <c r="G246">
        <v>2085</v>
      </c>
      <c r="H246" t="s">
        <v>51</v>
      </c>
      <c r="I246" t="s">
        <v>19</v>
      </c>
      <c r="J246" t="s">
        <v>33</v>
      </c>
      <c r="K246" s="6"/>
      <c r="L246" s="6"/>
      <c r="M246" s="13"/>
    </row>
    <row r="247" spans="1:13" x14ac:dyDescent="0.35">
      <c r="A247">
        <v>1246</v>
      </c>
      <c r="B247" t="s">
        <v>281</v>
      </c>
      <c r="C247" t="s">
        <v>31</v>
      </c>
      <c r="D247" t="s">
        <v>12</v>
      </c>
      <c r="E247">
        <v>1</v>
      </c>
      <c r="F247">
        <v>32293</v>
      </c>
      <c r="G247">
        <v>32293</v>
      </c>
      <c r="H247" t="s">
        <v>27</v>
      </c>
      <c r="I247" t="s">
        <v>14</v>
      </c>
      <c r="J247" t="s">
        <v>20</v>
      </c>
      <c r="K247" s="6"/>
      <c r="L247" s="6"/>
      <c r="M247" s="13"/>
    </row>
    <row r="248" spans="1:13" x14ac:dyDescent="0.35">
      <c r="A248">
        <v>1247</v>
      </c>
      <c r="B248" t="s">
        <v>282</v>
      </c>
      <c r="C248" t="s">
        <v>35</v>
      </c>
      <c r="D248" t="s">
        <v>36</v>
      </c>
      <c r="E248">
        <v>2</v>
      </c>
      <c r="F248">
        <v>750</v>
      </c>
      <c r="G248">
        <v>1500</v>
      </c>
      <c r="H248" t="s">
        <v>51</v>
      </c>
      <c r="I248" t="s">
        <v>32</v>
      </c>
      <c r="J248" t="s">
        <v>33</v>
      </c>
      <c r="K248" s="6"/>
      <c r="L248" s="6"/>
      <c r="M248" s="13"/>
    </row>
    <row r="249" spans="1:13" x14ac:dyDescent="0.35">
      <c r="A249">
        <v>1248</v>
      </c>
      <c r="B249" t="s">
        <v>283</v>
      </c>
      <c r="C249" t="s">
        <v>39</v>
      </c>
      <c r="D249" t="s">
        <v>23</v>
      </c>
      <c r="E249">
        <v>3</v>
      </c>
      <c r="F249">
        <v>1702</v>
      </c>
      <c r="G249">
        <v>5106</v>
      </c>
      <c r="H249" t="s">
        <v>51</v>
      </c>
      <c r="I249" t="s">
        <v>14</v>
      </c>
      <c r="J249" t="s">
        <v>33</v>
      </c>
      <c r="K249" s="6"/>
      <c r="L249" s="6"/>
      <c r="M249" s="13"/>
    </row>
    <row r="250" spans="1:13" x14ac:dyDescent="0.35">
      <c r="A250">
        <v>1249</v>
      </c>
      <c r="B250" t="s">
        <v>284</v>
      </c>
      <c r="C250" t="s">
        <v>42</v>
      </c>
      <c r="D250" t="s">
        <v>12</v>
      </c>
      <c r="E250">
        <v>1</v>
      </c>
      <c r="F250">
        <v>10698</v>
      </c>
      <c r="G250">
        <v>10698</v>
      </c>
      <c r="H250" t="s">
        <v>18</v>
      </c>
      <c r="I250" t="s">
        <v>19</v>
      </c>
      <c r="J250" t="s">
        <v>15</v>
      </c>
      <c r="K250" s="6"/>
      <c r="L250" s="6"/>
      <c r="M250" s="13"/>
    </row>
    <row r="251" spans="1:13" x14ac:dyDescent="0.35">
      <c r="A251">
        <v>1250</v>
      </c>
      <c r="B251" t="s">
        <v>285</v>
      </c>
      <c r="C251" t="s">
        <v>44</v>
      </c>
      <c r="D251" t="s">
        <v>26</v>
      </c>
      <c r="E251">
        <v>3</v>
      </c>
      <c r="F251">
        <v>468</v>
      </c>
      <c r="G251">
        <v>1404</v>
      </c>
      <c r="H251" t="s">
        <v>18</v>
      </c>
      <c r="I251" t="s">
        <v>14</v>
      </c>
      <c r="J251" t="s">
        <v>20</v>
      </c>
      <c r="K251" s="6"/>
      <c r="L251" s="6"/>
      <c r="M251" s="13"/>
    </row>
    <row r="252" spans="1:13" x14ac:dyDescent="0.35">
      <c r="A252">
        <v>1251</v>
      </c>
      <c r="B252" t="s">
        <v>286</v>
      </c>
      <c r="C252" t="s">
        <v>11</v>
      </c>
      <c r="D252" t="s">
        <v>12</v>
      </c>
      <c r="E252">
        <v>2</v>
      </c>
      <c r="F252">
        <v>57310</v>
      </c>
      <c r="G252">
        <v>114620</v>
      </c>
      <c r="H252" t="s">
        <v>27</v>
      </c>
      <c r="I252" t="s">
        <v>19</v>
      </c>
      <c r="J252" t="s">
        <v>33</v>
      </c>
      <c r="K252" s="6"/>
      <c r="L252" s="6"/>
      <c r="M252" s="13"/>
    </row>
    <row r="253" spans="1:13" x14ac:dyDescent="0.35">
      <c r="A253">
        <v>1252</v>
      </c>
      <c r="B253" t="s">
        <v>287</v>
      </c>
      <c r="C253" t="s">
        <v>17</v>
      </c>
      <c r="D253" t="s">
        <v>12</v>
      </c>
      <c r="E253">
        <v>1</v>
      </c>
      <c r="F253">
        <v>1155</v>
      </c>
      <c r="G253">
        <v>1155</v>
      </c>
      <c r="H253" t="s">
        <v>51</v>
      </c>
      <c r="I253" t="s">
        <v>19</v>
      </c>
      <c r="J253" t="s">
        <v>33</v>
      </c>
      <c r="K253" s="6"/>
      <c r="L253" s="6"/>
      <c r="M253" s="13"/>
    </row>
    <row r="254" spans="1:13" x14ac:dyDescent="0.35">
      <c r="A254">
        <v>1253</v>
      </c>
      <c r="B254" t="s">
        <v>288</v>
      </c>
      <c r="C254" t="s">
        <v>22</v>
      </c>
      <c r="D254" t="s">
        <v>23</v>
      </c>
      <c r="E254">
        <v>1</v>
      </c>
      <c r="F254">
        <v>3955</v>
      </c>
      <c r="G254">
        <v>3955</v>
      </c>
      <c r="H254" t="s">
        <v>27</v>
      </c>
      <c r="I254" t="s">
        <v>19</v>
      </c>
      <c r="J254" t="s">
        <v>20</v>
      </c>
      <c r="K254" s="6"/>
      <c r="L254" s="6"/>
      <c r="M254" s="13"/>
    </row>
    <row r="255" spans="1:13" x14ac:dyDescent="0.35">
      <c r="A255">
        <v>1254</v>
      </c>
      <c r="B255" t="s">
        <v>289</v>
      </c>
      <c r="C255" t="s">
        <v>25</v>
      </c>
      <c r="D255" t="s">
        <v>26</v>
      </c>
      <c r="E255">
        <v>2</v>
      </c>
      <c r="F255">
        <v>11560</v>
      </c>
      <c r="G255">
        <v>23120</v>
      </c>
      <c r="H255" t="s">
        <v>27</v>
      </c>
      <c r="I255" t="s">
        <v>32</v>
      </c>
      <c r="J255" t="s">
        <v>33</v>
      </c>
      <c r="K255" s="6"/>
      <c r="L255" s="6"/>
      <c r="M255" s="13"/>
    </row>
    <row r="256" spans="1:13" x14ac:dyDescent="0.35">
      <c r="A256">
        <v>1255</v>
      </c>
      <c r="B256" t="s">
        <v>290</v>
      </c>
      <c r="C256" t="s">
        <v>29</v>
      </c>
      <c r="D256" t="s">
        <v>26</v>
      </c>
      <c r="E256">
        <v>3</v>
      </c>
      <c r="F256">
        <v>457</v>
      </c>
      <c r="G256">
        <v>1371</v>
      </c>
      <c r="H256" t="s">
        <v>27</v>
      </c>
      <c r="I256" t="s">
        <v>19</v>
      </c>
      <c r="J256" t="s">
        <v>20</v>
      </c>
      <c r="K256" s="6"/>
      <c r="L256" s="6"/>
      <c r="M256" s="13"/>
    </row>
    <row r="257" spans="1:13" x14ac:dyDescent="0.35">
      <c r="A257">
        <v>1256</v>
      </c>
      <c r="B257" t="s">
        <v>291</v>
      </c>
      <c r="C257" t="s">
        <v>31</v>
      </c>
      <c r="D257" t="s">
        <v>12</v>
      </c>
      <c r="E257">
        <v>2</v>
      </c>
      <c r="F257">
        <v>22337</v>
      </c>
      <c r="G257">
        <v>44674</v>
      </c>
      <c r="H257" t="s">
        <v>51</v>
      </c>
      <c r="I257" t="s">
        <v>19</v>
      </c>
      <c r="J257" t="s">
        <v>15</v>
      </c>
      <c r="K257" s="6"/>
      <c r="L257" s="6"/>
      <c r="M257" s="13"/>
    </row>
    <row r="258" spans="1:13" x14ac:dyDescent="0.35">
      <c r="A258">
        <v>1257</v>
      </c>
      <c r="B258" t="s">
        <v>292</v>
      </c>
      <c r="C258" t="s">
        <v>35</v>
      </c>
      <c r="D258" t="s">
        <v>36</v>
      </c>
      <c r="E258">
        <v>5</v>
      </c>
      <c r="F258">
        <v>379</v>
      </c>
      <c r="G258">
        <v>1895</v>
      </c>
      <c r="H258" t="s">
        <v>51</v>
      </c>
      <c r="I258" t="s">
        <v>32</v>
      </c>
      <c r="J258" t="s">
        <v>33</v>
      </c>
      <c r="K258" s="6"/>
      <c r="L258" s="6"/>
      <c r="M258" s="13"/>
    </row>
    <row r="259" spans="1:13" x14ac:dyDescent="0.35">
      <c r="A259">
        <v>1258</v>
      </c>
      <c r="B259" t="s">
        <v>293</v>
      </c>
      <c r="C259" t="s">
        <v>39</v>
      </c>
      <c r="D259" t="s">
        <v>23</v>
      </c>
      <c r="E259">
        <v>5</v>
      </c>
      <c r="F259">
        <v>667</v>
      </c>
      <c r="G259">
        <v>3335</v>
      </c>
      <c r="H259" t="s">
        <v>13</v>
      </c>
      <c r="I259" t="s">
        <v>19</v>
      </c>
      <c r="J259" t="s">
        <v>15</v>
      </c>
      <c r="K259" s="6"/>
      <c r="L259" s="6"/>
      <c r="M259" s="13"/>
    </row>
    <row r="260" spans="1:13" x14ac:dyDescent="0.35">
      <c r="A260">
        <v>1259</v>
      </c>
      <c r="B260" t="s">
        <v>294</v>
      </c>
      <c r="C260" t="s">
        <v>42</v>
      </c>
      <c r="D260" t="s">
        <v>12</v>
      </c>
      <c r="E260">
        <v>2</v>
      </c>
      <c r="F260">
        <v>13263</v>
      </c>
      <c r="G260">
        <v>26526</v>
      </c>
      <c r="H260" t="s">
        <v>37</v>
      </c>
      <c r="I260" t="s">
        <v>19</v>
      </c>
      <c r="J260" t="s">
        <v>20</v>
      </c>
      <c r="K260" s="6"/>
      <c r="L260" s="6"/>
      <c r="M260" s="13"/>
    </row>
    <row r="261" spans="1:13" x14ac:dyDescent="0.35">
      <c r="A261">
        <v>1260</v>
      </c>
      <c r="B261" t="s">
        <v>295</v>
      </c>
      <c r="C261" t="s">
        <v>44</v>
      </c>
      <c r="D261" t="s">
        <v>26</v>
      </c>
      <c r="E261">
        <v>4</v>
      </c>
      <c r="F261">
        <v>503</v>
      </c>
      <c r="G261">
        <v>2012</v>
      </c>
      <c r="H261" t="s">
        <v>27</v>
      </c>
      <c r="I261" t="s">
        <v>14</v>
      </c>
      <c r="J261" t="s">
        <v>20</v>
      </c>
      <c r="K261" s="6"/>
      <c r="L261" s="6"/>
      <c r="M261" s="13"/>
    </row>
    <row r="262" spans="1:13" x14ac:dyDescent="0.35">
      <c r="A262">
        <v>1261</v>
      </c>
      <c r="B262" t="s">
        <v>296</v>
      </c>
      <c r="C262" t="s">
        <v>11</v>
      </c>
      <c r="D262" t="s">
        <v>12</v>
      </c>
      <c r="E262">
        <v>1</v>
      </c>
      <c r="F262">
        <v>53499</v>
      </c>
      <c r="G262">
        <v>53499</v>
      </c>
      <c r="H262" t="s">
        <v>13</v>
      </c>
      <c r="I262" t="s">
        <v>14</v>
      </c>
      <c r="J262" t="s">
        <v>15</v>
      </c>
      <c r="K262" s="6"/>
      <c r="L262" s="6"/>
      <c r="M262" s="13"/>
    </row>
    <row r="263" spans="1:13" x14ac:dyDescent="0.35">
      <c r="A263">
        <v>1262</v>
      </c>
      <c r="B263" t="s">
        <v>297</v>
      </c>
      <c r="C263" t="s">
        <v>17</v>
      </c>
      <c r="D263" t="s">
        <v>12</v>
      </c>
      <c r="E263">
        <v>1</v>
      </c>
      <c r="F263">
        <v>3910</v>
      </c>
      <c r="G263">
        <v>3910</v>
      </c>
      <c r="H263" t="s">
        <v>40</v>
      </c>
      <c r="I263" t="s">
        <v>14</v>
      </c>
      <c r="J263" t="s">
        <v>20</v>
      </c>
      <c r="K263" s="6"/>
      <c r="L263" s="6"/>
      <c r="M263" s="13"/>
    </row>
    <row r="264" spans="1:13" x14ac:dyDescent="0.35">
      <c r="A264">
        <v>1263</v>
      </c>
      <c r="B264" t="s">
        <v>298</v>
      </c>
      <c r="C264" t="s">
        <v>22</v>
      </c>
      <c r="D264" t="s">
        <v>23</v>
      </c>
      <c r="E264">
        <v>1</v>
      </c>
      <c r="F264">
        <v>3590</v>
      </c>
      <c r="G264">
        <v>3590</v>
      </c>
      <c r="H264" t="s">
        <v>37</v>
      </c>
      <c r="I264" t="s">
        <v>32</v>
      </c>
      <c r="J264" t="s">
        <v>15</v>
      </c>
      <c r="K264" s="6"/>
      <c r="L264" s="6"/>
      <c r="M264" s="13"/>
    </row>
    <row r="265" spans="1:13" x14ac:dyDescent="0.35">
      <c r="A265">
        <v>1264</v>
      </c>
      <c r="B265" t="s">
        <v>299</v>
      </c>
      <c r="C265" t="s">
        <v>25</v>
      </c>
      <c r="D265" t="s">
        <v>26</v>
      </c>
      <c r="E265">
        <v>5</v>
      </c>
      <c r="F265">
        <v>4354</v>
      </c>
      <c r="G265">
        <v>21770</v>
      </c>
      <c r="H265" t="s">
        <v>40</v>
      </c>
      <c r="I265" t="s">
        <v>32</v>
      </c>
      <c r="J265" t="s">
        <v>20</v>
      </c>
      <c r="K265" s="6"/>
      <c r="L265" s="6"/>
      <c r="M265" s="13"/>
    </row>
    <row r="266" spans="1:13" x14ac:dyDescent="0.35">
      <c r="A266">
        <v>1265</v>
      </c>
      <c r="B266" t="s">
        <v>300</v>
      </c>
      <c r="C266" t="s">
        <v>29</v>
      </c>
      <c r="D266" t="s">
        <v>26</v>
      </c>
      <c r="E266">
        <v>1</v>
      </c>
      <c r="F266">
        <v>878</v>
      </c>
      <c r="G266">
        <v>878</v>
      </c>
      <c r="H266" t="s">
        <v>13</v>
      </c>
      <c r="I266" t="s">
        <v>14</v>
      </c>
      <c r="J266" t="s">
        <v>15</v>
      </c>
      <c r="K266" s="6"/>
      <c r="L266" s="6"/>
      <c r="M266" s="13"/>
    </row>
    <row r="267" spans="1:13" x14ac:dyDescent="0.35">
      <c r="A267">
        <v>1266</v>
      </c>
      <c r="B267" t="s">
        <v>301</v>
      </c>
      <c r="C267" t="s">
        <v>31</v>
      </c>
      <c r="D267" t="s">
        <v>12</v>
      </c>
      <c r="E267">
        <v>1</v>
      </c>
      <c r="F267">
        <v>28657</v>
      </c>
      <c r="G267">
        <v>28657</v>
      </c>
      <c r="H267" t="s">
        <v>51</v>
      </c>
      <c r="I267" t="s">
        <v>32</v>
      </c>
      <c r="J267" t="s">
        <v>33</v>
      </c>
      <c r="K267" s="6"/>
      <c r="L267" s="6"/>
      <c r="M267" s="13"/>
    </row>
    <row r="268" spans="1:13" x14ac:dyDescent="0.35">
      <c r="A268">
        <v>1267</v>
      </c>
      <c r="B268" t="s">
        <v>302</v>
      </c>
      <c r="C268" t="s">
        <v>35</v>
      </c>
      <c r="D268" t="s">
        <v>36</v>
      </c>
      <c r="E268">
        <v>1</v>
      </c>
      <c r="F268">
        <v>394</v>
      </c>
      <c r="G268">
        <v>394</v>
      </c>
      <c r="H268" t="s">
        <v>18</v>
      </c>
      <c r="I268" t="s">
        <v>14</v>
      </c>
      <c r="J268" t="s">
        <v>33</v>
      </c>
      <c r="K268" s="6"/>
      <c r="L268" s="6"/>
      <c r="M268" s="13"/>
    </row>
    <row r="269" spans="1:13" x14ac:dyDescent="0.35">
      <c r="A269">
        <v>1268</v>
      </c>
      <c r="B269" t="s">
        <v>303</v>
      </c>
      <c r="C269" t="s">
        <v>39</v>
      </c>
      <c r="D269" t="s">
        <v>23</v>
      </c>
      <c r="E269">
        <v>3</v>
      </c>
      <c r="F269">
        <v>1554</v>
      </c>
      <c r="G269">
        <v>4662</v>
      </c>
      <c r="H269" t="s">
        <v>37</v>
      </c>
      <c r="I269" t="s">
        <v>14</v>
      </c>
      <c r="J269" t="s">
        <v>20</v>
      </c>
      <c r="K269" s="6"/>
      <c r="L269" s="6"/>
      <c r="M269" s="13"/>
    </row>
    <row r="270" spans="1:13" x14ac:dyDescent="0.35">
      <c r="A270">
        <v>1269</v>
      </c>
      <c r="B270" t="s">
        <v>304</v>
      </c>
      <c r="C270" t="s">
        <v>42</v>
      </c>
      <c r="D270" t="s">
        <v>12</v>
      </c>
      <c r="E270">
        <v>1</v>
      </c>
      <c r="F270">
        <v>4066</v>
      </c>
      <c r="G270">
        <v>4066</v>
      </c>
      <c r="H270" t="s">
        <v>40</v>
      </c>
      <c r="I270" t="s">
        <v>32</v>
      </c>
      <c r="J270" t="s">
        <v>20</v>
      </c>
      <c r="K270" s="6"/>
      <c r="L270" s="6"/>
      <c r="M270" s="13"/>
    </row>
    <row r="271" spans="1:13" x14ac:dyDescent="0.35">
      <c r="A271">
        <v>1270</v>
      </c>
      <c r="B271" t="s">
        <v>305</v>
      </c>
      <c r="C271" t="s">
        <v>44</v>
      </c>
      <c r="D271" t="s">
        <v>26</v>
      </c>
      <c r="E271">
        <v>5</v>
      </c>
      <c r="F271">
        <v>210</v>
      </c>
      <c r="G271">
        <v>1050</v>
      </c>
      <c r="H271" t="s">
        <v>18</v>
      </c>
      <c r="I271" t="s">
        <v>19</v>
      </c>
      <c r="J271" t="s">
        <v>20</v>
      </c>
      <c r="K271" s="6"/>
      <c r="L271" s="6"/>
      <c r="M271" s="13"/>
    </row>
    <row r="272" spans="1:13" x14ac:dyDescent="0.35">
      <c r="A272">
        <v>1271</v>
      </c>
      <c r="B272" t="s">
        <v>306</v>
      </c>
      <c r="C272" t="s">
        <v>11</v>
      </c>
      <c r="D272" t="s">
        <v>12</v>
      </c>
      <c r="E272">
        <v>1</v>
      </c>
      <c r="F272">
        <v>40792</v>
      </c>
      <c r="G272">
        <v>40792</v>
      </c>
      <c r="H272" t="s">
        <v>40</v>
      </c>
      <c r="I272" t="s">
        <v>32</v>
      </c>
      <c r="J272" t="s">
        <v>15</v>
      </c>
      <c r="K272" s="6"/>
      <c r="L272" s="6"/>
      <c r="M272" s="13"/>
    </row>
    <row r="273" spans="1:13" x14ac:dyDescent="0.35">
      <c r="A273">
        <v>1272</v>
      </c>
      <c r="B273" t="s">
        <v>307</v>
      </c>
      <c r="C273" t="s">
        <v>17</v>
      </c>
      <c r="D273" t="s">
        <v>12</v>
      </c>
      <c r="E273">
        <v>2</v>
      </c>
      <c r="F273">
        <v>3380</v>
      </c>
      <c r="G273">
        <v>6760</v>
      </c>
      <c r="H273" t="s">
        <v>18</v>
      </c>
      <c r="I273" t="s">
        <v>19</v>
      </c>
      <c r="J273" t="s">
        <v>15</v>
      </c>
      <c r="K273" s="6"/>
      <c r="L273" s="6"/>
      <c r="M273" s="13"/>
    </row>
    <row r="274" spans="1:13" x14ac:dyDescent="0.35">
      <c r="A274">
        <v>1273</v>
      </c>
      <c r="B274" t="s">
        <v>308</v>
      </c>
      <c r="C274" t="s">
        <v>22</v>
      </c>
      <c r="D274" t="s">
        <v>23</v>
      </c>
      <c r="E274">
        <v>2</v>
      </c>
      <c r="F274">
        <v>1061</v>
      </c>
      <c r="G274">
        <v>2122</v>
      </c>
      <c r="H274" t="s">
        <v>37</v>
      </c>
      <c r="I274" t="s">
        <v>14</v>
      </c>
      <c r="J274" t="s">
        <v>15</v>
      </c>
      <c r="K274" s="6"/>
      <c r="L274" s="6"/>
      <c r="M274" s="13"/>
    </row>
    <row r="275" spans="1:13" x14ac:dyDescent="0.35">
      <c r="A275">
        <v>1274</v>
      </c>
      <c r="B275" t="s">
        <v>309</v>
      </c>
      <c r="C275" t="s">
        <v>25</v>
      </c>
      <c r="D275" t="s">
        <v>26</v>
      </c>
      <c r="E275">
        <v>5</v>
      </c>
      <c r="F275">
        <v>9610</v>
      </c>
      <c r="G275">
        <v>48050</v>
      </c>
      <c r="H275" t="s">
        <v>37</v>
      </c>
      <c r="I275" t="s">
        <v>32</v>
      </c>
      <c r="J275" t="s">
        <v>20</v>
      </c>
      <c r="K275" s="6"/>
      <c r="L275" s="6"/>
      <c r="M275" s="13"/>
    </row>
    <row r="276" spans="1:13" x14ac:dyDescent="0.35">
      <c r="A276">
        <v>1275</v>
      </c>
      <c r="B276" t="s">
        <v>310</v>
      </c>
      <c r="C276" t="s">
        <v>29</v>
      </c>
      <c r="D276" t="s">
        <v>26</v>
      </c>
      <c r="E276">
        <v>1</v>
      </c>
      <c r="F276">
        <v>901</v>
      </c>
      <c r="G276">
        <v>901</v>
      </c>
      <c r="H276" t="s">
        <v>18</v>
      </c>
      <c r="I276" t="s">
        <v>32</v>
      </c>
      <c r="J276" t="s">
        <v>20</v>
      </c>
      <c r="K276" s="6"/>
      <c r="L276" s="6"/>
      <c r="M276" s="13"/>
    </row>
    <row r="277" spans="1:13" x14ac:dyDescent="0.35">
      <c r="A277">
        <v>1276</v>
      </c>
      <c r="B277" t="s">
        <v>311</v>
      </c>
      <c r="C277" t="s">
        <v>31</v>
      </c>
      <c r="D277" t="s">
        <v>12</v>
      </c>
      <c r="E277">
        <v>2</v>
      </c>
      <c r="F277">
        <v>18752</v>
      </c>
      <c r="G277">
        <v>37504</v>
      </c>
      <c r="H277" t="s">
        <v>27</v>
      </c>
      <c r="I277" t="s">
        <v>32</v>
      </c>
      <c r="J277" t="s">
        <v>15</v>
      </c>
      <c r="K277" s="6"/>
      <c r="L277" s="6"/>
      <c r="M277" s="13"/>
    </row>
    <row r="278" spans="1:13" x14ac:dyDescent="0.35">
      <c r="A278">
        <v>1277</v>
      </c>
      <c r="B278" t="s">
        <v>312</v>
      </c>
      <c r="C278" t="s">
        <v>35</v>
      </c>
      <c r="D278" t="s">
        <v>36</v>
      </c>
      <c r="E278">
        <v>1</v>
      </c>
      <c r="F278">
        <v>129</v>
      </c>
      <c r="G278">
        <v>129</v>
      </c>
      <c r="H278" t="s">
        <v>18</v>
      </c>
      <c r="I278" t="s">
        <v>14</v>
      </c>
      <c r="J278" t="s">
        <v>15</v>
      </c>
      <c r="K278" s="6"/>
      <c r="L278" s="6"/>
      <c r="M278" s="13"/>
    </row>
    <row r="279" spans="1:13" x14ac:dyDescent="0.35">
      <c r="A279">
        <v>1278</v>
      </c>
      <c r="B279" t="s">
        <v>313</v>
      </c>
      <c r="C279" t="s">
        <v>39</v>
      </c>
      <c r="D279" t="s">
        <v>23</v>
      </c>
      <c r="E279">
        <v>1</v>
      </c>
      <c r="F279">
        <v>828</v>
      </c>
      <c r="G279">
        <v>828</v>
      </c>
      <c r="H279" t="s">
        <v>37</v>
      </c>
      <c r="I279" t="s">
        <v>14</v>
      </c>
      <c r="J279" t="s">
        <v>20</v>
      </c>
      <c r="K279" s="6"/>
      <c r="L279" s="6"/>
      <c r="M279" s="13"/>
    </row>
    <row r="280" spans="1:13" x14ac:dyDescent="0.35">
      <c r="A280">
        <v>1279</v>
      </c>
      <c r="B280" t="s">
        <v>314</v>
      </c>
      <c r="C280" t="s">
        <v>42</v>
      </c>
      <c r="D280" t="s">
        <v>12</v>
      </c>
      <c r="E280">
        <v>2</v>
      </c>
      <c r="F280">
        <v>4999</v>
      </c>
      <c r="G280">
        <v>9998</v>
      </c>
      <c r="H280" t="s">
        <v>40</v>
      </c>
      <c r="I280" t="s">
        <v>19</v>
      </c>
      <c r="J280" t="s">
        <v>20</v>
      </c>
      <c r="K280" s="6"/>
      <c r="L280" s="6"/>
      <c r="M280" s="13"/>
    </row>
    <row r="281" spans="1:13" x14ac:dyDescent="0.35">
      <c r="A281">
        <v>1280</v>
      </c>
      <c r="B281" t="s">
        <v>315</v>
      </c>
      <c r="C281" t="s">
        <v>44</v>
      </c>
      <c r="D281" t="s">
        <v>26</v>
      </c>
      <c r="E281">
        <v>4</v>
      </c>
      <c r="F281">
        <v>677</v>
      </c>
      <c r="G281">
        <v>2708</v>
      </c>
      <c r="H281" t="s">
        <v>27</v>
      </c>
      <c r="I281" t="s">
        <v>19</v>
      </c>
      <c r="J281" t="s">
        <v>15</v>
      </c>
      <c r="K281" s="6"/>
      <c r="L281" s="6"/>
      <c r="M281" s="13"/>
    </row>
    <row r="282" spans="1:13" x14ac:dyDescent="0.35">
      <c r="A282">
        <v>1281</v>
      </c>
      <c r="B282" t="s">
        <v>316</v>
      </c>
      <c r="C282" t="s">
        <v>11</v>
      </c>
      <c r="D282" t="s">
        <v>12</v>
      </c>
      <c r="E282">
        <v>1</v>
      </c>
      <c r="F282">
        <v>47291</v>
      </c>
      <c r="G282">
        <v>47291</v>
      </c>
      <c r="H282" t="s">
        <v>37</v>
      </c>
      <c r="I282" t="s">
        <v>32</v>
      </c>
      <c r="J282" t="s">
        <v>15</v>
      </c>
      <c r="K282" s="6"/>
      <c r="L282" s="6"/>
      <c r="M282" s="13"/>
    </row>
    <row r="283" spans="1:13" x14ac:dyDescent="0.35">
      <c r="A283">
        <v>1282</v>
      </c>
      <c r="B283" t="s">
        <v>317</v>
      </c>
      <c r="C283" t="s">
        <v>17</v>
      </c>
      <c r="D283" t="s">
        <v>12</v>
      </c>
      <c r="E283">
        <v>3</v>
      </c>
      <c r="F283">
        <v>2127</v>
      </c>
      <c r="G283">
        <v>6381</v>
      </c>
      <c r="H283" t="s">
        <v>27</v>
      </c>
      <c r="I283" t="s">
        <v>32</v>
      </c>
      <c r="J283" t="s">
        <v>15</v>
      </c>
      <c r="K283" s="6"/>
      <c r="L283" s="6"/>
      <c r="M283" s="13"/>
    </row>
    <row r="284" spans="1:13" x14ac:dyDescent="0.35">
      <c r="A284">
        <v>1283</v>
      </c>
      <c r="B284" t="s">
        <v>318</v>
      </c>
      <c r="C284" t="s">
        <v>22</v>
      </c>
      <c r="D284" t="s">
        <v>23</v>
      </c>
      <c r="E284">
        <v>3</v>
      </c>
      <c r="F284">
        <v>2869</v>
      </c>
      <c r="G284">
        <v>8607</v>
      </c>
      <c r="H284" t="s">
        <v>18</v>
      </c>
      <c r="I284" t="s">
        <v>19</v>
      </c>
      <c r="J284" t="s">
        <v>15</v>
      </c>
      <c r="K284" s="6"/>
      <c r="L284" s="6"/>
      <c r="M284" s="13"/>
    </row>
    <row r="285" spans="1:13" x14ac:dyDescent="0.35">
      <c r="A285">
        <v>1284</v>
      </c>
      <c r="B285" t="s">
        <v>319</v>
      </c>
      <c r="C285" t="s">
        <v>25</v>
      </c>
      <c r="D285" t="s">
        <v>26</v>
      </c>
      <c r="E285">
        <v>3</v>
      </c>
      <c r="F285">
        <v>7361</v>
      </c>
      <c r="G285">
        <v>22083</v>
      </c>
      <c r="H285" t="s">
        <v>40</v>
      </c>
      <c r="I285" t="s">
        <v>32</v>
      </c>
      <c r="J285" t="s">
        <v>33</v>
      </c>
      <c r="K285" s="6"/>
      <c r="L285" s="6"/>
      <c r="M285" s="13"/>
    </row>
    <row r="286" spans="1:13" x14ac:dyDescent="0.35">
      <c r="A286">
        <v>1285</v>
      </c>
      <c r="B286" t="s">
        <v>320</v>
      </c>
      <c r="C286" t="s">
        <v>29</v>
      </c>
      <c r="D286" t="s">
        <v>26</v>
      </c>
      <c r="E286">
        <v>5</v>
      </c>
      <c r="F286">
        <v>828</v>
      </c>
      <c r="G286">
        <v>4140</v>
      </c>
      <c r="H286" t="s">
        <v>18</v>
      </c>
      <c r="I286" t="s">
        <v>19</v>
      </c>
      <c r="J286" t="s">
        <v>20</v>
      </c>
      <c r="K286" s="6"/>
      <c r="L286" s="6"/>
      <c r="M286" s="13"/>
    </row>
    <row r="287" spans="1:13" x14ac:dyDescent="0.35">
      <c r="A287">
        <v>1286</v>
      </c>
      <c r="B287" t="s">
        <v>321</v>
      </c>
      <c r="C287" t="s">
        <v>31</v>
      </c>
      <c r="D287" t="s">
        <v>12</v>
      </c>
      <c r="E287">
        <v>1</v>
      </c>
      <c r="F287">
        <v>16337</v>
      </c>
      <c r="G287">
        <v>16337</v>
      </c>
      <c r="H287" t="s">
        <v>37</v>
      </c>
      <c r="I287" t="s">
        <v>19</v>
      </c>
      <c r="J287" t="s">
        <v>20</v>
      </c>
      <c r="K287" s="6"/>
      <c r="L287" s="6"/>
      <c r="M287" s="13"/>
    </row>
    <row r="288" spans="1:13" x14ac:dyDescent="0.35">
      <c r="A288">
        <v>1287</v>
      </c>
      <c r="B288" t="s">
        <v>322</v>
      </c>
      <c r="C288" t="s">
        <v>35</v>
      </c>
      <c r="D288" t="s">
        <v>36</v>
      </c>
      <c r="E288">
        <v>3</v>
      </c>
      <c r="F288">
        <v>295</v>
      </c>
      <c r="G288">
        <v>885</v>
      </c>
      <c r="H288" t="s">
        <v>13</v>
      </c>
      <c r="I288" t="s">
        <v>14</v>
      </c>
      <c r="J288" t="s">
        <v>15</v>
      </c>
      <c r="K288" s="6"/>
      <c r="L288" s="6"/>
      <c r="M288" s="13"/>
    </row>
    <row r="289" spans="1:13" x14ac:dyDescent="0.35">
      <c r="A289">
        <v>1288</v>
      </c>
      <c r="B289" t="s">
        <v>323</v>
      </c>
      <c r="C289" t="s">
        <v>39</v>
      </c>
      <c r="D289" t="s">
        <v>23</v>
      </c>
      <c r="E289">
        <v>2</v>
      </c>
      <c r="F289">
        <v>1486</v>
      </c>
      <c r="G289">
        <v>2972</v>
      </c>
      <c r="H289" t="s">
        <v>51</v>
      </c>
      <c r="I289" t="s">
        <v>14</v>
      </c>
      <c r="J289" t="s">
        <v>20</v>
      </c>
      <c r="K289" s="6"/>
      <c r="L289" s="6"/>
      <c r="M289" s="13"/>
    </row>
    <row r="290" spans="1:13" x14ac:dyDescent="0.35">
      <c r="A290">
        <v>1289</v>
      </c>
      <c r="B290" t="s">
        <v>324</v>
      </c>
      <c r="C290" t="s">
        <v>42</v>
      </c>
      <c r="D290" t="s">
        <v>12</v>
      </c>
      <c r="E290">
        <v>2</v>
      </c>
      <c r="F290">
        <v>12872</v>
      </c>
      <c r="G290">
        <v>25744</v>
      </c>
      <c r="H290" t="s">
        <v>51</v>
      </c>
      <c r="I290" t="s">
        <v>14</v>
      </c>
      <c r="J290" t="s">
        <v>33</v>
      </c>
      <c r="K290" s="6"/>
      <c r="L290" s="6"/>
      <c r="M290" s="13"/>
    </row>
    <row r="291" spans="1:13" x14ac:dyDescent="0.35">
      <c r="A291">
        <v>1290</v>
      </c>
      <c r="B291" t="s">
        <v>325</v>
      </c>
      <c r="C291" t="s">
        <v>44</v>
      </c>
      <c r="D291" t="s">
        <v>26</v>
      </c>
      <c r="E291">
        <v>3</v>
      </c>
      <c r="F291">
        <v>740</v>
      </c>
      <c r="G291">
        <v>2220</v>
      </c>
      <c r="H291" t="s">
        <v>27</v>
      </c>
      <c r="I291" t="s">
        <v>19</v>
      </c>
      <c r="J291" t="s">
        <v>20</v>
      </c>
      <c r="K291" s="6"/>
      <c r="L291" s="6"/>
      <c r="M291" s="13"/>
    </row>
    <row r="292" spans="1:13" x14ac:dyDescent="0.35">
      <c r="A292">
        <v>1291</v>
      </c>
      <c r="B292" t="s">
        <v>326</v>
      </c>
      <c r="C292" t="s">
        <v>11</v>
      </c>
      <c r="D292" t="s">
        <v>12</v>
      </c>
      <c r="E292">
        <v>1</v>
      </c>
      <c r="F292">
        <v>69296</v>
      </c>
      <c r="G292">
        <v>69296</v>
      </c>
      <c r="H292" t="s">
        <v>51</v>
      </c>
      <c r="I292" t="s">
        <v>19</v>
      </c>
      <c r="J292" t="s">
        <v>15</v>
      </c>
      <c r="K292" s="6"/>
      <c r="L292" s="6"/>
      <c r="M292" s="13"/>
    </row>
    <row r="293" spans="1:13" x14ac:dyDescent="0.35">
      <c r="A293">
        <v>1292</v>
      </c>
      <c r="B293" t="s">
        <v>327</v>
      </c>
      <c r="C293" t="s">
        <v>17</v>
      </c>
      <c r="D293" t="s">
        <v>12</v>
      </c>
      <c r="E293">
        <v>1</v>
      </c>
      <c r="F293">
        <v>3960</v>
      </c>
      <c r="G293">
        <v>3960</v>
      </c>
      <c r="H293" t="s">
        <v>40</v>
      </c>
      <c r="I293" t="s">
        <v>14</v>
      </c>
      <c r="J293" t="s">
        <v>20</v>
      </c>
      <c r="K293" s="6"/>
      <c r="L293" s="6"/>
      <c r="M293" s="13"/>
    </row>
    <row r="294" spans="1:13" x14ac:dyDescent="0.35">
      <c r="A294">
        <v>1293</v>
      </c>
      <c r="B294" t="s">
        <v>328</v>
      </c>
      <c r="C294" t="s">
        <v>22</v>
      </c>
      <c r="D294" t="s">
        <v>23</v>
      </c>
      <c r="E294">
        <v>3</v>
      </c>
      <c r="F294">
        <v>4486</v>
      </c>
      <c r="G294">
        <v>13458</v>
      </c>
      <c r="H294" t="s">
        <v>51</v>
      </c>
      <c r="I294" t="s">
        <v>14</v>
      </c>
      <c r="J294" t="s">
        <v>20</v>
      </c>
      <c r="K294" s="6"/>
      <c r="L294" s="6"/>
      <c r="M294" s="13"/>
    </row>
    <row r="295" spans="1:13" x14ac:dyDescent="0.35">
      <c r="A295">
        <v>1294</v>
      </c>
      <c r="B295" t="s">
        <v>329</v>
      </c>
      <c r="C295" t="s">
        <v>25</v>
      </c>
      <c r="D295" t="s">
        <v>26</v>
      </c>
      <c r="E295">
        <v>1</v>
      </c>
      <c r="F295">
        <v>18146</v>
      </c>
      <c r="G295">
        <v>18146</v>
      </c>
      <c r="H295" t="s">
        <v>51</v>
      </c>
      <c r="I295" t="s">
        <v>14</v>
      </c>
      <c r="J295" t="s">
        <v>20</v>
      </c>
      <c r="K295" s="6"/>
      <c r="L295" s="6"/>
      <c r="M295" s="13"/>
    </row>
    <row r="296" spans="1:13" x14ac:dyDescent="0.35">
      <c r="A296">
        <v>1295</v>
      </c>
      <c r="B296" t="s">
        <v>330</v>
      </c>
      <c r="C296" t="s">
        <v>29</v>
      </c>
      <c r="D296" t="s">
        <v>26</v>
      </c>
      <c r="E296">
        <v>1</v>
      </c>
      <c r="F296">
        <v>274</v>
      </c>
      <c r="G296">
        <v>274</v>
      </c>
      <c r="H296" t="s">
        <v>18</v>
      </c>
      <c r="I296" t="s">
        <v>19</v>
      </c>
      <c r="J296" t="s">
        <v>33</v>
      </c>
      <c r="K296" s="6"/>
      <c r="L296" s="6"/>
      <c r="M296" s="13"/>
    </row>
    <row r="297" spans="1:13" x14ac:dyDescent="0.35">
      <c r="A297">
        <v>1296</v>
      </c>
      <c r="B297" t="s">
        <v>331</v>
      </c>
      <c r="C297" t="s">
        <v>31</v>
      </c>
      <c r="D297" t="s">
        <v>12</v>
      </c>
      <c r="E297">
        <v>1</v>
      </c>
      <c r="F297">
        <v>34548</v>
      </c>
      <c r="G297">
        <v>34548</v>
      </c>
      <c r="H297" t="s">
        <v>18</v>
      </c>
      <c r="I297" t="s">
        <v>32</v>
      </c>
      <c r="J297" t="s">
        <v>20</v>
      </c>
      <c r="K297" s="6"/>
      <c r="L297" s="6"/>
      <c r="M297" s="13"/>
    </row>
    <row r="298" spans="1:13" x14ac:dyDescent="0.35">
      <c r="A298">
        <v>1297</v>
      </c>
      <c r="B298" t="s">
        <v>332</v>
      </c>
      <c r="C298" t="s">
        <v>35</v>
      </c>
      <c r="D298" t="s">
        <v>36</v>
      </c>
      <c r="E298">
        <v>1</v>
      </c>
      <c r="F298">
        <v>925</v>
      </c>
      <c r="G298">
        <v>925</v>
      </c>
      <c r="H298" t="s">
        <v>40</v>
      </c>
      <c r="I298" t="s">
        <v>32</v>
      </c>
      <c r="J298" t="s">
        <v>33</v>
      </c>
      <c r="K298" s="6"/>
      <c r="L298" s="6"/>
      <c r="M298" s="13"/>
    </row>
    <row r="299" spans="1:13" x14ac:dyDescent="0.35">
      <c r="A299">
        <v>1298</v>
      </c>
      <c r="B299" t="s">
        <v>333</v>
      </c>
      <c r="C299" t="s">
        <v>39</v>
      </c>
      <c r="D299" t="s">
        <v>23</v>
      </c>
      <c r="E299">
        <v>4</v>
      </c>
      <c r="F299">
        <v>899</v>
      </c>
      <c r="G299">
        <v>3596</v>
      </c>
      <c r="H299" t="s">
        <v>51</v>
      </c>
      <c r="I299" t="s">
        <v>19</v>
      </c>
      <c r="J299" t="s">
        <v>33</v>
      </c>
      <c r="K299" s="6"/>
      <c r="L299" s="6"/>
      <c r="M299" s="13"/>
    </row>
    <row r="300" spans="1:13" x14ac:dyDescent="0.35">
      <c r="A300">
        <v>1299</v>
      </c>
      <c r="B300" t="s">
        <v>334</v>
      </c>
      <c r="C300" t="s">
        <v>42</v>
      </c>
      <c r="D300" t="s">
        <v>12</v>
      </c>
      <c r="E300">
        <v>2</v>
      </c>
      <c r="F300">
        <v>11888</v>
      </c>
      <c r="G300">
        <v>23776</v>
      </c>
      <c r="H300" t="s">
        <v>37</v>
      </c>
      <c r="I300" t="s">
        <v>19</v>
      </c>
      <c r="J300" t="s">
        <v>15</v>
      </c>
      <c r="K300" s="6"/>
      <c r="L300" s="6"/>
      <c r="M300" s="13"/>
    </row>
    <row r="301" spans="1:13" x14ac:dyDescent="0.35">
      <c r="A301">
        <v>1300</v>
      </c>
      <c r="B301" t="s">
        <v>335</v>
      </c>
      <c r="C301" t="s">
        <v>44</v>
      </c>
      <c r="D301" t="s">
        <v>26</v>
      </c>
      <c r="E301">
        <v>3</v>
      </c>
      <c r="F301">
        <v>551</v>
      </c>
      <c r="G301">
        <v>1653</v>
      </c>
      <c r="H301" t="s">
        <v>37</v>
      </c>
      <c r="I301" t="s">
        <v>32</v>
      </c>
      <c r="J301" t="s">
        <v>15</v>
      </c>
      <c r="K301" s="6"/>
      <c r="L301" s="6"/>
      <c r="M301" s="13"/>
    </row>
    <row r="302" spans="1:13" x14ac:dyDescent="0.35">
      <c r="A302">
        <v>1301</v>
      </c>
      <c r="B302" t="s">
        <v>336</v>
      </c>
      <c r="C302" t="s">
        <v>11</v>
      </c>
      <c r="D302" t="s">
        <v>12</v>
      </c>
      <c r="E302">
        <v>1</v>
      </c>
      <c r="F302">
        <v>57645</v>
      </c>
      <c r="G302">
        <v>57645</v>
      </c>
      <c r="H302" t="s">
        <v>18</v>
      </c>
      <c r="I302" t="s">
        <v>19</v>
      </c>
      <c r="J302" t="s">
        <v>33</v>
      </c>
      <c r="K302" s="6"/>
      <c r="L302" s="6"/>
      <c r="M302" s="13"/>
    </row>
    <row r="303" spans="1:13" x14ac:dyDescent="0.35">
      <c r="A303">
        <v>1302</v>
      </c>
      <c r="B303" t="s">
        <v>337</v>
      </c>
      <c r="C303" t="s">
        <v>17</v>
      </c>
      <c r="D303" t="s">
        <v>12</v>
      </c>
      <c r="E303">
        <v>2</v>
      </c>
      <c r="F303">
        <v>3967</v>
      </c>
      <c r="G303">
        <v>7934</v>
      </c>
      <c r="H303" t="s">
        <v>18</v>
      </c>
      <c r="I303" t="s">
        <v>14</v>
      </c>
      <c r="J303" t="s">
        <v>15</v>
      </c>
      <c r="K303" s="6"/>
      <c r="L303" s="6"/>
      <c r="M303" s="13"/>
    </row>
    <row r="304" spans="1:13" x14ac:dyDescent="0.35">
      <c r="A304">
        <v>1303</v>
      </c>
      <c r="B304" t="s">
        <v>338</v>
      </c>
      <c r="C304" t="s">
        <v>22</v>
      </c>
      <c r="D304" t="s">
        <v>23</v>
      </c>
      <c r="E304">
        <v>1</v>
      </c>
      <c r="F304">
        <v>4593</v>
      </c>
      <c r="G304">
        <v>4593</v>
      </c>
      <c r="H304" t="s">
        <v>18</v>
      </c>
      <c r="I304" t="s">
        <v>14</v>
      </c>
      <c r="J304" t="s">
        <v>20</v>
      </c>
      <c r="K304" s="6"/>
      <c r="L304" s="6"/>
      <c r="M304" s="13"/>
    </row>
    <row r="305" spans="1:13" x14ac:dyDescent="0.35">
      <c r="A305">
        <v>1304</v>
      </c>
      <c r="B305" t="s">
        <v>339</v>
      </c>
      <c r="C305" t="s">
        <v>25</v>
      </c>
      <c r="D305" t="s">
        <v>26</v>
      </c>
      <c r="E305">
        <v>4</v>
      </c>
      <c r="F305">
        <v>5728</v>
      </c>
      <c r="G305">
        <v>22912</v>
      </c>
      <c r="H305" t="s">
        <v>18</v>
      </c>
      <c r="I305" t="s">
        <v>19</v>
      </c>
      <c r="J305" t="s">
        <v>33</v>
      </c>
      <c r="K305" s="6"/>
      <c r="L305" s="6"/>
      <c r="M305" s="13"/>
    </row>
    <row r="306" spans="1:13" x14ac:dyDescent="0.35">
      <c r="A306">
        <v>1305</v>
      </c>
      <c r="B306" t="s">
        <v>340</v>
      </c>
      <c r="C306" t="s">
        <v>29</v>
      </c>
      <c r="D306" t="s">
        <v>26</v>
      </c>
      <c r="E306">
        <v>2</v>
      </c>
      <c r="F306">
        <v>498</v>
      </c>
      <c r="G306">
        <v>996</v>
      </c>
      <c r="H306" t="s">
        <v>51</v>
      </c>
      <c r="I306" t="s">
        <v>19</v>
      </c>
      <c r="J306" t="s">
        <v>33</v>
      </c>
      <c r="K306" s="6"/>
      <c r="L306" s="6"/>
      <c r="M306" s="13"/>
    </row>
    <row r="307" spans="1:13" x14ac:dyDescent="0.35">
      <c r="A307">
        <v>1306</v>
      </c>
      <c r="B307" t="s">
        <v>341</v>
      </c>
      <c r="C307" t="s">
        <v>31</v>
      </c>
      <c r="D307" t="s">
        <v>12</v>
      </c>
      <c r="E307">
        <v>2</v>
      </c>
      <c r="F307">
        <v>39710</v>
      </c>
      <c r="G307">
        <v>79420</v>
      </c>
      <c r="H307" t="s">
        <v>40</v>
      </c>
      <c r="I307" t="s">
        <v>19</v>
      </c>
      <c r="J307" t="s">
        <v>20</v>
      </c>
      <c r="K307" s="6"/>
      <c r="L307" s="6"/>
      <c r="M307" s="13"/>
    </row>
    <row r="308" spans="1:13" x14ac:dyDescent="0.35">
      <c r="A308">
        <v>1307</v>
      </c>
      <c r="B308" t="s">
        <v>342</v>
      </c>
      <c r="C308" t="s">
        <v>35</v>
      </c>
      <c r="D308" t="s">
        <v>36</v>
      </c>
      <c r="E308">
        <v>3</v>
      </c>
      <c r="F308">
        <v>197</v>
      </c>
      <c r="G308">
        <v>591</v>
      </c>
      <c r="H308" t="s">
        <v>18</v>
      </c>
      <c r="I308" t="s">
        <v>14</v>
      </c>
      <c r="J308" t="s">
        <v>15</v>
      </c>
      <c r="K308" s="6"/>
      <c r="L308" s="6"/>
      <c r="M308" s="13"/>
    </row>
    <row r="309" spans="1:13" x14ac:dyDescent="0.35">
      <c r="A309">
        <v>1308</v>
      </c>
      <c r="B309" t="s">
        <v>343</v>
      </c>
      <c r="C309" t="s">
        <v>39</v>
      </c>
      <c r="D309" t="s">
        <v>23</v>
      </c>
      <c r="E309">
        <v>2</v>
      </c>
      <c r="F309">
        <v>1815</v>
      </c>
      <c r="G309">
        <v>3630</v>
      </c>
      <c r="H309" t="s">
        <v>37</v>
      </c>
      <c r="I309" t="s">
        <v>19</v>
      </c>
      <c r="J309" t="s">
        <v>20</v>
      </c>
      <c r="K309" s="6"/>
      <c r="L309" s="6"/>
      <c r="M309" s="13"/>
    </row>
    <row r="310" spans="1:13" x14ac:dyDescent="0.35">
      <c r="A310">
        <v>1309</v>
      </c>
      <c r="B310" t="s">
        <v>344</v>
      </c>
      <c r="C310" t="s">
        <v>42</v>
      </c>
      <c r="D310" t="s">
        <v>12</v>
      </c>
      <c r="E310">
        <v>2</v>
      </c>
      <c r="F310">
        <v>3949</v>
      </c>
      <c r="G310">
        <v>7898</v>
      </c>
      <c r="H310" t="s">
        <v>13</v>
      </c>
      <c r="I310" t="s">
        <v>14</v>
      </c>
      <c r="J310" t="s">
        <v>20</v>
      </c>
      <c r="K310" s="6"/>
      <c r="L310" s="6"/>
      <c r="M310" s="13"/>
    </row>
    <row r="311" spans="1:13" x14ac:dyDescent="0.35">
      <c r="A311">
        <v>1310</v>
      </c>
      <c r="B311" t="s">
        <v>345</v>
      </c>
      <c r="C311" t="s">
        <v>44</v>
      </c>
      <c r="D311" t="s">
        <v>26</v>
      </c>
      <c r="E311">
        <v>1</v>
      </c>
      <c r="F311">
        <v>208</v>
      </c>
      <c r="G311">
        <v>208</v>
      </c>
      <c r="H311" t="s">
        <v>40</v>
      </c>
      <c r="I311" t="s">
        <v>19</v>
      </c>
      <c r="J311" t="s">
        <v>33</v>
      </c>
      <c r="K311" s="6"/>
      <c r="L311" s="6"/>
      <c r="M311" s="13"/>
    </row>
    <row r="312" spans="1:13" x14ac:dyDescent="0.35">
      <c r="A312">
        <v>1311</v>
      </c>
      <c r="B312" t="s">
        <v>346</v>
      </c>
      <c r="C312" t="s">
        <v>11</v>
      </c>
      <c r="D312" t="s">
        <v>12</v>
      </c>
      <c r="E312">
        <v>1</v>
      </c>
      <c r="F312">
        <v>50605</v>
      </c>
      <c r="G312">
        <v>50605</v>
      </c>
      <c r="H312" t="s">
        <v>40</v>
      </c>
      <c r="I312" t="s">
        <v>19</v>
      </c>
      <c r="J312" t="s">
        <v>33</v>
      </c>
      <c r="K312" s="6"/>
      <c r="L312" s="6"/>
      <c r="M312" s="13"/>
    </row>
    <row r="313" spans="1:13" x14ac:dyDescent="0.35">
      <c r="A313">
        <v>1312</v>
      </c>
      <c r="B313" t="s">
        <v>347</v>
      </c>
      <c r="C313" t="s">
        <v>17</v>
      </c>
      <c r="D313" t="s">
        <v>12</v>
      </c>
      <c r="E313">
        <v>3</v>
      </c>
      <c r="F313">
        <v>4319</v>
      </c>
      <c r="G313">
        <v>12957</v>
      </c>
      <c r="H313" t="s">
        <v>37</v>
      </c>
      <c r="I313" t="s">
        <v>19</v>
      </c>
      <c r="J313" t="s">
        <v>33</v>
      </c>
      <c r="K313" s="6"/>
      <c r="L313" s="6"/>
      <c r="M313" s="13"/>
    </row>
    <row r="314" spans="1:13" x14ac:dyDescent="0.35">
      <c r="A314">
        <v>1313</v>
      </c>
      <c r="B314" t="s">
        <v>348</v>
      </c>
      <c r="C314" t="s">
        <v>22</v>
      </c>
      <c r="D314" t="s">
        <v>23</v>
      </c>
      <c r="E314">
        <v>1</v>
      </c>
      <c r="F314">
        <v>3721</v>
      </c>
      <c r="G314">
        <v>3721</v>
      </c>
      <c r="H314" t="s">
        <v>18</v>
      </c>
      <c r="I314" t="s">
        <v>19</v>
      </c>
      <c r="J314" t="s">
        <v>15</v>
      </c>
      <c r="K314" s="6"/>
      <c r="L314" s="6"/>
      <c r="M314" s="13"/>
    </row>
    <row r="315" spans="1:13" x14ac:dyDescent="0.35">
      <c r="A315">
        <v>1314</v>
      </c>
      <c r="B315" t="s">
        <v>349</v>
      </c>
      <c r="C315" t="s">
        <v>25</v>
      </c>
      <c r="D315" t="s">
        <v>26</v>
      </c>
      <c r="E315">
        <v>2</v>
      </c>
      <c r="F315">
        <v>12930</v>
      </c>
      <c r="G315">
        <v>25860</v>
      </c>
      <c r="H315" t="s">
        <v>27</v>
      </c>
      <c r="I315" t="s">
        <v>14</v>
      </c>
      <c r="J315" t="s">
        <v>20</v>
      </c>
      <c r="K315" s="6"/>
      <c r="L315" s="6"/>
      <c r="M315" s="13"/>
    </row>
    <row r="316" spans="1:13" x14ac:dyDescent="0.35">
      <c r="A316">
        <v>1315</v>
      </c>
      <c r="B316" t="s">
        <v>350</v>
      </c>
      <c r="C316" t="s">
        <v>29</v>
      </c>
      <c r="D316" t="s">
        <v>26</v>
      </c>
      <c r="E316">
        <v>4</v>
      </c>
      <c r="F316">
        <v>707</v>
      </c>
      <c r="G316">
        <v>2828</v>
      </c>
      <c r="H316" t="s">
        <v>27</v>
      </c>
      <c r="I316" t="s">
        <v>32</v>
      </c>
      <c r="J316" t="s">
        <v>15</v>
      </c>
      <c r="K316" s="6"/>
      <c r="L316" s="6"/>
      <c r="M316" s="13"/>
    </row>
    <row r="317" spans="1:13" x14ac:dyDescent="0.35">
      <c r="A317">
        <v>1316</v>
      </c>
      <c r="B317" t="s">
        <v>351</v>
      </c>
      <c r="C317" t="s">
        <v>31</v>
      </c>
      <c r="D317" t="s">
        <v>12</v>
      </c>
      <c r="E317">
        <v>2</v>
      </c>
      <c r="F317">
        <v>36907</v>
      </c>
      <c r="G317">
        <v>73814</v>
      </c>
      <c r="H317" t="s">
        <v>37</v>
      </c>
      <c r="I317" t="s">
        <v>32</v>
      </c>
      <c r="J317" t="s">
        <v>15</v>
      </c>
      <c r="K317" s="6"/>
      <c r="L317" s="6"/>
      <c r="M317" s="13"/>
    </row>
    <row r="318" spans="1:13" x14ac:dyDescent="0.35">
      <c r="A318">
        <v>1317</v>
      </c>
      <c r="B318" t="s">
        <v>352</v>
      </c>
      <c r="C318" t="s">
        <v>35</v>
      </c>
      <c r="D318" t="s">
        <v>36</v>
      </c>
      <c r="E318">
        <v>1</v>
      </c>
      <c r="F318">
        <v>942</v>
      </c>
      <c r="G318">
        <v>942</v>
      </c>
      <c r="H318" t="s">
        <v>18</v>
      </c>
      <c r="I318" t="s">
        <v>19</v>
      </c>
      <c r="J318" t="s">
        <v>33</v>
      </c>
      <c r="K318" s="6"/>
      <c r="L318" s="6"/>
      <c r="M318" s="13"/>
    </row>
    <row r="319" spans="1:13" x14ac:dyDescent="0.35">
      <c r="A319">
        <v>1318</v>
      </c>
      <c r="B319" t="s">
        <v>353</v>
      </c>
      <c r="C319" t="s">
        <v>39</v>
      </c>
      <c r="D319" t="s">
        <v>23</v>
      </c>
      <c r="E319">
        <v>3</v>
      </c>
      <c r="F319">
        <v>826</v>
      </c>
      <c r="G319">
        <v>2478</v>
      </c>
      <c r="H319" t="s">
        <v>40</v>
      </c>
      <c r="I319" t="s">
        <v>14</v>
      </c>
      <c r="J319" t="s">
        <v>20</v>
      </c>
      <c r="K319" s="6"/>
      <c r="L319" s="6"/>
      <c r="M319" s="13"/>
    </row>
    <row r="320" spans="1:13" x14ac:dyDescent="0.35">
      <c r="A320">
        <v>1319</v>
      </c>
      <c r="B320" t="s">
        <v>354</v>
      </c>
      <c r="C320" t="s">
        <v>42</v>
      </c>
      <c r="D320" t="s">
        <v>12</v>
      </c>
      <c r="E320">
        <v>1</v>
      </c>
      <c r="F320">
        <v>3941</v>
      </c>
      <c r="G320">
        <v>3941</v>
      </c>
      <c r="H320" t="s">
        <v>37</v>
      </c>
      <c r="I320" t="s">
        <v>32</v>
      </c>
      <c r="J320" t="s">
        <v>15</v>
      </c>
      <c r="K320" s="6"/>
      <c r="L320" s="6"/>
      <c r="M320" s="13"/>
    </row>
    <row r="321" spans="1:13" x14ac:dyDescent="0.35">
      <c r="A321">
        <v>1320</v>
      </c>
      <c r="B321" t="s">
        <v>355</v>
      </c>
      <c r="C321" t="s">
        <v>44</v>
      </c>
      <c r="D321" t="s">
        <v>26</v>
      </c>
      <c r="E321">
        <v>2</v>
      </c>
      <c r="F321">
        <v>476</v>
      </c>
      <c r="G321">
        <v>952</v>
      </c>
      <c r="H321" t="s">
        <v>13</v>
      </c>
      <c r="I321" t="s">
        <v>19</v>
      </c>
      <c r="J321" t="s">
        <v>15</v>
      </c>
      <c r="K321" s="6"/>
      <c r="L321" s="6"/>
      <c r="M321" s="13"/>
    </row>
    <row r="322" spans="1:13" x14ac:dyDescent="0.35">
      <c r="A322">
        <v>1321</v>
      </c>
      <c r="B322" t="s">
        <v>356</v>
      </c>
      <c r="C322" t="s">
        <v>11</v>
      </c>
      <c r="D322" t="s">
        <v>12</v>
      </c>
      <c r="E322">
        <v>2</v>
      </c>
      <c r="F322">
        <v>41658</v>
      </c>
      <c r="G322">
        <v>83316</v>
      </c>
      <c r="H322" t="s">
        <v>27</v>
      </c>
      <c r="I322" t="s">
        <v>14</v>
      </c>
      <c r="J322" t="s">
        <v>33</v>
      </c>
      <c r="K322" s="6"/>
      <c r="L322" s="6"/>
      <c r="M322" s="13"/>
    </row>
    <row r="323" spans="1:13" x14ac:dyDescent="0.35">
      <c r="A323">
        <v>1322</v>
      </c>
      <c r="B323" t="s">
        <v>357</v>
      </c>
      <c r="C323" t="s">
        <v>17</v>
      </c>
      <c r="D323" t="s">
        <v>12</v>
      </c>
      <c r="E323">
        <v>1</v>
      </c>
      <c r="F323">
        <v>4084</v>
      </c>
      <c r="G323">
        <v>4084</v>
      </c>
      <c r="H323" t="s">
        <v>51</v>
      </c>
      <c r="I323" t="s">
        <v>32</v>
      </c>
      <c r="J323" t="s">
        <v>20</v>
      </c>
      <c r="K323" s="6"/>
      <c r="L323" s="6"/>
      <c r="M323" s="13"/>
    </row>
    <row r="324" spans="1:13" x14ac:dyDescent="0.35">
      <c r="A324">
        <v>1323</v>
      </c>
      <c r="B324" t="s">
        <v>358</v>
      </c>
      <c r="C324" t="s">
        <v>22</v>
      </c>
      <c r="D324" t="s">
        <v>23</v>
      </c>
      <c r="E324">
        <v>3</v>
      </c>
      <c r="F324">
        <v>3098</v>
      </c>
      <c r="G324">
        <v>9294</v>
      </c>
      <c r="H324" t="s">
        <v>27</v>
      </c>
      <c r="I324" t="s">
        <v>32</v>
      </c>
      <c r="J324" t="s">
        <v>20</v>
      </c>
      <c r="K324" s="6"/>
      <c r="L324" s="6"/>
      <c r="M324" s="13"/>
    </row>
    <row r="325" spans="1:13" x14ac:dyDescent="0.35">
      <c r="A325">
        <v>1324</v>
      </c>
      <c r="B325" t="s">
        <v>359</v>
      </c>
      <c r="C325" t="s">
        <v>25</v>
      </c>
      <c r="D325" t="s">
        <v>26</v>
      </c>
      <c r="E325">
        <v>5</v>
      </c>
      <c r="F325">
        <v>18226</v>
      </c>
      <c r="G325">
        <v>91130</v>
      </c>
      <c r="H325" t="s">
        <v>40</v>
      </c>
      <c r="I325" t="s">
        <v>14</v>
      </c>
      <c r="J325" t="s">
        <v>33</v>
      </c>
      <c r="K325" s="6"/>
      <c r="L325" s="6"/>
      <c r="M325" s="13"/>
    </row>
    <row r="326" spans="1:13" x14ac:dyDescent="0.35">
      <c r="A326">
        <v>1325</v>
      </c>
      <c r="B326" t="s">
        <v>360</v>
      </c>
      <c r="C326" t="s">
        <v>29</v>
      </c>
      <c r="D326" t="s">
        <v>26</v>
      </c>
      <c r="E326">
        <v>5</v>
      </c>
      <c r="F326">
        <v>298</v>
      </c>
      <c r="G326">
        <v>1490</v>
      </c>
      <c r="H326" t="s">
        <v>13</v>
      </c>
      <c r="I326" t="s">
        <v>32</v>
      </c>
      <c r="J326" t="s">
        <v>33</v>
      </c>
      <c r="K326" s="6"/>
      <c r="L326" s="6"/>
      <c r="M326" s="13"/>
    </row>
    <row r="327" spans="1:13" x14ac:dyDescent="0.35">
      <c r="A327">
        <v>1326</v>
      </c>
      <c r="B327" t="s">
        <v>361</v>
      </c>
      <c r="C327" t="s">
        <v>31</v>
      </c>
      <c r="D327" t="s">
        <v>12</v>
      </c>
      <c r="E327">
        <v>2</v>
      </c>
      <c r="F327">
        <v>12992</v>
      </c>
      <c r="G327">
        <v>25984</v>
      </c>
      <c r="H327" t="s">
        <v>37</v>
      </c>
      <c r="I327" t="s">
        <v>19</v>
      </c>
      <c r="J327" t="s">
        <v>33</v>
      </c>
      <c r="K327" s="6"/>
      <c r="L327" s="6"/>
      <c r="M327" s="13"/>
    </row>
    <row r="328" spans="1:13" x14ac:dyDescent="0.35">
      <c r="A328">
        <v>1327</v>
      </c>
      <c r="B328" t="s">
        <v>362</v>
      </c>
      <c r="C328" t="s">
        <v>35</v>
      </c>
      <c r="D328" t="s">
        <v>36</v>
      </c>
      <c r="E328">
        <v>5</v>
      </c>
      <c r="F328">
        <v>984</v>
      </c>
      <c r="G328">
        <v>4920</v>
      </c>
      <c r="H328" t="s">
        <v>18</v>
      </c>
      <c r="I328" t="s">
        <v>19</v>
      </c>
      <c r="J328" t="s">
        <v>33</v>
      </c>
      <c r="K328" s="6"/>
      <c r="L328" s="6"/>
      <c r="M328" s="13"/>
    </row>
    <row r="329" spans="1:13" x14ac:dyDescent="0.35">
      <c r="A329">
        <v>1328</v>
      </c>
      <c r="B329" t="s">
        <v>363</v>
      </c>
      <c r="C329" t="s">
        <v>39</v>
      </c>
      <c r="D329" t="s">
        <v>23</v>
      </c>
      <c r="E329">
        <v>5</v>
      </c>
      <c r="F329">
        <v>1432</v>
      </c>
      <c r="G329">
        <v>7160</v>
      </c>
      <c r="H329" t="s">
        <v>13</v>
      </c>
      <c r="I329" t="s">
        <v>14</v>
      </c>
      <c r="J329" t="s">
        <v>15</v>
      </c>
      <c r="K329" s="6"/>
      <c r="L329" s="6"/>
      <c r="M329" s="13"/>
    </row>
    <row r="330" spans="1:13" x14ac:dyDescent="0.35">
      <c r="A330">
        <v>1329</v>
      </c>
      <c r="B330" t="s">
        <v>364</v>
      </c>
      <c r="C330" t="s">
        <v>42</v>
      </c>
      <c r="D330" t="s">
        <v>12</v>
      </c>
      <c r="E330">
        <v>2</v>
      </c>
      <c r="F330">
        <v>12324</v>
      </c>
      <c r="G330">
        <v>24648</v>
      </c>
      <c r="H330" t="s">
        <v>37</v>
      </c>
      <c r="I330" t="s">
        <v>19</v>
      </c>
      <c r="J330" t="s">
        <v>33</v>
      </c>
      <c r="K330" s="6"/>
      <c r="L330" s="6"/>
      <c r="M330" s="13"/>
    </row>
    <row r="331" spans="1:13" x14ac:dyDescent="0.35">
      <c r="A331">
        <v>1330</v>
      </c>
      <c r="B331" t="s">
        <v>365</v>
      </c>
      <c r="C331" t="s">
        <v>44</v>
      </c>
      <c r="D331" t="s">
        <v>26</v>
      </c>
      <c r="E331">
        <v>4</v>
      </c>
      <c r="F331">
        <v>705</v>
      </c>
      <c r="G331">
        <v>2820</v>
      </c>
      <c r="H331" t="s">
        <v>51</v>
      </c>
      <c r="I331" t="s">
        <v>32</v>
      </c>
      <c r="J331" t="s">
        <v>33</v>
      </c>
      <c r="K331" s="6"/>
      <c r="L331" s="6"/>
      <c r="M331" s="13"/>
    </row>
    <row r="332" spans="1:13" x14ac:dyDescent="0.35">
      <c r="A332">
        <v>1331</v>
      </c>
      <c r="B332" t="s">
        <v>366</v>
      </c>
      <c r="C332" t="s">
        <v>11</v>
      </c>
      <c r="D332" t="s">
        <v>12</v>
      </c>
      <c r="E332">
        <v>2</v>
      </c>
      <c r="F332">
        <v>66703</v>
      </c>
      <c r="G332">
        <v>133406</v>
      </c>
      <c r="H332" t="s">
        <v>40</v>
      </c>
      <c r="I332" t="s">
        <v>19</v>
      </c>
      <c r="J332" t="s">
        <v>33</v>
      </c>
      <c r="K332" s="6"/>
      <c r="L332" s="6"/>
      <c r="M332" s="13"/>
    </row>
    <row r="333" spans="1:13" x14ac:dyDescent="0.35">
      <c r="A333">
        <v>1332</v>
      </c>
      <c r="B333" t="s">
        <v>367</v>
      </c>
      <c r="C333" t="s">
        <v>17</v>
      </c>
      <c r="D333" t="s">
        <v>12</v>
      </c>
      <c r="E333">
        <v>1</v>
      </c>
      <c r="F333">
        <v>2242</v>
      </c>
      <c r="G333">
        <v>2242</v>
      </c>
      <c r="H333" t="s">
        <v>51</v>
      </c>
      <c r="I333" t="s">
        <v>32</v>
      </c>
      <c r="J333" t="s">
        <v>20</v>
      </c>
      <c r="K333" s="6"/>
      <c r="L333" s="6"/>
      <c r="M333" s="13"/>
    </row>
    <row r="334" spans="1:13" x14ac:dyDescent="0.35">
      <c r="A334">
        <v>1333</v>
      </c>
      <c r="B334" t="s">
        <v>368</v>
      </c>
      <c r="C334" t="s">
        <v>22</v>
      </c>
      <c r="D334" t="s">
        <v>23</v>
      </c>
      <c r="E334">
        <v>3</v>
      </c>
      <c r="F334">
        <v>3095</v>
      </c>
      <c r="G334">
        <v>9285</v>
      </c>
      <c r="H334" t="s">
        <v>27</v>
      </c>
      <c r="I334" t="s">
        <v>32</v>
      </c>
      <c r="J334" t="s">
        <v>15</v>
      </c>
      <c r="K334" s="6"/>
      <c r="L334" s="6"/>
      <c r="M334" s="13"/>
    </row>
    <row r="335" spans="1:13" x14ac:dyDescent="0.35">
      <c r="A335">
        <v>1334</v>
      </c>
      <c r="B335" t="s">
        <v>369</v>
      </c>
      <c r="C335" t="s">
        <v>25</v>
      </c>
      <c r="D335" t="s">
        <v>26</v>
      </c>
      <c r="E335">
        <v>3</v>
      </c>
      <c r="F335">
        <v>4016</v>
      </c>
      <c r="G335">
        <v>12048</v>
      </c>
      <c r="H335" t="s">
        <v>18</v>
      </c>
      <c r="I335" t="s">
        <v>32</v>
      </c>
      <c r="J335" t="s">
        <v>15</v>
      </c>
      <c r="K335" s="6"/>
      <c r="L335" s="6"/>
      <c r="M335" s="13"/>
    </row>
    <row r="336" spans="1:13" x14ac:dyDescent="0.35">
      <c r="A336">
        <v>1335</v>
      </c>
      <c r="B336" t="s">
        <v>370</v>
      </c>
      <c r="C336" t="s">
        <v>29</v>
      </c>
      <c r="D336" t="s">
        <v>26</v>
      </c>
      <c r="E336">
        <v>4</v>
      </c>
      <c r="F336">
        <v>258</v>
      </c>
      <c r="G336">
        <v>1032</v>
      </c>
      <c r="H336" t="s">
        <v>18</v>
      </c>
      <c r="I336" t="s">
        <v>19</v>
      </c>
      <c r="J336" t="s">
        <v>15</v>
      </c>
      <c r="K336" s="6"/>
      <c r="L336" s="6"/>
      <c r="M336" s="13"/>
    </row>
    <row r="337" spans="1:13" x14ac:dyDescent="0.35">
      <c r="A337">
        <v>1336</v>
      </c>
      <c r="B337" t="s">
        <v>371</v>
      </c>
      <c r="C337" t="s">
        <v>31</v>
      </c>
      <c r="D337" t="s">
        <v>12</v>
      </c>
      <c r="E337">
        <v>1</v>
      </c>
      <c r="F337">
        <v>38061</v>
      </c>
      <c r="G337">
        <v>38061</v>
      </c>
      <c r="H337" t="s">
        <v>51</v>
      </c>
      <c r="I337" t="s">
        <v>19</v>
      </c>
      <c r="J337" t="s">
        <v>33</v>
      </c>
      <c r="K337" s="6"/>
      <c r="L337" s="6"/>
      <c r="M337" s="13"/>
    </row>
    <row r="338" spans="1:13" x14ac:dyDescent="0.35">
      <c r="A338">
        <v>1337</v>
      </c>
      <c r="B338" t="s">
        <v>372</v>
      </c>
      <c r="C338" t="s">
        <v>35</v>
      </c>
      <c r="D338" t="s">
        <v>36</v>
      </c>
      <c r="E338">
        <v>2</v>
      </c>
      <c r="F338">
        <v>366</v>
      </c>
      <c r="G338">
        <v>732</v>
      </c>
      <c r="H338" t="s">
        <v>18</v>
      </c>
      <c r="I338" t="s">
        <v>19</v>
      </c>
      <c r="J338" t="s">
        <v>20</v>
      </c>
      <c r="K338" s="6"/>
      <c r="L338" s="6"/>
      <c r="M338" s="13"/>
    </row>
    <row r="339" spans="1:13" x14ac:dyDescent="0.35">
      <c r="A339">
        <v>1338</v>
      </c>
      <c r="B339" t="s">
        <v>373</v>
      </c>
      <c r="C339" t="s">
        <v>39</v>
      </c>
      <c r="D339" t="s">
        <v>23</v>
      </c>
      <c r="E339">
        <v>1</v>
      </c>
      <c r="F339">
        <v>1827</v>
      </c>
      <c r="G339">
        <v>1827</v>
      </c>
      <c r="H339" t="s">
        <v>18</v>
      </c>
      <c r="I339" t="s">
        <v>32</v>
      </c>
      <c r="J339" t="s">
        <v>15</v>
      </c>
      <c r="K339" s="6"/>
      <c r="L339" s="6"/>
      <c r="M339" s="13"/>
    </row>
    <row r="340" spans="1:13" x14ac:dyDescent="0.35">
      <c r="A340">
        <v>1339</v>
      </c>
      <c r="B340" t="s">
        <v>374</v>
      </c>
      <c r="C340" t="s">
        <v>42</v>
      </c>
      <c r="D340" t="s">
        <v>12</v>
      </c>
      <c r="E340">
        <v>1</v>
      </c>
      <c r="F340">
        <v>6196</v>
      </c>
      <c r="G340">
        <v>6196</v>
      </c>
      <c r="H340" t="s">
        <v>37</v>
      </c>
      <c r="I340" t="s">
        <v>14</v>
      </c>
      <c r="J340" t="s">
        <v>20</v>
      </c>
      <c r="K340" s="6"/>
      <c r="L340" s="6"/>
      <c r="M340" s="13"/>
    </row>
    <row r="341" spans="1:13" x14ac:dyDescent="0.35">
      <c r="A341">
        <v>1340</v>
      </c>
      <c r="B341" t="s">
        <v>375</v>
      </c>
      <c r="C341" t="s">
        <v>44</v>
      </c>
      <c r="D341" t="s">
        <v>26</v>
      </c>
      <c r="E341">
        <v>5</v>
      </c>
      <c r="F341">
        <v>254</v>
      </c>
      <c r="G341">
        <v>1270</v>
      </c>
      <c r="H341" t="s">
        <v>27</v>
      </c>
      <c r="I341" t="s">
        <v>32</v>
      </c>
      <c r="J341" t="s">
        <v>15</v>
      </c>
      <c r="K341" s="6"/>
      <c r="L341" s="6"/>
      <c r="M341" s="13"/>
    </row>
    <row r="342" spans="1:13" x14ac:dyDescent="0.35">
      <c r="A342">
        <v>1341</v>
      </c>
      <c r="B342" t="s">
        <v>376</v>
      </c>
      <c r="C342" t="s">
        <v>11</v>
      </c>
      <c r="D342" t="s">
        <v>12</v>
      </c>
      <c r="E342">
        <v>2</v>
      </c>
      <c r="F342">
        <v>57783</v>
      </c>
      <c r="G342">
        <v>115566</v>
      </c>
      <c r="H342" t="s">
        <v>51</v>
      </c>
      <c r="I342" t="s">
        <v>32</v>
      </c>
      <c r="J342" t="s">
        <v>20</v>
      </c>
      <c r="K342" s="6"/>
      <c r="L342" s="6"/>
      <c r="M342" s="13"/>
    </row>
    <row r="343" spans="1:13" x14ac:dyDescent="0.35">
      <c r="A343">
        <v>1342</v>
      </c>
      <c r="B343" t="s">
        <v>377</v>
      </c>
      <c r="C343" t="s">
        <v>17</v>
      </c>
      <c r="D343" t="s">
        <v>12</v>
      </c>
      <c r="E343">
        <v>3</v>
      </c>
      <c r="F343">
        <v>1302</v>
      </c>
      <c r="G343">
        <v>3906</v>
      </c>
      <c r="H343" t="s">
        <v>18</v>
      </c>
      <c r="I343" t="s">
        <v>19</v>
      </c>
      <c r="J343" t="s">
        <v>33</v>
      </c>
      <c r="K343" s="6"/>
      <c r="L343" s="6"/>
      <c r="M343" s="13"/>
    </row>
    <row r="344" spans="1:13" x14ac:dyDescent="0.35">
      <c r="A344">
        <v>1343</v>
      </c>
      <c r="B344" t="s">
        <v>378</v>
      </c>
      <c r="C344" t="s">
        <v>22</v>
      </c>
      <c r="D344" t="s">
        <v>23</v>
      </c>
      <c r="E344">
        <v>1</v>
      </c>
      <c r="F344">
        <v>1283</v>
      </c>
      <c r="G344">
        <v>1283</v>
      </c>
      <c r="H344" t="s">
        <v>18</v>
      </c>
      <c r="I344" t="s">
        <v>19</v>
      </c>
      <c r="J344" t="s">
        <v>20</v>
      </c>
      <c r="K344" s="6"/>
      <c r="L344" s="6"/>
      <c r="M344" s="13"/>
    </row>
    <row r="345" spans="1:13" x14ac:dyDescent="0.35">
      <c r="A345">
        <v>1344</v>
      </c>
      <c r="B345" t="s">
        <v>379</v>
      </c>
      <c r="C345" t="s">
        <v>25</v>
      </c>
      <c r="D345" t="s">
        <v>26</v>
      </c>
      <c r="E345">
        <v>2</v>
      </c>
      <c r="F345">
        <v>10838</v>
      </c>
      <c r="G345">
        <v>21676</v>
      </c>
      <c r="H345" t="s">
        <v>37</v>
      </c>
      <c r="I345" t="s">
        <v>19</v>
      </c>
      <c r="J345" t="s">
        <v>20</v>
      </c>
      <c r="K345" s="6"/>
      <c r="L345" s="6"/>
      <c r="M345" s="13"/>
    </row>
    <row r="346" spans="1:13" x14ac:dyDescent="0.35">
      <c r="A346">
        <v>1345</v>
      </c>
      <c r="B346" t="s">
        <v>380</v>
      </c>
      <c r="C346" t="s">
        <v>29</v>
      </c>
      <c r="D346" t="s">
        <v>26</v>
      </c>
      <c r="E346">
        <v>1</v>
      </c>
      <c r="F346">
        <v>895</v>
      </c>
      <c r="G346">
        <v>895</v>
      </c>
      <c r="H346" t="s">
        <v>18</v>
      </c>
      <c r="I346" t="s">
        <v>32</v>
      </c>
      <c r="J346" t="s">
        <v>15</v>
      </c>
      <c r="K346" s="6"/>
      <c r="L346" s="6"/>
      <c r="M346" s="13"/>
    </row>
    <row r="347" spans="1:13" x14ac:dyDescent="0.35">
      <c r="A347">
        <v>1346</v>
      </c>
      <c r="B347" t="s">
        <v>381</v>
      </c>
      <c r="C347" t="s">
        <v>31</v>
      </c>
      <c r="D347" t="s">
        <v>12</v>
      </c>
      <c r="E347">
        <v>2</v>
      </c>
      <c r="F347">
        <v>14574</v>
      </c>
      <c r="G347">
        <v>29148</v>
      </c>
      <c r="H347" t="s">
        <v>40</v>
      </c>
      <c r="I347" t="s">
        <v>14</v>
      </c>
      <c r="J347" t="s">
        <v>15</v>
      </c>
      <c r="K347" s="6"/>
      <c r="L347" s="6"/>
      <c r="M347" s="13"/>
    </row>
    <row r="348" spans="1:13" x14ac:dyDescent="0.35">
      <c r="A348">
        <v>1347</v>
      </c>
      <c r="B348" t="s">
        <v>382</v>
      </c>
      <c r="C348" t="s">
        <v>35</v>
      </c>
      <c r="D348" t="s">
        <v>36</v>
      </c>
      <c r="E348">
        <v>2</v>
      </c>
      <c r="F348">
        <v>348</v>
      </c>
      <c r="G348">
        <v>696</v>
      </c>
      <c r="H348" t="s">
        <v>37</v>
      </c>
      <c r="I348" t="s">
        <v>19</v>
      </c>
      <c r="J348" t="s">
        <v>15</v>
      </c>
      <c r="K348" s="6"/>
      <c r="L348" s="6"/>
      <c r="M348" s="13"/>
    </row>
    <row r="349" spans="1:13" x14ac:dyDescent="0.35">
      <c r="A349">
        <v>1348</v>
      </c>
      <c r="B349" t="s">
        <v>383</v>
      </c>
      <c r="C349" t="s">
        <v>39</v>
      </c>
      <c r="D349" t="s">
        <v>23</v>
      </c>
      <c r="E349">
        <v>4</v>
      </c>
      <c r="F349">
        <v>544</v>
      </c>
      <c r="G349">
        <v>2176</v>
      </c>
      <c r="H349" t="s">
        <v>51</v>
      </c>
      <c r="I349" t="s">
        <v>14</v>
      </c>
      <c r="J349" t="s">
        <v>20</v>
      </c>
      <c r="K349" s="6"/>
      <c r="L349" s="6"/>
      <c r="M349" s="13"/>
    </row>
    <row r="350" spans="1:13" x14ac:dyDescent="0.35">
      <c r="A350">
        <v>1349</v>
      </c>
      <c r="B350" t="s">
        <v>384</v>
      </c>
      <c r="C350" t="s">
        <v>42</v>
      </c>
      <c r="D350" t="s">
        <v>12</v>
      </c>
      <c r="E350">
        <v>1</v>
      </c>
      <c r="F350">
        <v>13858</v>
      </c>
      <c r="G350">
        <v>13858</v>
      </c>
      <c r="H350" t="s">
        <v>27</v>
      </c>
      <c r="I350" t="s">
        <v>14</v>
      </c>
      <c r="J350" t="s">
        <v>15</v>
      </c>
      <c r="K350" s="6"/>
      <c r="L350" s="6"/>
      <c r="M350" s="13"/>
    </row>
    <row r="351" spans="1:13" x14ac:dyDescent="0.35">
      <c r="A351">
        <v>1350</v>
      </c>
      <c r="B351" t="s">
        <v>385</v>
      </c>
      <c r="C351" t="s">
        <v>44</v>
      </c>
      <c r="D351" t="s">
        <v>26</v>
      </c>
      <c r="E351">
        <v>3</v>
      </c>
      <c r="F351">
        <v>215</v>
      </c>
      <c r="G351">
        <v>645</v>
      </c>
      <c r="H351" t="s">
        <v>40</v>
      </c>
      <c r="I351" t="s">
        <v>32</v>
      </c>
      <c r="J351" t="s">
        <v>20</v>
      </c>
      <c r="K351" s="6"/>
      <c r="L351" s="6"/>
      <c r="M351" s="13"/>
    </row>
    <row r="352" spans="1:13" x14ac:dyDescent="0.35">
      <c r="A352">
        <v>1351</v>
      </c>
      <c r="B352" t="s">
        <v>386</v>
      </c>
      <c r="C352" t="s">
        <v>11</v>
      </c>
      <c r="D352" t="s">
        <v>12</v>
      </c>
      <c r="E352">
        <v>2</v>
      </c>
      <c r="F352">
        <v>57831</v>
      </c>
      <c r="G352">
        <v>115662</v>
      </c>
      <c r="H352" t="s">
        <v>51</v>
      </c>
      <c r="I352" t="s">
        <v>14</v>
      </c>
      <c r="J352" t="s">
        <v>33</v>
      </c>
      <c r="K352" s="6"/>
      <c r="L352" s="6"/>
      <c r="M352" s="13"/>
    </row>
    <row r="353" spans="1:13" x14ac:dyDescent="0.35">
      <c r="A353">
        <v>1352</v>
      </c>
      <c r="B353" t="s">
        <v>387</v>
      </c>
      <c r="C353" t="s">
        <v>17</v>
      </c>
      <c r="D353" t="s">
        <v>12</v>
      </c>
      <c r="E353">
        <v>1</v>
      </c>
      <c r="F353">
        <v>2608</v>
      </c>
      <c r="G353">
        <v>2608</v>
      </c>
      <c r="H353" t="s">
        <v>37</v>
      </c>
      <c r="I353" t="s">
        <v>19</v>
      </c>
      <c r="J353" t="s">
        <v>33</v>
      </c>
      <c r="K353" s="6"/>
      <c r="L353" s="6"/>
      <c r="M353" s="13"/>
    </row>
    <row r="354" spans="1:13" x14ac:dyDescent="0.35">
      <c r="A354">
        <v>1353</v>
      </c>
      <c r="B354" t="s">
        <v>388</v>
      </c>
      <c r="C354" t="s">
        <v>22</v>
      </c>
      <c r="D354" t="s">
        <v>23</v>
      </c>
      <c r="E354">
        <v>1</v>
      </c>
      <c r="F354">
        <v>3751</v>
      </c>
      <c r="G354">
        <v>3751</v>
      </c>
      <c r="H354" t="s">
        <v>51</v>
      </c>
      <c r="I354" t="s">
        <v>32</v>
      </c>
      <c r="J354" t="s">
        <v>15</v>
      </c>
      <c r="K354" s="6"/>
      <c r="L354" s="6"/>
      <c r="M354" s="13"/>
    </row>
    <row r="355" spans="1:13" x14ac:dyDescent="0.35">
      <c r="A355">
        <v>1354</v>
      </c>
      <c r="B355" t="s">
        <v>389</v>
      </c>
      <c r="C355" t="s">
        <v>25</v>
      </c>
      <c r="D355" t="s">
        <v>26</v>
      </c>
      <c r="E355">
        <v>5</v>
      </c>
      <c r="F355">
        <v>11976</v>
      </c>
      <c r="G355">
        <v>59880</v>
      </c>
      <c r="H355" t="s">
        <v>40</v>
      </c>
      <c r="I355" t="s">
        <v>32</v>
      </c>
      <c r="J355" t="s">
        <v>20</v>
      </c>
      <c r="K355" s="6"/>
      <c r="L355" s="6"/>
      <c r="M355" s="13"/>
    </row>
    <row r="356" spans="1:13" x14ac:dyDescent="0.35">
      <c r="A356">
        <v>1355</v>
      </c>
      <c r="B356" t="s">
        <v>390</v>
      </c>
      <c r="C356" t="s">
        <v>29</v>
      </c>
      <c r="D356" t="s">
        <v>26</v>
      </c>
      <c r="E356">
        <v>1</v>
      </c>
      <c r="F356">
        <v>542</v>
      </c>
      <c r="G356">
        <v>542</v>
      </c>
      <c r="H356" t="s">
        <v>40</v>
      </c>
      <c r="I356" t="s">
        <v>14</v>
      </c>
      <c r="J356" t="s">
        <v>20</v>
      </c>
      <c r="K356" s="6"/>
      <c r="L356" s="6"/>
      <c r="M356" s="13"/>
    </row>
    <row r="357" spans="1:13" x14ac:dyDescent="0.35">
      <c r="A357">
        <v>1356</v>
      </c>
      <c r="B357" t="s">
        <v>391</v>
      </c>
      <c r="C357" t="s">
        <v>31</v>
      </c>
      <c r="D357" t="s">
        <v>12</v>
      </c>
      <c r="E357">
        <v>2</v>
      </c>
      <c r="F357">
        <v>34854</v>
      </c>
      <c r="G357">
        <v>69708</v>
      </c>
      <c r="H357" t="s">
        <v>51</v>
      </c>
      <c r="I357" t="s">
        <v>14</v>
      </c>
      <c r="J357" t="s">
        <v>15</v>
      </c>
      <c r="K357" s="6"/>
      <c r="L357" s="6"/>
      <c r="M357" s="13"/>
    </row>
    <row r="358" spans="1:13" x14ac:dyDescent="0.35">
      <c r="A358">
        <v>1357</v>
      </c>
      <c r="B358" t="s">
        <v>392</v>
      </c>
      <c r="C358" t="s">
        <v>35</v>
      </c>
      <c r="D358" t="s">
        <v>36</v>
      </c>
      <c r="E358">
        <v>4</v>
      </c>
      <c r="F358">
        <v>821</v>
      </c>
      <c r="G358">
        <v>3284</v>
      </c>
      <c r="H358" t="s">
        <v>18</v>
      </c>
      <c r="I358" t="s">
        <v>19</v>
      </c>
      <c r="J358" t="s">
        <v>20</v>
      </c>
      <c r="K358" s="6"/>
      <c r="L358" s="6"/>
      <c r="M358" s="13"/>
    </row>
    <row r="359" spans="1:13" x14ac:dyDescent="0.35">
      <c r="A359">
        <v>1358</v>
      </c>
      <c r="B359" t="s">
        <v>393</v>
      </c>
      <c r="C359" t="s">
        <v>39</v>
      </c>
      <c r="D359" t="s">
        <v>23</v>
      </c>
      <c r="E359">
        <v>5</v>
      </c>
      <c r="F359">
        <v>1003</v>
      </c>
      <c r="G359">
        <v>5015</v>
      </c>
      <c r="H359" t="s">
        <v>51</v>
      </c>
      <c r="I359" t="s">
        <v>32</v>
      </c>
      <c r="J359" t="s">
        <v>33</v>
      </c>
      <c r="K359" s="6"/>
      <c r="L359" s="6"/>
      <c r="M359" s="13"/>
    </row>
    <row r="360" spans="1:13" x14ac:dyDescent="0.35">
      <c r="A360">
        <v>1359</v>
      </c>
      <c r="B360" t="s">
        <v>394</v>
      </c>
      <c r="C360" t="s">
        <v>42</v>
      </c>
      <c r="D360" t="s">
        <v>12</v>
      </c>
      <c r="E360">
        <v>1</v>
      </c>
      <c r="F360">
        <v>9526</v>
      </c>
      <c r="G360">
        <v>9526</v>
      </c>
      <c r="H360" t="s">
        <v>51</v>
      </c>
      <c r="I360" t="s">
        <v>14</v>
      </c>
      <c r="J360" t="s">
        <v>20</v>
      </c>
      <c r="K360" s="6"/>
      <c r="L360" s="6"/>
      <c r="M360" s="13"/>
    </row>
    <row r="361" spans="1:13" x14ac:dyDescent="0.35">
      <c r="A361">
        <v>1360</v>
      </c>
      <c r="B361" t="s">
        <v>395</v>
      </c>
      <c r="C361" t="s">
        <v>44</v>
      </c>
      <c r="D361" t="s">
        <v>26</v>
      </c>
      <c r="E361">
        <v>5</v>
      </c>
      <c r="F361">
        <v>317</v>
      </c>
      <c r="G361">
        <v>1585</v>
      </c>
      <c r="H361" t="s">
        <v>13</v>
      </c>
      <c r="I361" t="s">
        <v>32</v>
      </c>
      <c r="J361" t="s">
        <v>33</v>
      </c>
      <c r="K361" s="6"/>
      <c r="L361" s="6"/>
      <c r="M361" s="13"/>
    </row>
    <row r="362" spans="1:13" x14ac:dyDescent="0.35">
      <c r="A362">
        <v>1361</v>
      </c>
      <c r="B362" t="s">
        <v>396</v>
      </c>
      <c r="C362" t="s">
        <v>11</v>
      </c>
      <c r="D362" t="s">
        <v>12</v>
      </c>
      <c r="E362">
        <v>1</v>
      </c>
      <c r="F362">
        <v>53373</v>
      </c>
      <c r="G362">
        <v>53373</v>
      </c>
      <c r="H362" t="s">
        <v>51</v>
      </c>
      <c r="I362" t="s">
        <v>14</v>
      </c>
      <c r="J362" t="s">
        <v>33</v>
      </c>
      <c r="K362" s="6"/>
      <c r="L362" s="6"/>
      <c r="M362" s="13"/>
    </row>
    <row r="363" spans="1:13" x14ac:dyDescent="0.35">
      <c r="A363">
        <v>1362</v>
      </c>
      <c r="B363" t="s">
        <v>397</v>
      </c>
      <c r="C363" t="s">
        <v>17</v>
      </c>
      <c r="D363" t="s">
        <v>12</v>
      </c>
      <c r="E363">
        <v>2</v>
      </c>
      <c r="F363">
        <v>4853</v>
      </c>
      <c r="G363">
        <v>9706</v>
      </c>
      <c r="H363" t="s">
        <v>13</v>
      </c>
      <c r="I363" t="s">
        <v>19</v>
      </c>
      <c r="J363" t="s">
        <v>15</v>
      </c>
      <c r="K363" s="6"/>
      <c r="L363" s="6"/>
      <c r="M363" s="13"/>
    </row>
    <row r="364" spans="1:13" x14ac:dyDescent="0.35">
      <c r="A364">
        <v>1363</v>
      </c>
      <c r="B364" t="s">
        <v>398</v>
      </c>
      <c r="C364" t="s">
        <v>22</v>
      </c>
      <c r="D364" t="s">
        <v>23</v>
      </c>
      <c r="E364">
        <v>2</v>
      </c>
      <c r="F364">
        <v>4788</v>
      </c>
      <c r="G364">
        <v>9576</v>
      </c>
      <c r="H364" t="s">
        <v>27</v>
      </c>
      <c r="I364" t="s">
        <v>14</v>
      </c>
      <c r="J364" t="s">
        <v>15</v>
      </c>
      <c r="K364" s="6"/>
      <c r="L364" s="6"/>
      <c r="M364" s="13"/>
    </row>
    <row r="365" spans="1:13" x14ac:dyDescent="0.35">
      <c r="A365">
        <v>1364</v>
      </c>
      <c r="B365" t="s">
        <v>399</v>
      </c>
      <c r="C365" t="s">
        <v>25</v>
      </c>
      <c r="D365" t="s">
        <v>26</v>
      </c>
      <c r="E365">
        <v>5</v>
      </c>
      <c r="F365">
        <v>17252</v>
      </c>
      <c r="G365">
        <v>86260</v>
      </c>
      <c r="H365" t="s">
        <v>37</v>
      </c>
      <c r="I365" t="s">
        <v>32</v>
      </c>
      <c r="J365" t="s">
        <v>33</v>
      </c>
      <c r="K365" s="6"/>
      <c r="L365" s="6"/>
      <c r="M365" s="13"/>
    </row>
    <row r="366" spans="1:13" x14ac:dyDescent="0.35">
      <c r="A366">
        <v>1365</v>
      </c>
      <c r="B366" t="s">
        <v>400</v>
      </c>
      <c r="C366" t="s">
        <v>29</v>
      </c>
      <c r="D366" t="s">
        <v>26</v>
      </c>
      <c r="E366">
        <v>5</v>
      </c>
      <c r="F366">
        <v>179</v>
      </c>
      <c r="G366">
        <v>895</v>
      </c>
      <c r="H366" t="s">
        <v>18</v>
      </c>
      <c r="I366" t="s">
        <v>14</v>
      </c>
      <c r="J366" t="s">
        <v>33</v>
      </c>
      <c r="K366" s="6"/>
      <c r="L366" s="6"/>
      <c r="M366" s="13"/>
    </row>
    <row r="367" spans="1:13" x14ac:dyDescent="0.35">
      <c r="A367">
        <v>1366</v>
      </c>
      <c r="B367" t="s">
        <v>401</v>
      </c>
      <c r="C367" t="s">
        <v>31</v>
      </c>
      <c r="D367" t="s">
        <v>12</v>
      </c>
      <c r="E367">
        <v>1</v>
      </c>
      <c r="F367">
        <v>29151</v>
      </c>
      <c r="G367">
        <v>29151</v>
      </c>
      <c r="H367" t="s">
        <v>18</v>
      </c>
      <c r="I367" t="s">
        <v>19</v>
      </c>
      <c r="J367" t="s">
        <v>15</v>
      </c>
      <c r="K367" s="6"/>
      <c r="L367" s="6"/>
      <c r="M367" s="13"/>
    </row>
    <row r="368" spans="1:13" x14ac:dyDescent="0.35">
      <c r="A368">
        <v>1367</v>
      </c>
      <c r="B368" t="s">
        <v>402</v>
      </c>
      <c r="C368" t="s">
        <v>35</v>
      </c>
      <c r="D368" t="s">
        <v>36</v>
      </c>
      <c r="E368">
        <v>4</v>
      </c>
      <c r="F368">
        <v>474</v>
      </c>
      <c r="G368">
        <v>1896</v>
      </c>
      <c r="H368" t="s">
        <v>13</v>
      </c>
      <c r="I368" t="s">
        <v>32</v>
      </c>
      <c r="J368" t="s">
        <v>15</v>
      </c>
      <c r="K368" s="6"/>
      <c r="L368" s="6"/>
      <c r="M368" s="13"/>
    </row>
    <row r="369" spans="1:13" x14ac:dyDescent="0.35">
      <c r="A369">
        <v>1368</v>
      </c>
      <c r="B369" t="s">
        <v>403</v>
      </c>
      <c r="C369" t="s">
        <v>39</v>
      </c>
      <c r="D369" t="s">
        <v>23</v>
      </c>
      <c r="E369">
        <v>1</v>
      </c>
      <c r="F369">
        <v>1670</v>
      </c>
      <c r="G369">
        <v>1670</v>
      </c>
      <c r="H369" t="s">
        <v>40</v>
      </c>
      <c r="I369" t="s">
        <v>32</v>
      </c>
      <c r="J369" t="s">
        <v>15</v>
      </c>
      <c r="K369" s="6"/>
      <c r="L369" s="6"/>
      <c r="M369" s="13"/>
    </row>
    <row r="370" spans="1:13" x14ac:dyDescent="0.35">
      <c r="A370">
        <v>1369</v>
      </c>
      <c r="B370" t="s">
        <v>404</v>
      </c>
      <c r="C370" t="s">
        <v>42</v>
      </c>
      <c r="D370" t="s">
        <v>12</v>
      </c>
      <c r="E370">
        <v>2</v>
      </c>
      <c r="F370">
        <v>14676</v>
      </c>
      <c r="G370">
        <v>29352</v>
      </c>
      <c r="H370" t="s">
        <v>40</v>
      </c>
      <c r="I370" t="s">
        <v>14</v>
      </c>
      <c r="J370" t="s">
        <v>15</v>
      </c>
      <c r="K370" s="6"/>
      <c r="L370" s="6"/>
      <c r="M370" s="13"/>
    </row>
    <row r="371" spans="1:13" x14ac:dyDescent="0.35">
      <c r="A371">
        <v>1370</v>
      </c>
      <c r="B371" t="s">
        <v>405</v>
      </c>
      <c r="C371" t="s">
        <v>44</v>
      </c>
      <c r="D371" t="s">
        <v>26</v>
      </c>
      <c r="E371">
        <v>3</v>
      </c>
      <c r="F371">
        <v>635</v>
      </c>
      <c r="G371">
        <v>1905</v>
      </c>
      <c r="H371" t="s">
        <v>40</v>
      </c>
      <c r="I371" t="s">
        <v>14</v>
      </c>
      <c r="J371" t="s">
        <v>20</v>
      </c>
      <c r="K371" s="6"/>
      <c r="L371" s="6"/>
      <c r="M371" s="13"/>
    </row>
    <row r="372" spans="1:13" x14ac:dyDescent="0.35">
      <c r="A372">
        <v>1371</v>
      </c>
      <c r="B372" t="s">
        <v>406</v>
      </c>
      <c r="C372" t="s">
        <v>11</v>
      </c>
      <c r="D372" t="s">
        <v>12</v>
      </c>
      <c r="E372">
        <v>2</v>
      </c>
      <c r="F372">
        <v>61090</v>
      </c>
      <c r="G372">
        <v>122180</v>
      </c>
      <c r="H372" t="s">
        <v>37</v>
      </c>
      <c r="I372" t="s">
        <v>14</v>
      </c>
      <c r="J372" t="s">
        <v>20</v>
      </c>
      <c r="K372" s="6"/>
      <c r="L372" s="6"/>
      <c r="M372" s="13"/>
    </row>
    <row r="373" spans="1:13" x14ac:dyDescent="0.35">
      <c r="A373">
        <v>1372</v>
      </c>
      <c r="B373" t="s">
        <v>407</v>
      </c>
      <c r="C373" t="s">
        <v>17</v>
      </c>
      <c r="D373" t="s">
        <v>12</v>
      </c>
      <c r="E373">
        <v>1</v>
      </c>
      <c r="F373">
        <v>2093</v>
      </c>
      <c r="G373">
        <v>2093</v>
      </c>
      <c r="H373" t="s">
        <v>40</v>
      </c>
      <c r="I373" t="s">
        <v>32</v>
      </c>
      <c r="J373" t="s">
        <v>15</v>
      </c>
      <c r="K373" s="6"/>
      <c r="L373" s="6"/>
      <c r="M373" s="13"/>
    </row>
    <row r="374" spans="1:13" x14ac:dyDescent="0.35">
      <c r="A374">
        <v>1373</v>
      </c>
      <c r="B374" t="s">
        <v>408</v>
      </c>
      <c r="C374" t="s">
        <v>22</v>
      </c>
      <c r="D374" t="s">
        <v>23</v>
      </c>
      <c r="E374">
        <v>3</v>
      </c>
      <c r="F374">
        <v>4952</v>
      </c>
      <c r="G374">
        <v>14856</v>
      </c>
      <c r="H374" t="s">
        <v>37</v>
      </c>
      <c r="I374" t="s">
        <v>14</v>
      </c>
      <c r="J374" t="s">
        <v>15</v>
      </c>
      <c r="K374" s="6"/>
      <c r="L374" s="6"/>
      <c r="M374" s="13"/>
    </row>
    <row r="375" spans="1:13" x14ac:dyDescent="0.35">
      <c r="A375">
        <v>1374</v>
      </c>
      <c r="B375" t="s">
        <v>409</v>
      </c>
      <c r="C375" t="s">
        <v>25</v>
      </c>
      <c r="D375" t="s">
        <v>26</v>
      </c>
      <c r="E375">
        <v>4</v>
      </c>
      <c r="F375">
        <v>11582</v>
      </c>
      <c r="G375">
        <v>46328</v>
      </c>
      <c r="H375" t="s">
        <v>13</v>
      </c>
      <c r="I375" t="s">
        <v>19</v>
      </c>
      <c r="J375" t="s">
        <v>33</v>
      </c>
      <c r="K375" s="6"/>
      <c r="L375" s="6"/>
      <c r="M375" s="13"/>
    </row>
    <row r="376" spans="1:13" x14ac:dyDescent="0.35">
      <c r="A376">
        <v>1375</v>
      </c>
      <c r="B376" t="s">
        <v>410</v>
      </c>
      <c r="C376" t="s">
        <v>29</v>
      </c>
      <c r="D376" t="s">
        <v>26</v>
      </c>
      <c r="E376">
        <v>1</v>
      </c>
      <c r="F376">
        <v>267</v>
      </c>
      <c r="G376">
        <v>267</v>
      </c>
      <c r="H376" t="s">
        <v>13</v>
      </c>
      <c r="I376" t="s">
        <v>32</v>
      </c>
      <c r="J376" t="s">
        <v>15</v>
      </c>
      <c r="K376" s="6"/>
      <c r="L376" s="6"/>
      <c r="M376" s="13"/>
    </row>
    <row r="377" spans="1:13" x14ac:dyDescent="0.35">
      <c r="A377">
        <v>1376</v>
      </c>
      <c r="B377" t="s">
        <v>411</v>
      </c>
      <c r="C377" t="s">
        <v>31</v>
      </c>
      <c r="D377" t="s">
        <v>12</v>
      </c>
      <c r="E377">
        <v>1</v>
      </c>
      <c r="F377">
        <v>36468</v>
      </c>
      <c r="G377">
        <v>36468</v>
      </c>
      <c r="H377" t="s">
        <v>37</v>
      </c>
      <c r="I377" t="s">
        <v>14</v>
      </c>
      <c r="J377" t="s">
        <v>33</v>
      </c>
      <c r="K377" s="6"/>
      <c r="L377" s="6"/>
      <c r="M377" s="13"/>
    </row>
    <row r="378" spans="1:13" x14ac:dyDescent="0.35">
      <c r="A378">
        <v>1377</v>
      </c>
      <c r="B378" t="s">
        <v>412</v>
      </c>
      <c r="C378" t="s">
        <v>35</v>
      </c>
      <c r="D378" t="s">
        <v>36</v>
      </c>
      <c r="E378">
        <v>4</v>
      </c>
      <c r="F378">
        <v>506</v>
      </c>
      <c r="G378">
        <v>2024</v>
      </c>
      <c r="H378" t="s">
        <v>27</v>
      </c>
      <c r="I378" t="s">
        <v>19</v>
      </c>
      <c r="J378" t="s">
        <v>33</v>
      </c>
      <c r="K378" s="6"/>
      <c r="L378" s="6"/>
      <c r="M378" s="13"/>
    </row>
    <row r="379" spans="1:13" x14ac:dyDescent="0.35">
      <c r="A379">
        <v>1378</v>
      </c>
      <c r="B379" t="s">
        <v>413</v>
      </c>
      <c r="C379" t="s">
        <v>39</v>
      </c>
      <c r="D379" t="s">
        <v>23</v>
      </c>
      <c r="E379">
        <v>1</v>
      </c>
      <c r="F379">
        <v>640</v>
      </c>
      <c r="G379">
        <v>640</v>
      </c>
      <c r="H379" t="s">
        <v>27</v>
      </c>
      <c r="I379" t="s">
        <v>19</v>
      </c>
      <c r="J379" t="s">
        <v>33</v>
      </c>
      <c r="K379" s="6"/>
      <c r="L379" s="6"/>
      <c r="M379" s="13"/>
    </row>
    <row r="380" spans="1:13" x14ac:dyDescent="0.35">
      <c r="A380">
        <v>1379</v>
      </c>
      <c r="B380" t="s">
        <v>414</v>
      </c>
      <c r="C380" t="s">
        <v>42</v>
      </c>
      <c r="D380" t="s">
        <v>12</v>
      </c>
      <c r="E380">
        <v>2</v>
      </c>
      <c r="F380">
        <v>7951</v>
      </c>
      <c r="G380">
        <v>15902</v>
      </c>
      <c r="H380" t="s">
        <v>40</v>
      </c>
      <c r="I380" t="s">
        <v>32</v>
      </c>
      <c r="J380" t="s">
        <v>20</v>
      </c>
      <c r="K380" s="6"/>
      <c r="L380" s="6"/>
      <c r="M380" s="13"/>
    </row>
    <row r="381" spans="1:13" x14ac:dyDescent="0.35">
      <c r="A381">
        <v>1380</v>
      </c>
      <c r="B381" t="s">
        <v>415</v>
      </c>
      <c r="C381" t="s">
        <v>44</v>
      </c>
      <c r="D381" t="s">
        <v>26</v>
      </c>
      <c r="E381">
        <v>2</v>
      </c>
      <c r="F381">
        <v>547</v>
      </c>
      <c r="G381">
        <v>1094</v>
      </c>
      <c r="H381" t="s">
        <v>18</v>
      </c>
      <c r="I381" t="s">
        <v>32</v>
      </c>
      <c r="J381" t="s">
        <v>20</v>
      </c>
      <c r="K381" s="6"/>
      <c r="L381" s="6"/>
      <c r="M381" s="13"/>
    </row>
    <row r="382" spans="1:13" x14ac:dyDescent="0.35">
      <c r="A382">
        <v>1381</v>
      </c>
      <c r="B382" t="s">
        <v>416</v>
      </c>
      <c r="C382" t="s">
        <v>11</v>
      </c>
      <c r="D382" t="s">
        <v>12</v>
      </c>
      <c r="E382">
        <v>2</v>
      </c>
      <c r="F382">
        <v>44128</v>
      </c>
      <c r="G382">
        <v>88256</v>
      </c>
      <c r="H382" t="s">
        <v>13</v>
      </c>
      <c r="I382" t="s">
        <v>32</v>
      </c>
      <c r="J382" t="s">
        <v>20</v>
      </c>
      <c r="K382" s="6"/>
      <c r="L382" s="6"/>
      <c r="M382" s="13"/>
    </row>
    <row r="383" spans="1:13" x14ac:dyDescent="0.35">
      <c r="A383">
        <v>1382</v>
      </c>
      <c r="B383" t="s">
        <v>417</v>
      </c>
      <c r="C383" t="s">
        <v>17</v>
      </c>
      <c r="D383" t="s">
        <v>12</v>
      </c>
      <c r="E383">
        <v>1</v>
      </c>
      <c r="F383">
        <v>2236</v>
      </c>
      <c r="G383">
        <v>2236</v>
      </c>
      <c r="H383" t="s">
        <v>51</v>
      </c>
      <c r="I383" t="s">
        <v>19</v>
      </c>
      <c r="J383" t="s">
        <v>33</v>
      </c>
      <c r="K383" s="6"/>
      <c r="L383" s="6"/>
      <c r="M383" s="13"/>
    </row>
    <row r="384" spans="1:13" x14ac:dyDescent="0.35">
      <c r="A384">
        <v>1383</v>
      </c>
      <c r="B384" t="s">
        <v>418</v>
      </c>
      <c r="C384" t="s">
        <v>22</v>
      </c>
      <c r="D384" t="s">
        <v>23</v>
      </c>
      <c r="E384">
        <v>1</v>
      </c>
      <c r="F384">
        <v>2086</v>
      </c>
      <c r="G384">
        <v>2086</v>
      </c>
      <c r="H384" t="s">
        <v>51</v>
      </c>
      <c r="I384" t="s">
        <v>14</v>
      </c>
      <c r="J384" t="s">
        <v>20</v>
      </c>
      <c r="K384" s="6"/>
      <c r="L384" s="6"/>
      <c r="M384" s="13"/>
    </row>
    <row r="385" spans="1:13" x14ac:dyDescent="0.35">
      <c r="A385">
        <v>1384</v>
      </c>
      <c r="B385" t="s">
        <v>419</v>
      </c>
      <c r="C385" t="s">
        <v>25</v>
      </c>
      <c r="D385" t="s">
        <v>26</v>
      </c>
      <c r="E385">
        <v>5</v>
      </c>
      <c r="F385">
        <v>2776</v>
      </c>
      <c r="G385">
        <v>13880</v>
      </c>
      <c r="H385" t="s">
        <v>13</v>
      </c>
      <c r="I385" t="s">
        <v>32</v>
      </c>
      <c r="J385" t="s">
        <v>15</v>
      </c>
      <c r="K385" s="6"/>
      <c r="L385" s="6"/>
      <c r="M385" s="13"/>
    </row>
    <row r="386" spans="1:13" x14ac:dyDescent="0.35">
      <c r="A386">
        <v>1385</v>
      </c>
      <c r="B386" t="s">
        <v>420</v>
      </c>
      <c r="C386" t="s">
        <v>29</v>
      </c>
      <c r="D386" t="s">
        <v>26</v>
      </c>
      <c r="E386">
        <v>3</v>
      </c>
      <c r="F386">
        <v>950</v>
      </c>
      <c r="G386">
        <v>2850</v>
      </c>
      <c r="H386" t="s">
        <v>37</v>
      </c>
      <c r="I386" t="s">
        <v>19</v>
      </c>
      <c r="J386" t="s">
        <v>20</v>
      </c>
      <c r="K386" s="6"/>
      <c r="L386" s="6"/>
      <c r="M386" s="13"/>
    </row>
    <row r="387" spans="1:13" x14ac:dyDescent="0.35">
      <c r="A387">
        <v>1386</v>
      </c>
      <c r="B387" t="s">
        <v>421</v>
      </c>
      <c r="C387" t="s">
        <v>31</v>
      </c>
      <c r="D387" t="s">
        <v>12</v>
      </c>
      <c r="E387">
        <v>2</v>
      </c>
      <c r="F387">
        <v>35262</v>
      </c>
      <c r="G387">
        <v>70524</v>
      </c>
      <c r="H387" t="s">
        <v>13</v>
      </c>
      <c r="I387" t="s">
        <v>32</v>
      </c>
      <c r="J387" t="s">
        <v>33</v>
      </c>
      <c r="K387" s="6"/>
      <c r="L387" s="6"/>
      <c r="M387" s="13"/>
    </row>
    <row r="388" spans="1:13" x14ac:dyDescent="0.35">
      <c r="A388">
        <v>1387</v>
      </c>
      <c r="B388" t="s">
        <v>422</v>
      </c>
      <c r="C388" t="s">
        <v>35</v>
      </c>
      <c r="D388" t="s">
        <v>36</v>
      </c>
      <c r="E388">
        <v>2</v>
      </c>
      <c r="F388">
        <v>987</v>
      </c>
      <c r="G388">
        <v>1974</v>
      </c>
      <c r="H388" t="s">
        <v>40</v>
      </c>
      <c r="I388" t="s">
        <v>14</v>
      </c>
      <c r="J388" t="s">
        <v>15</v>
      </c>
      <c r="K388" s="6"/>
      <c r="L388" s="6"/>
      <c r="M388" s="13"/>
    </row>
    <row r="389" spans="1:13" x14ac:dyDescent="0.35">
      <c r="A389">
        <v>1388</v>
      </c>
      <c r="B389" t="s">
        <v>423</v>
      </c>
      <c r="C389" t="s">
        <v>39</v>
      </c>
      <c r="D389" t="s">
        <v>23</v>
      </c>
      <c r="E389">
        <v>4</v>
      </c>
      <c r="F389">
        <v>1738</v>
      </c>
      <c r="G389">
        <v>6952</v>
      </c>
      <c r="H389" t="s">
        <v>18</v>
      </c>
      <c r="I389" t="s">
        <v>19</v>
      </c>
      <c r="J389" t="s">
        <v>20</v>
      </c>
      <c r="K389" s="6"/>
      <c r="L389" s="6"/>
      <c r="M389" s="13"/>
    </row>
    <row r="390" spans="1:13" x14ac:dyDescent="0.35">
      <c r="A390">
        <v>1389</v>
      </c>
      <c r="B390" t="s">
        <v>424</v>
      </c>
      <c r="C390" t="s">
        <v>42</v>
      </c>
      <c r="D390" t="s">
        <v>12</v>
      </c>
      <c r="E390">
        <v>2</v>
      </c>
      <c r="F390">
        <v>12489</v>
      </c>
      <c r="G390">
        <v>24978</v>
      </c>
      <c r="H390" t="s">
        <v>51</v>
      </c>
      <c r="I390" t="s">
        <v>19</v>
      </c>
      <c r="J390" t="s">
        <v>20</v>
      </c>
      <c r="K390" s="6"/>
      <c r="L390" s="6"/>
      <c r="M390" s="13"/>
    </row>
    <row r="391" spans="1:13" x14ac:dyDescent="0.35">
      <c r="A391">
        <v>1390</v>
      </c>
      <c r="B391" t="s">
        <v>425</v>
      </c>
      <c r="C391" t="s">
        <v>44</v>
      </c>
      <c r="D391" t="s">
        <v>26</v>
      </c>
      <c r="E391">
        <v>1</v>
      </c>
      <c r="F391">
        <v>655</v>
      </c>
      <c r="G391">
        <v>655</v>
      </c>
      <c r="H391" t="s">
        <v>51</v>
      </c>
      <c r="I391" t="s">
        <v>32</v>
      </c>
      <c r="J391" t="s">
        <v>15</v>
      </c>
      <c r="K391" s="6"/>
      <c r="L391" s="6"/>
      <c r="M391" s="13"/>
    </row>
    <row r="392" spans="1:13" x14ac:dyDescent="0.35">
      <c r="A392">
        <v>1391</v>
      </c>
      <c r="B392" t="s">
        <v>426</v>
      </c>
      <c r="C392" t="s">
        <v>11</v>
      </c>
      <c r="D392" t="s">
        <v>12</v>
      </c>
      <c r="E392">
        <v>1</v>
      </c>
      <c r="F392">
        <v>43749</v>
      </c>
      <c r="G392">
        <v>43749</v>
      </c>
      <c r="H392" t="s">
        <v>40</v>
      </c>
      <c r="I392" t="s">
        <v>14</v>
      </c>
      <c r="J392" t="s">
        <v>15</v>
      </c>
      <c r="K392" s="6"/>
      <c r="L392" s="6"/>
      <c r="M392" s="13"/>
    </row>
    <row r="393" spans="1:13" x14ac:dyDescent="0.35">
      <c r="A393">
        <v>1392</v>
      </c>
      <c r="B393" t="s">
        <v>427</v>
      </c>
      <c r="C393" t="s">
        <v>17</v>
      </c>
      <c r="D393" t="s">
        <v>12</v>
      </c>
      <c r="E393">
        <v>2</v>
      </c>
      <c r="F393">
        <v>2811</v>
      </c>
      <c r="G393">
        <v>5622</v>
      </c>
      <c r="H393" t="s">
        <v>51</v>
      </c>
      <c r="I393" t="s">
        <v>14</v>
      </c>
      <c r="J393" t="s">
        <v>33</v>
      </c>
      <c r="K393" s="6"/>
      <c r="L393" s="6"/>
      <c r="M393" s="13"/>
    </row>
    <row r="394" spans="1:13" x14ac:dyDescent="0.35">
      <c r="A394">
        <v>1393</v>
      </c>
      <c r="B394" t="s">
        <v>428</v>
      </c>
      <c r="C394" t="s">
        <v>22</v>
      </c>
      <c r="D394" t="s">
        <v>23</v>
      </c>
      <c r="E394">
        <v>2</v>
      </c>
      <c r="F394">
        <v>3024</v>
      </c>
      <c r="G394">
        <v>6048</v>
      </c>
      <c r="H394" t="s">
        <v>13</v>
      </c>
      <c r="I394" t="s">
        <v>14</v>
      </c>
      <c r="J394" t="s">
        <v>20</v>
      </c>
      <c r="K394" s="6"/>
      <c r="L394" s="6"/>
      <c r="M394" s="13"/>
    </row>
    <row r="395" spans="1:13" x14ac:dyDescent="0.35">
      <c r="A395">
        <v>1394</v>
      </c>
      <c r="B395" t="s">
        <v>429</v>
      </c>
      <c r="C395" t="s">
        <v>25</v>
      </c>
      <c r="D395" t="s">
        <v>26</v>
      </c>
      <c r="E395">
        <v>2</v>
      </c>
      <c r="F395">
        <v>3456</v>
      </c>
      <c r="G395">
        <v>6912</v>
      </c>
      <c r="H395" t="s">
        <v>13</v>
      </c>
      <c r="I395" t="s">
        <v>19</v>
      </c>
      <c r="J395" t="s">
        <v>20</v>
      </c>
      <c r="K395" s="6"/>
      <c r="L395" s="6"/>
      <c r="M395" s="13"/>
    </row>
    <row r="396" spans="1:13" x14ac:dyDescent="0.35">
      <c r="A396">
        <v>1395</v>
      </c>
      <c r="B396" t="s">
        <v>430</v>
      </c>
      <c r="C396" t="s">
        <v>29</v>
      </c>
      <c r="D396" t="s">
        <v>26</v>
      </c>
      <c r="E396">
        <v>2</v>
      </c>
      <c r="F396">
        <v>101</v>
      </c>
      <c r="G396">
        <v>202</v>
      </c>
      <c r="H396" t="s">
        <v>37</v>
      </c>
      <c r="I396" t="s">
        <v>19</v>
      </c>
      <c r="J396" t="s">
        <v>33</v>
      </c>
      <c r="K396" s="6"/>
      <c r="L396" s="6"/>
      <c r="M396" s="13"/>
    </row>
    <row r="397" spans="1:13" x14ac:dyDescent="0.35">
      <c r="A397">
        <v>1396</v>
      </c>
      <c r="B397" t="s">
        <v>431</v>
      </c>
      <c r="C397" t="s">
        <v>31</v>
      </c>
      <c r="D397" t="s">
        <v>12</v>
      </c>
      <c r="E397">
        <v>1</v>
      </c>
      <c r="F397">
        <v>12460</v>
      </c>
      <c r="G397">
        <v>12460</v>
      </c>
      <c r="H397" t="s">
        <v>13</v>
      </c>
      <c r="I397" t="s">
        <v>32</v>
      </c>
      <c r="J397" t="s">
        <v>33</v>
      </c>
      <c r="K397" s="6"/>
      <c r="L397" s="6"/>
      <c r="M397" s="13"/>
    </row>
    <row r="398" spans="1:13" x14ac:dyDescent="0.35">
      <c r="A398">
        <v>1397</v>
      </c>
      <c r="B398" t="s">
        <v>432</v>
      </c>
      <c r="C398" t="s">
        <v>35</v>
      </c>
      <c r="D398" t="s">
        <v>36</v>
      </c>
      <c r="E398">
        <v>2</v>
      </c>
      <c r="F398">
        <v>255</v>
      </c>
      <c r="G398">
        <v>510</v>
      </c>
      <c r="H398" t="s">
        <v>37</v>
      </c>
      <c r="I398" t="s">
        <v>32</v>
      </c>
      <c r="J398" t="s">
        <v>33</v>
      </c>
      <c r="K398" s="6"/>
      <c r="L398" s="6"/>
      <c r="M398" s="13"/>
    </row>
    <row r="399" spans="1:13" x14ac:dyDescent="0.35">
      <c r="A399">
        <v>1398</v>
      </c>
      <c r="B399" t="s">
        <v>433</v>
      </c>
      <c r="C399" t="s">
        <v>39</v>
      </c>
      <c r="D399" t="s">
        <v>23</v>
      </c>
      <c r="E399">
        <v>4</v>
      </c>
      <c r="F399">
        <v>688</v>
      </c>
      <c r="G399">
        <v>2752</v>
      </c>
      <c r="H399" t="s">
        <v>13</v>
      </c>
      <c r="I399" t="s">
        <v>14</v>
      </c>
      <c r="J399" t="s">
        <v>15</v>
      </c>
      <c r="K399" s="6"/>
      <c r="L399" s="6"/>
      <c r="M399" s="13"/>
    </row>
    <row r="400" spans="1:13" x14ac:dyDescent="0.35">
      <c r="A400">
        <v>1399</v>
      </c>
      <c r="B400" t="s">
        <v>434</v>
      </c>
      <c r="C400" t="s">
        <v>42</v>
      </c>
      <c r="D400" t="s">
        <v>12</v>
      </c>
      <c r="E400">
        <v>2</v>
      </c>
      <c r="F400">
        <v>4109</v>
      </c>
      <c r="G400">
        <v>8218</v>
      </c>
      <c r="H400" t="s">
        <v>18</v>
      </c>
      <c r="I400" t="s">
        <v>19</v>
      </c>
      <c r="J400" t="s">
        <v>15</v>
      </c>
      <c r="K400" s="6"/>
      <c r="L400" s="6"/>
      <c r="M400" s="13"/>
    </row>
    <row r="401" spans="1:13" x14ac:dyDescent="0.35">
      <c r="A401">
        <v>1400</v>
      </c>
      <c r="B401" t="s">
        <v>435</v>
      </c>
      <c r="C401" t="s">
        <v>44</v>
      </c>
      <c r="D401" t="s">
        <v>26</v>
      </c>
      <c r="E401">
        <v>2</v>
      </c>
      <c r="F401">
        <v>289</v>
      </c>
      <c r="G401">
        <v>578</v>
      </c>
      <c r="H401" t="s">
        <v>51</v>
      </c>
      <c r="I401" t="s">
        <v>32</v>
      </c>
      <c r="J401" t="s">
        <v>20</v>
      </c>
      <c r="K401" s="6"/>
      <c r="L401" s="6"/>
      <c r="M401" s="13"/>
    </row>
    <row r="402" spans="1:13" x14ac:dyDescent="0.35">
      <c r="A402">
        <v>1401</v>
      </c>
      <c r="B402" t="s">
        <v>436</v>
      </c>
      <c r="C402" t="s">
        <v>11</v>
      </c>
      <c r="D402" t="s">
        <v>12</v>
      </c>
      <c r="E402">
        <v>1</v>
      </c>
      <c r="F402">
        <v>56349</v>
      </c>
      <c r="G402">
        <v>56349</v>
      </c>
      <c r="H402" t="s">
        <v>37</v>
      </c>
      <c r="I402" t="s">
        <v>32</v>
      </c>
      <c r="J402" t="s">
        <v>33</v>
      </c>
      <c r="K402" s="6"/>
      <c r="L402" s="6"/>
      <c r="M402" s="13"/>
    </row>
    <row r="403" spans="1:13" x14ac:dyDescent="0.35">
      <c r="A403">
        <v>1402</v>
      </c>
      <c r="B403" t="s">
        <v>437</v>
      </c>
      <c r="C403" t="s">
        <v>17</v>
      </c>
      <c r="D403" t="s">
        <v>12</v>
      </c>
      <c r="E403">
        <v>3</v>
      </c>
      <c r="F403">
        <v>2075</v>
      </c>
      <c r="G403">
        <v>6225</v>
      </c>
      <c r="H403" t="s">
        <v>37</v>
      </c>
      <c r="I403" t="s">
        <v>32</v>
      </c>
      <c r="J403" t="s">
        <v>15</v>
      </c>
      <c r="K403" s="6"/>
      <c r="L403" s="6"/>
      <c r="M403" s="13"/>
    </row>
    <row r="404" spans="1:13" x14ac:dyDescent="0.35">
      <c r="A404">
        <v>1403</v>
      </c>
      <c r="B404" t="s">
        <v>438</v>
      </c>
      <c r="C404" t="s">
        <v>22</v>
      </c>
      <c r="D404" t="s">
        <v>23</v>
      </c>
      <c r="E404">
        <v>3</v>
      </c>
      <c r="F404">
        <v>3644</v>
      </c>
      <c r="G404">
        <v>10932</v>
      </c>
      <c r="H404" t="s">
        <v>13</v>
      </c>
      <c r="I404" t="s">
        <v>19</v>
      </c>
      <c r="J404" t="s">
        <v>20</v>
      </c>
      <c r="K404" s="6"/>
      <c r="L404" s="6"/>
      <c r="M404" s="13"/>
    </row>
    <row r="405" spans="1:13" x14ac:dyDescent="0.35">
      <c r="A405">
        <v>1404</v>
      </c>
      <c r="B405" t="s">
        <v>439</v>
      </c>
      <c r="C405" t="s">
        <v>25</v>
      </c>
      <c r="D405" t="s">
        <v>26</v>
      </c>
      <c r="E405">
        <v>1</v>
      </c>
      <c r="F405">
        <v>5904</v>
      </c>
      <c r="G405">
        <v>5904</v>
      </c>
      <c r="H405" t="s">
        <v>51</v>
      </c>
      <c r="I405" t="s">
        <v>19</v>
      </c>
      <c r="J405" t="s">
        <v>20</v>
      </c>
      <c r="K405" s="6"/>
      <c r="L405" s="6"/>
      <c r="M405" s="13"/>
    </row>
    <row r="406" spans="1:13" x14ac:dyDescent="0.35">
      <c r="A406">
        <v>1405</v>
      </c>
      <c r="B406" t="s">
        <v>440</v>
      </c>
      <c r="C406" t="s">
        <v>29</v>
      </c>
      <c r="D406" t="s">
        <v>26</v>
      </c>
      <c r="E406">
        <v>3</v>
      </c>
      <c r="F406">
        <v>295</v>
      </c>
      <c r="G406">
        <v>885</v>
      </c>
      <c r="H406" t="s">
        <v>40</v>
      </c>
      <c r="I406" t="s">
        <v>14</v>
      </c>
      <c r="J406" t="s">
        <v>33</v>
      </c>
      <c r="K406" s="6"/>
      <c r="L406" s="6"/>
      <c r="M406" s="13"/>
    </row>
    <row r="407" spans="1:13" x14ac:dyDescent="0.35">
      <c r="A407">
        <v>1406</v>
      </c>
      <c r="B407" t="s">
        <v>441</v>
      </c>
      <c r="C407" t="s">
        <v>31</v>
      </c>
      <c r="D407" t="s">
        <v>12</v>
      </c>
      <c r="E407">
        <v>1</v>
      </c>
      <c r="F407">
        <v>27414</v>
      </c>
      <c r="G407">
        <v>27414</v>
      </c>
      <c r="H407" t="s">
        <v>13</v>
      </c>
      <c r="I407" t="s">
        <v>19</v>
      </c>
      <c r="J407" t="s">
        <v>15</v>
      </c>
      <c r="K407" s="6"/>
      <c r="L407" s="6"/>
      <c r="M407" s="13"/>
    </row>
    <row r="408" spans="1:13" x14ac:dyDescent="0.35">
      <c r="A408">
        <v>1407</v>
      </c>
      <c r="B408" t="s">
        <v>442</v>
      </c>
      <c r="C408" t="s">
        <v>35</v>
      </c>
      <c r="D408" t="s">
        <v>36</v>
      </c>
      <c r="E408">
        <v>1</v>
      </c>
      <c r="F408">
        <v>367</v>
      </c>
      <c r="G408">
        <v>367</v>
      </c>
      <c r="H408" t="s">
        <v>40</v>
      </c>
      <c r="I408" t="s">
        <v>14</v>
      </c>
      <c r="J408" t="s">
        <v>33</v>
      </c>
      <c r="K408" s="6"/>
      <c r="L408" s="6"/>
      <c r="M408" s="13"/>
    </row>
    <row r="409" spans="1:13" x14ac:dyDescent="0.35">
      <c r="A409">
        <v>1408</v>
      </c>
      <c r="B409" t="s">
        <v>443</v>
      </c>
      <c r="C409" t="s">
        <v>39</v>
      </c>
      <c r="D409" t="s">
        <v>23</v>
      </c>
      <c r="E409">
        <v>2</v>
      </c>
      <c r="F409">
        <v>698</v>
      </c>
      <c r="G409">
        <v>1396</v>
      </c>
      <c r="H409" t="s">
        <v>27</v>
      </c>
      <c r="I409" t="s">
        <v>14</v>
      </c>
      <c r="J409" t="s">
        <v>33</v>
      </c>
      <c r="K409" s="6"/>
      <c r="L409" s="6"/>
      <c r="M409" s="13"/>
    </row>
    <row r="410" spans="1:13" x14ac:dyDescent="0.35">
      <c r="A410">
        <v>1409</v>
      </c>
      <c r="B410" t="s">
        <v>444</v>
      </c>
      <c r="C410" t="s">
        <v>42</v>
      </c>
      <c r="D410" t="s">
        <v>12</v>
      </c>
      <c r="E410">
        <v>2</v>
      </c>
      <c r="F410">
        <v>13713</v>
      </c>
      <c r="G410">
        <v>27426</v>
      </c>
      <c r="H410" t="s">
        <v>40</v>
      </c>
      <c r="I410" t="s">
        <v>32</v>
      </c>
      <c r="J410" t="s">
        <v>15</v>
      </c>
      <c r="K410" s="6"/>
      <c r="L410" s="6"/>
      <c r="M410" s="13"/>
    </row>
    <row r="411" spans="1:13" x14ac:dyDescent="0.35">
      <c r="A411">
        <v>1410</v>
      </c>
      <c r="B411" t="s">
        <v>445</v>
      </c>
      <c r="C411" t="s">
        <v>44</v>
      </c>
      <c r="D411" t="s">
        <v>26</v>
      </c>
      <c r="E411">
        <v>4</v>
      </c>
      <c r="F411">
        <v>626</v>
      </c>
      <c r="G411">
        <v>2504</v>
      </c>
      <c r="H411" t="s">
        <v>18</v>
      </c>
      <c r="I411" t="s">
        <v>14</v>
      </c>
      <c r="J411" t="s">
        <v>33</v>
      </c>
      <c r="K411" s="6"/>
      <c r="L411" s="6"/>
      <c r="M411" s="13"/>
    </row>
    <row r="412" spans="1:13" x14ac:dyDescent="0.35">
      <c r="A412">
        <v>1411</v>
      </c>
      <c r="B412" t="s">
        <v>446</v>
      </c>
      <c r="C412" t="s">
        <v>11</v>
      </c>
      <c r="D412" t="s">
        <v>12</v>
      </c>
      <c r="E412">
        <v>2</v>
      </c>
      <c r="F412">
        <v>56913</v>
      </c>
      <c r="G412">
        <v>113826</v>
      </c>
      <c r="H412" t="s">
        <v>18</v>
      </c>
      <c r="I412" t="s">
        <v>14</v>
      </c>
      <c r="J412" t="s">
        <v>15</v>
      </c>
      <c r="K412" s="6"/>
      <c r="L412" s="6"/>
      <c r="M412" s="13"/>
    </row>
    <row r="413" spans="1:13" x14ac:dyDescent="0.35">
      <c r="A413">
        <v>1412</v>
      </c>
      <c r="B413" t="s">
        <v>447</v>
      </c>
      <c r="C413" t="s">
        <v>17</v>
      </c>
      <c r="D413" t="s">
        <v>12</v>
      </c>
      <c r="E413">
        <v>1</v>
      </c>
      <c r="F413">
        <v>4959</v>
      </c>
      <c r="G413">
        <v>4959</v>
      </c>
      <c r="H413" t="s">
        <v>51</v>
      </c>
      <c r="I413" t="s">
        <v>14</v>
      </c>
      <c r="J413" t="s">
        <v>15</v>
      </c>
      <c r="K413" s="6"/>
      <c r="L413" s="6"/>
      <c r="M413" s="13"/>
    </row>
    <row r="414" spans="1:13" x14ac:dyDescent="0.35">
      <c r="A414">
        <v>1413</v>
      </c>
      <c r="B414" t="s">
        <v>448</v>
      </c>
      <c r="C414" t="s">
        <v>22</v>
      </c>
      <c r="D414" t="s">
        <v>23</v>
      </c>
      <c r="E414">
        <v>2</v>
      </c>
      <c r="F414">
        <v>2841</v>
      </c>
      <c r="G414">
        <v>5682</v>
      </c>
      <c r="H414" t="s">
        <v>51</v>
      </c>
      <c r="I414" t="s">
        <v>14</v>
      </c>
      <c r="J414" t="s">
        <v>15</v>
      </c>
      <c r="K414" s="6"/>
      <c r="L414" s="6"/>
      <c r="M414" s="13"/>
    </row>
    <row r="415" spans="1:13" x14ac:dyDescent="0.35">
      <c r="A415">
        <v>1414</v>
      </c>
      <c r="B415" t="s">
        <v>449</v>
      </c>
      <c r="C415" t="s">
        <v>25</v>
      </c>
      <c r="D415" t="s">
        <v>26</v>
      </c>
      <c r="E415">
        <v>4</v>
      </c>
      <c r="F415">
        <v>13916</v>
      </c>
      <c r="G415">
        <v>55664</v>
      </c>
      <c r="H415" t="s">
        <v>37</v>
      </c>
      <c r="I415" t="s">
        <v>19</v>
      </c>
      <c r="J415" t="s">
        <v>15</v>
      </c>
      <c r="K415" s="6"/>
      <c r="L415" s="6"/>
      <c r="M415" s="13"/>
    </row>
    <row r="416" spans="1:13" x14ac:dyDescent="0.35">
      <c r="A416">
        <v>1415</v>
      </c>
      <c r="B416" t="s">
        <v>450</v>
      </c>
      <c r="C416" t="s">
        <v>29</v>
      </c>
      <c r="D416" t="s">
        <v>26</v>
      </c>
      <c r="E416">
        <v>4</v>
      </c>
      <c r="F416">
        <v>151</v>
      </c>
      <c r="G416">
        <v>604</v>
      </c>
      <c r="H416" t="s">
        <v>51</v>
      </c>
      <c r="I416" t="s">
        <v>32</v>
      </c>
      <c r="J416" t="s">
        <v>33</v>
      </c>
      <c r="K416" s="6"/>
      <c r="L416" s="6"/>
      <c r="M416" s="13"/>
    </row>
    <row r="417" spans="1:13" x14ac:dyDescent="0.35">
      <c r="A417">
        <v>1416</v>
      </c>
      <c r="B417" t="s">
        <v>451</v>
      </c>
      <c r="C417" t="s">
        <v>31</v>
      </c>
      <c r="D417" t="s">
        <v>12</v>
      </c>
      <c r="E417">
        <v>1</v>
      </c>
      <c r="F417">
        <v>17923</v>
      </c>
      <c r="G417">
        <v>17923</v>
      </c>
      <c r="H417" t="s">
        <v>13</v>
      </c>
      <c r="I417" t="s">
        <v>19</v>
      </c>
      <c r="J417" t="s">
        <v>33</v>
      </c>
      <c r="K417" s="6"/>
      <c r="L417" s="6"/>
      <c r="M417" s="13"/>
    </row>
    <row r="418" spans="1:13" x14ac:dyDescent="0.35">
      <c r="A418">
        <v>1417</v>
      </c>
      <c r="B418" t="s">
        <v>452</v>
      </c>
      <c r="C418" t="s">
        <v>35</v>
      </c>
      <c r="D418" t="s">
        <v>36</v>
      </c>
      <c r="E418">
        <v>3</v>
      </c>
      <c r="F418">
        <v>843</v>
      </c>
      <c r="G418">
        <v>2529</v>
      </c>
      <c r="H418" t="s">
        <v>40</v>
      </c>
      <c r="I418" t="s">
        <v>19</v>
      </c>
      <c r="J418" t="s">
        <v>15</v>
      </c>
      <c r="K418" s="6"/>
      <c r="L418" s="6"/>
      <c r="M418" s="13"/>
    </row>
    <row r="419" spans="1:13" x14ac:dyDescent="0.35">
      <c r="A419">
        <v>1418</v>
      </c>
      <c r="B419" t="s">
        <v>453</v>
      </c>
      <c r="C419" t="s">
        <v>39</v>
      </c>
      <c r="D419" t="s">
        <v>23</v>
      </c>
      <c r="E419">
        <v>2</v>
      </c>
      <c r="F419">
        <v>1736</v>
      </c>
      <c r="G419">
        <v>3472</v>
      </c>
      <c r="H419" t="s">
        <v>18</v>
      </c>
      <c r="I419" t="s">
        <v>19</v>
      </c>
      <c r="J419" t="s">
        <v>20</v>
      </c>
      <c r="K419" s="6"/>
      <c r="L419" s="6"/>
      <c r="M419" s="13"/>
    </row>
    <row r="420" spans="1:13" x14ac:dyDescent="0.35">
      <c r="A420">
        <v>1419</v>
      </c>
      <c r="B420" t="s">
        <v>454</v>
      </c>
      <c r="C420" t="s">
        <v>42</v>
      </c>
      <c r="D420" t="s">
        <v>12</v>
      </c>
      <c r="E420">
        <v>1</v>
      </c>
      <c r="F420">
        <v>13704</v>
      </c>
      <c r="G420">
        <v>13704</v>
      </c>
      <c r="H420" t="s">
        <v>51</v>
      </c>
      <c r="I420" t="s">
        <v>14</v>
      </c>
      <c r="J420" t="s">
        <v>20</v>
      </c>
      <c r="K420" s="6"/>
      <c r="L420" s="6"/>
      <c r="M420" s="13"/>
    </row>
    <row r="421" spans="1:13" x14ac:dyDescent="0.35">
      <c r="A421">
        <v>1420</v>
      </c>
      <c r="B421" t="s">
        <v>455</v>
      </c>
      <c r="C421" t="s">
        <v>44</v>
      </c>
      <c r="D421" t="s">
        <v>26</v>
      </c>
      <c r="E421">
        <v>5</v>
      </c>
      <c r="F421">
        <v>297</v>
      </c>
      <c r="G421">
        <v>1485</v>
      </c>
      <c r="H421" t="s">
        <v>18</v>
      </c>
      <c r="I421" t="s">
        <v>14</v>
      </c>
      <c r="J421" t="s">
        <v>20</v>
      </c>
      <c r="K421" s="6"/>
      <c r="L421" s="6"/>
      <c r="M421" s="13"/>
    </row>
    <row r="422" spans="1:13" x14ac:dyDescent="0.35">
      <c r="A422">
        <v>1421</v>
      </c>
      <c r="B422" t="s">
        <v>456</v>
      </c>
      <c r="C422" t="s">
        <v>11</v>
      </c>
      <c r="D422" t="s">
        <v>12</v>
      </c>
      <c r="E422">
        <v>2</v>
      </c>
      <c r="F422">
        <v>59030</v>
      </c>
      <c r="G422">
        <v>118060</v>
      </c>
      <c r="H422" t="s">
        <v>37</v>
      </c>
      <c r="I422" t="s">
        <v>32</v>
      </c>
      <c r="J422" t="s">
        <v>20</v>
      </c>
      <c r="K422" s="6"/>
      <c r="L422" s="6"/>
      <c r="M422" s="13"/>
    </row>
    <row r="423" spans="1:13" x14ac:dyDescent="0.35">
      <c r="A423">
        <v>1422</v>
      </c>
      <c r="B423" t="s">
        <v>457</v>
      </c>
      <c r="C423" t="s">
        <v>17</v>
      </c>
      <c r="D423" t="s">
        <v>12</v>
      </c>
      <c r="E423">
        <v>1</v>
      </c>
      <c r="F423">
        <v>1043</v>
      </c>
      <c r="G423">
        <v>1043</v>
      </c>
      <c r="H423" t="s">
        <v>51</v>
      </c>
      <c r="I423" t="s">
        <v>14</v>
      </c>
      <c r="J423" t="s">
        <v>20</v>
      </c>
      <c r="K423" s="6"/>
      <c r="L423" s="6"/>
      <c r="M423" s="13"/>
    </row>
    <row r="424" spans="1:13" x14ac:dyDescent="0.35">
      <c r="A424">
        <v>1423</v>
      </c>
      <c r="B424" t="s">
        <v>458</v>
      </c>
      <c r="C424" t="s">
        <v>22</v>
      </c>
      <c r="D424" t="s">
        <v>23</v>
      </c>
      <c r="E424">
        <v>2</v>
      </c>
      <c r="F424">
        <v>3714</v>
      </c>
      <c r="G424">
        <v>7428</v>
      </c>
      <c r="H424" t="s">
        <v>18</v>
      </c>
      <c r="I424" t="s">
        <v>19</v>
      </c>
      <c r="J424" t="s">
        <v>15</v>
      </c>
      <c r="K424" s="6"/>
      <c r="L424" s="6"/>
      <c r="M424" s="13"/>
    </row>
    <row r="425" spans="1:13" x14ac:dyDescent="0.35">
      <c r="A425">
        <v>1424</v>
      </c>
      <c r="B425" t="s">
        <v>459</v>
      </c>
      <c r="C425" t="s">
        <v>25</v>
      </c>
      <c r="D425" t="s">
        <v>26</v>
      </c>
      <c r="E425">
        <v>2</v>
      </c>
      <c r="F425">
        <v>4810</v>
      </c>
      <c r="G425">
        <v>9620</v>
      </c>
      <c r="H425" t="s">
        <v>37</v>
      </c>
      <c r="I425" t="s">
        <v>32</v>
      </c>
      <c r="J425" t="s">
        <v>20</v>
      </c>
      <c r="K425" s="6"/>
      <c r="L425" s="6"/>
      <c r="M425" s="13"/>
    </row>
    <row r="426" spans="1:13" x14ac:dyDescent="0.35">
      <c r="A426">
        <v>1425</v>
      </c>
      <c r="B426" t="s">
        <v>460</v>
      </c>
      <c r="C426" t="s">
        <v>29</v>
      </c>
      <c r="D426" t="s">
        <v>26</v>
      </c>
      <c r="E426">
        <v>3</v>
      </c>
      <c r="F426">
        <v>873</v>
      </c>
      <c r="G426">
        <v>2619</v>
      </c>
      <c r="H426" t="s">
        <v>18</v>
      </c>
      <c r="I426" t="s">
        <v>32</v>
      </c>
      <c r="J426" t="s">
        <v>15</v>
      </c>
      <c r="K426" s="6"/>
      <c r="L426" s="6"/>
      <c r="M426" s="13"/>
    </row>
    <row r="427" spans="1:13" x14ac:dyDescent="0.35">
      <c r="A427">
        <v>1426</v>
      </c>
      <c r="B427" t="s">
        <v>461</v>
      </c>
      <c r="C427" t="s">
        <v>31</v>
      </c>
      <c r="D427" t="s">
        <v>12</v>
      </c>
      <c r="E427">
        <v>1</v>
      </c>
      <c r="F427">
        <v>16801</v>
      </c>
      <c r="G427">
        <v>16801</v>
      </c>
      <c r="H427" t="s">
        <v>51</v>
      </c>
      <c r="I427" t="s">
        <v>14</v>
      </c>
      <c r="J427" t="s">
        <v>20</v>
      </c>
      <c r="K427" s="6"/>
      <c r="L427" s="6"/>
      <c r="M427" s="13"/>
    </row>
    <row r="428" spans="1:13" x14ac:dyDescent="0.35">
      <c r="A428">
        <v>1427</v>
      </c>
      <c r="B428" t="s">
        <v>462</v>
      </c>
      <c r="C428" t="s">
        <v>35</v>
      </c>
      <c r="D428" t="s">
        <v>36</v>
      </c>
      <c r="E428">
        <v>2</v>
      </c>
      <c r="F428">
        <v>881</v>
      </c>
      <c r="G428">
        <v>1762</v>
      </c>
      <c r="H428" t="s">
        <v>27</v>
      </c>
      <c r="I428" t="s">
        <v>32</v>
      </c>
      <c r="J428" t="s">
        <v>33</v>
      </c>
      <c r="K428" s="6"/>
      <c r="L428" s="6"/>
      <c r="M428" s="13"/>
    </row>
    <row r="429" spans="1:13" x14ac:dyDescent="0.35">
      <c r="A429">
        <v>1428</v>
      </c>
      <c r="B429" t="s">
        <v>463</v>
      </c>
      <c r="C429" t="s">
        <v>39</v>
      </c>
      <c r="D429" t="s">
        <v>23</v>
      </c>
      <c r="E429">
        <v>1</v>
      </c>
      <c r="F429">
        <v>1334</v>
      </c>
      <c r="G429">
        <v>1334</v>
      </c>
      <c r="H429" t="s">
        <v>27</v>
      </c>
      <c r="I429" t="s">
        <v>14</v>
      </c>
      <c r="J429" t="s">
        <v>15</v>
      </c>
      <c r="K429" s="6"/>
      <c r="L429" s="6"/>
      <c r="M429" s="13"/>
    </row>
    <row r="430" spans="1:13" x14ac:dyDescent="0.35">
      <c r="A430">
        <v>1429</v>
      </c>
      <c r="B430" t="s">
        <v>464</v>
      </c>
      <c r="C430" t="s">
        <v>42</v>
      </c>
      <c r="D430" t="s">
        <v>12</v>
      </c>
      <c r="E430">
        <v>1</v>
      </c>
      <c r="F430">
        <v>5467</v>
      </c>
      <c r="G430">
        <v>5467</v>
      </c>
      <c r="H430" t="s">
        <v>40</v>
      </c>
      <c r="I430" t="s">
        <v>14</v>
      </c>
      <c r="J430" t="s">
        <v>15</v>
      </c>
      <c r="K430" s="6"/>
      <c r="L430" s="6"/>
      <c r="M430" s="13"/>
    </row>
    <row r="431" spans="1:13" x14ac:dyDescent="0.35">
      <c r="A431">
        <v>1430</v>
      </c>
      <c r="B431" t="s">
        <v>465</v>
      </c>
      <c r="C431" t="s">
        <v>44</v>
      </c>
      <c r="D431" t="s">
        <v>26</v>
      </c>
      <c r="E431">
        <v>5</v>
      </c>
      <c r="F431">
        <v>767</v>
      </c>
      <c r="G431">
        <v>3835</v>
      </c>
      <c r="H431" t="s">
        <v>18</v>
      </c>
      <c r="I431" t="s">
        <v>32</v>
      </c>
      <c r="J431" t="s">
        <v>15</v>
      </c>
      <c r="K431" s="6"/>
      <c r="L431" s="6"/>
      <c r="M431" s="13"/>
    </row>
    <row r="432" spans="1:13" x14ac:dyDescent="0.35">
      <c r="A432">
        <v>1431</v>
      </c>
      <c r="B432" t="s">
        <v>466</v>
      </c>
      <c r="C432" t="s">
        <v>11</v>
      </c>
      <c r="D432" t="s">
        <v>12</v>
      </c>
      <c r="E432">
        <v>2</v>
      </c>
      <c r="F432">
        <v>45680</v>
      </c>
      <c r="G432">
        <v>91360</v>
      </c>
      <c r="H432" t="s">
        <v>13</v>
      </c>
      <c r="I432" t="s">
        <v>14</v>
      </c>
      <c r="J432" t="s">
        <v>20</v>
      </c>
      <c r="K432" s="6"/>
      <c r="L432" s="6"/>
      <c r="M432" s="13"/>
    </row>
    <row r="433" spans="1:13" x14ac:dyDescent="0.35">
      <c r="A433">
        <v>1432</v>
      </c>
      <c r="B433" t="s">
        <v>467</v>
      </c>
      <c r="C433" t="s">
        <v>17</v>
      </c>
      <c r="D433" t="s">
        <v>12</v>
      </c>
      <c r="E433">
        <v>1</v>
      </c>
      <c r="F433">
        <v>3500</v>
      </c>
      <c r="G433">
        <v>3500</v>
      </c>
      <c r="H433" t="s">
        <v>37</v>
      </c>
      <c r="I433" t="s">
        <v>14</v>
      </c>
      <c r="J433" t="s">
        <v>20</v>
      </c>
      <c r="K433" s="6"/>
      <c r="L433" s="6"/>
      <c r="M433" s="13"/>
    </row>
    <row r="434" spans="1:13" x14ac:dyDescent="0.35">
      <c r="A434">
        <v>1433</v>
      </c>
      <c r="B434" t="s">
        <v>468</v>
      </c>
      <c r="C434" t="s">
        <v>22</v>
      </c>
      <c r="D434" t="s">
        <v>23</v>
      </c>
      <c r="E434">
        <v>1</v>
      </c>
      <c r="F434">
        <v>2356</v>
      </c>
      <c r="G434">
        <v>2356</v>
      </c>
      <c r="H434" t="s">
        <v>37</v>
      </c>
      <c r="I434" t="s">
        <v>32</v>
      </c>
      <c r="J434" t="s">
        <v>33</v>
      </c>
      <c r="K434" s="6"/>
      <c r="L434" s="6"/>
      <c r="M434" s="13"/>
    </row>
    <row r="435" spans="1:13" x14ac:dyDescent="0.35">
      <c r="A435">
        <v>1434</v>
      </c>
      <c r="B435" t="s">
        <v>469</v>
      </c>
      <c r="C435" t="s">
        <v>25</v>
      </c>
      <c r="D435" t="s">
        <v>26</v>
      </c>
      <c r="E435">
        <v>5</v>
      </c>
      <c r="F435">
        <v>7458</v>
      </c>
      <c r="G435">
        <v>37290</v>
      </c>
      <c r="H435" t="s">
        <v>40</v>
      </c>
      <c r="I435" t="s">
        <v>14</v>
      </c>
      <c r="J435" t="s">
        <v>20</v>
      </c>
      <c r="K435" s="6"/>
      <c r="L435" s="6"/>
      <c r="M435" s="13"/>
    </row>
    <row r="436" spans="1:13" x14ac:dyDescent="0.35">
      <c r="A436">
        <v>1435</v>
      </c>
      <c r="B436" t="s">
        <v>470</v>
      </c>
      <c r="C436" t="s">
        <v>29</v>
      </c>
      <c r="D436" t="s">
        <v>26</v>
      </c>
      <c r="E436">
        <v>3</v>
      </c>
      <c r="F436">
        <v>365</v>
      </c>
      <c r="G436">
        <v>1095</v>
      </c>
      <c r="H436" t="s">
        <v>40</v>
      </c>
      <c r="I436" t="s">
        <v>32</v>
      </c>
      <c r="J436" t="s">
        <v>20</v>
      </c>
      <c r="K436" s="6"/>
      <c r="L436" s="6"/>
      <c r="M436" s="13"/>
    </row>
    <row r="437" spans="1:13" x14ac:dyDescent="0.35">
      <c r="A437">
        <v>1436</v>
      </c>
      <c r="B437" t="s">
        <v>471</v>
      </c>
      <c r="C437" t="s">
        <v>31</v>
      </c>
      <c r="D437" t="s">
        <v>12</v>
      </c>
      <c r="E437">
        <v>2</v>
      </c>
      <c r="F437">
        <v>20872</v>
      </c>
      <c r="G437">
        <v>41744</v>
      </c>
      <c r="H437" t="s">
        <v>40</v>
      </c>
      <c r="I437" t="s">
        <v>14</v>
      </c>
      <c r="J437" t="s">
        <v>15</v>
      </c>
      <c r="K437" s="6"/>
      <c r="L437" s="6"/>
      <c r="M437" s="13"/>
    </row>
    <row r="438" spans="1:13" x14ac:dyDescent="0.35">
      <c r="A438">
        <v>1437</v>
      </c>
      <c r="B438" t="s">
        <v>472</v>
      </c>
      <c r="C438" t="s">
        <v>35</v>
      </c>
      <c r="D438" t="s">
        <v>36</v>
      </c>
      <c r="E438">
        <v>5</v>
      </c>
      <c r="F438">
        <v>987</v>
      </c>
      <c r="G438">
        <v>4935</v>
      </c>
      <c r="H438" t="s">
        <v>27</v>
      </c>
      <c r="I438" t="s">
        <v>14</v>
      </c>
      <c r="J438" t="s">
        <v>20</v>
      </c>
      <c r="K438" s="6"/>
      <c r="L438" s="6"/>
      <c r="M438" s="13"/>
    </row>
    <row r="439" spans="1:13" x14ac:dyDescent="0.35">
      <c r="A439">
        <v>1438</v>
      </c>
      <c r="B439" t="s">
        <v>473</v>
      </c>
      <c r="C439" t="s">
        <v>39</v>
      </c>
      <c r="D439" t="s">
        <v>23</v>
      </c>
      <c r="E439">
        <v>2</v>
      </c>
      <c r="F439">
        <v>1861</v>
      </c>
      <c r="G439">
        <v>3722</v>
      </c>
      <c r="H439" t="s">
        <v>51</v>
      </c>
      <c r="I439" t="s">
        <v>14</v>
      </c>
      <c r="J439" t="s">
        <v>33</v>
      </c>
      <c r="K439" s="6"/>
      <c r="L439" s="6"/>
      <c r="M439" s="13"/>
    </row>
    <row r="440" spans="1:13" x14ac:dyDescent="0.35">
      <c r="A440">
        <v>1439</v>
      </c>
      <c r="B440" t="s">
        <v>474</v>
      </c>
      <c r="C440" t="s">
        <v>42</v>
      </c>
      <c r="D440" t="s">
        <v>12</v>
      </c>
      <c r="E440">
        <v>2</v>
      </c>
      <c r="F440">
        <v>7608</v>
      </c>
      <c r="G440">
        <v>15216</v>
      </c>
      <c r="H440" t="s">
        <v>37</v>
      </c>
      <c r="I440" t="s">
        <v>19</v>
      </c>
      <c r="J440" t="s">
        <v>33</v>
      </c>
      <c r="K440" s="6"/>
      <c r="L440" s="6"/>
      <c r="M440" s="13"/>
    </row>
    <row r="441" spans="1:13" x14ac:dyDescent="0.35">
      <c r="A441">
        <v>1440</v>
      </c>
      <c r="B441" t="s">
        <v>475</v>
      </c>
      <c r="C441" t="s">
        <v>44</v>
      </c>
      <c r="D441" t="s">
        <v>26</v>
      </c>
      <c r="E441">
        <v>3</v>
      </c>
      <c r="F441">
        <v>672</v>
      </c>
      <c r="G441">
        <v>2016</v>
      </c>
      <c r="H441" t="s">
        <v>40</v>
      </c>
      <c r="I441" t="s">
        <v>19</v>
      </c>
      <c r="J441" t="s">
        <v>33</v>
      </c>
      <c r="K441" s="6"/>
      <c r="L441" s="6"/>
      <c r="M441" s="13"/>
    </row>
    <row r="442" spans="1:13" x14ac:dyDescent="0.35">
      <c r="A442">
        <v>1441</v>
      </c>
      <c r="B442" t="s">
        <v>476</v>
      </c>
      <c r="C442" t="s">
        <v>11</v>
      </c>
      <c r="D442" t="s">
        <v>12</v>
      </c>
      <c r="E442">
        <v>2</v>
      </c>
      <c r="F442">
        <v>53902</v>
      </c>
      <c r="G442">
        <v>107804</v>
      </c>
      <c r="H442" t="s">
        <v>40</v>
      </c>
      <c r="I442" t="s">
        <v>32</v>
      </c>
      <c r="J442" t="s">
        <v>33</v>
      </c>
      <c r="K442" s="6"/>
      <c r="L442" s="6"/>
      <c r="M442" s="13"/>
    </row>
    <row r="443" spans="1:13" x14ac:dyDescent="0.35">
      <c r="A443">
        <v>1442</v>
      </c>
      <c r="B443" t="s">
        <v>477</v>
      </c>
      <c r="C443" t="s">
        <v>17</v>
      </c>
      <c r="D443" t="s">
        <v>12</v>
      </c>
      <c r="E443">
        <v>3</v>
      </c>
      <c r="F443">
        <v>3381</v>
      </c>
      <c r="G443">
        <v>10143</v>
      </c>
      <c r="H443" t="s">
        <v>18</v>
      </c>
      <c r="I443" t="s">
        <v>19</v>
      </c>
      <c r="J443" t="s">
        <v>33</v>
      </c>
      <c r="K443" s="6"/>
      <c r="L443" s="6"/>
      <c r="M443" s="13"/>
    </row>
    <row r="444" spans="1:13" x14ac:dyDescent="0.35">
      <c r="A444">
        <v>1443</v>
      </c>
      <c r="B444" t="s">
        <v>478</v>
      </c>
      <c r="C444" t="s">
        <v>22</v>
      </c>
      <c r="D444" t="s">
        <v>23</v>
      </c>
      <c r="E444">
        <v>2</v>
      </c>
      <c r="F444">
        <v>3696</v>
      </c>
      <c r="G444">
        <v>7392</v>
      </c>
      <c r="H444" t="s">
        <v>18</v>
      </c>
      <c r="I444" t="s">
        <v>19</v>
      </c>
      <c r="J444" t="s">
        <v>33</v>
      </c>
      <c r="K444" s="6"/>
      <c r="L444" s="6"/>
      <c r="M444" s="13"/>
    </row>
    <row r="445" spans="1:13" x14ac:dyDescent="0.35">
      <c r="A445">
        <v>1444</v>
      </c>
      <c r="B445" t="s">
        <v>479</v>
      </c>
      <c r="C445" t="s">
        <v>25</v>
      </c>
      <c r="D445" t="s">
        <v>26</v>
      </c>
      <c r="E445">
        <v>4</v>
      </c>
      <c r="F445">
        <v>19559</v>
      </c>
      <c r="G445">
        <v>78236</v>
      </c>
      <c r="H445" t="s">
        <v>37</v>
      </c>
      <c r="I445" t="s">
        <v>19</v>
      </c>
      <c r="J445" t="s">
        <v>15</v>
      </c>
      <c r="K445" s="6"/>
      <c r="L445" s="6"/>
      <c r="M445" s="13"/>
    </row>
    <row r="446" spans="1:13" x14ac:dyDescent="0.35">
      <c r="A446">
        <v>1445</v>
      </c>
      <c r="B446" t="s">
        <v>480</v>
      </c>
      <c r="C446" t="s">
        <v>29</v>
      </c>
      <c r="D446" t="s">
        <v>26</v>
      </c>
      <c r="E446">
        <v>5</v>
      </c>
      <c r="F446">
        <v>503</v>
      </c>
      <c r="G446">
        <v>2515</v>
      </c>
      <c r="H446" t="s">
        <v>51</v>
      </c>
      <c r="I446" t="s">
        <v>19</v>
      </c>
      <c r="J446" t="s">
        <v>15</v>
      </c>
      <c r="K446" s="6"/>
      <c r="L446" s="6"/>
      <c r="M446" s="13"/>
    </row>
    <row r="447" spans="1:13" x14ac:dyDescent="0.35">
      <c r="A447">
        <v>1446</v>
      </c>
      <c r="B447" t="s">
        <v>481</v>
      </c>
      <c r="C447" t="s">
        <v>31</v>
      </c>
      <c r="D447" t="s">
        <v>12</v>
      </c>
      <c r="E447">
        <v>1</v>
      </c>
      <c r="F447">
        <v>38392</v>
      </c>
      <c r="G447">
        <v>38392</v>
      </c>
      <c r="H447" t="s">
        <v>27</v>
      </c>
      <c r="I447" t="s">
        <v>19</v>
      </c>
      <c r="J447" t="s">
        <v>33</v>
      </c>
      <c r="K447" s="6"/>
      <c r="L447" s="6"/>
      <c r="M447" s="13"/>
    </row>
    <row r="448" spans="1:13" x14ac:dyDescent="0.35">
      <c r="A448">
        <v>1447</v>
      </c>
      <c r="B448" t="s">
        <v>482</v>
      </c>
      <c r="C448" t="s">
        <v>35</v>
      </c>
      <c r="D448" t="s">
        <v>36</v>
      </c>
      <c r="E448">
        <v>4</v>
      </c>
      <c r="F448">
        <v>113</v>
      </c>
      <c r="G448">
        <v>452</v>
      </c>
      <c r="H448" t="s">
        <v>18</v>
      </c>
      <c r="I448" t="s">
        <v>19</v>
      </c>
      <c r="J448" t="s">
        <v>15</v>
      </c>
      <c r="K448" s="6"/>
      <c r="L448" s="6"/>
      <c r="M448" s="13"/>
    </row>
    <row r="449" spans="1:13" x14ac:dyDescent="0.35">
      <c r="A449">
        <v>1448</v>
      </c>
      <c r="B449" t="s">
        <v>483</v>
      </c>
      <c r="C449" t="s">
        <v>39</v>
      </c>
      <c r="D449" t="s">
        <v>23</v>
      </c>
      <c r="E449">
        <v>5</v>
      </c>
      <c r="F449">
        <v>684</v>
      </c>
      <c r="G449">
        <v>3420</v>
      </c>
      <c r="H449" t="s">
        <v>37</v>
      </c>
      <c r="I449" t="s">
        <v>32</v>
      </c>
      <c r="J449" t="s">
        <v>20</v>
      </c>
      <c r="K449" s="6"/>
      <c r="L449" s="6"/>
      <c r="M449" s="13"/>
    </row>
    <row r="450" spans="1:13" x14ac:dyDescent="0.35">
      <c r="A450">
        <v>1449</v>
      </c>
      <c r="B450" t="s">
        <v>484</v>
      </c>
      <c r="C450" t="s">
        <v>42</v>
      </c>
      <c r="D450" t="s">
        <v>12</v>
      </c>
      <c r="E450">
        <v>1</v>
      </c>
      <c r="F450">
        <v>3574</v>
      </c>
      <c r="G450">
        <v>3574</v>
      </c>
      <c r="H450" t="s">
        <v>13</v>
      </c>
      <c r="I450" t="s">
        <v>19</v>
      </c>
      <c r="J450" t="s">
        <v>15</v>
      </c>
      <c r="K450" s="6"/>
      <c r="L450" s="6"/>
      <c r="M450" s="13"/>
    </row>
    <row r="451" spans="1:13" x14ac:dyDescent="0.35">
      <c r="A451">
        <v>1450</v>
      </c>
      <c r="B451" t="s">
        <v>485</v>
      </c>
      <c r="C451" t="s">
        <v>44</v>
      </c>
      <c r="D451" t="s">
        <v>26</v>
      </c>
      <c r="E451">
        <v>5</v>
      </c>
      <c r="F451">
        <v>779</v>
      </c>
      <c r="G451">
        <v>3895</v>
      </c>
      <c r="H451" t="s">
        <v>37</v>
      </c>
      <c r="I451" t="s">
        <v>14</v>
      </c>
      <c r="J451" t="s">
        <v>33</v>
      </c>
      <c r="K451" s="6"/>
      <c r="L451" s="6"/>
      <c r="M451" s="13"/>
    </row>
    <row r="452" spans="1:13" x14ac:dyDescent="0.35">
      <c r="A452">
        <v>1451</v>
      </c>
      <c r="B452" t="s">
        <v>486</v>
      </c>
      <c r="C452" t="s">
        <v>11</v>
      </c>
      <c r="D452" t="s">
        <v>12</v>
      </c>
      <c r="E452">
        <v>1</v>
      </c>
      <c r="F452">
        <v>40358</v>
      </c>
      <c r="G452">
        <v>40358</v>
      </c>
      <c r="H452" t="s">
        <v>37</v>
      </c>
      <c r="I452" t="s">
        <v>14</v>
      </c>
      <c r="J452" t="s">
        <v>20</v>
      </c>
      <c r="K452" s="6"/>
      <c r="L452" s="6"/>
      <c r="M452" s="13"/>
    </row>
    <row r="453" spans="1:13" x14ac:dyDescent="0.35">
      <c r="A453">
        <v>1452</v>
      </c>
      <c r="B453" t="s">
        <v>487</v>
      </c>
      <c r="C453" t="s">
        <v>17</v>
      </c>
      <c r="D453" t="s">
        <v>12</v>
      </c>
      <c r="E453">
        <v>3</v>
      </c>
      <c r="F453">
        <v>3269</v>
      </c>
      <c r="G453">
        <v>9807</v>
      </c>
      <c r="H453" t="s">
        <v>13</v>
      </c>
      <c r="I453" t="s">
        <v>32</v>
      </c>
      <c r="J453" t="s">
        <v>33</v>
      </c>
      <c r="K453" s="6"/>
      <c r="L453" s="6"/>
      <c r="M453" s="13"/>
    </row>
    <row r="454" spans="1:13" x14ac:dyDescent="0.35">
      <c r="A454">
        <v>1453</v>
      </c>
      <c r="B454" t="s">
        <v>488</v>
      </c>
      <c r="C454" t="s">
        <v>22</v>
      </c>
      <c r="D454" t="s">
        <v>23</v>
      </c>
      <c r="E454">
        <v>1</v>
      </c>
      <c r="F454">
        <v>2592</v>
      </c>
      <c r="G454">
        <v>2592</v>
      </c>
      <c r="H454" t="s">
        <v>51</v>
      </c>
      <c r="I454" t="s">
        <v>19</v>
      </c>
      <c r="J454" t="s">
        <v>33</v>
      </c>
      <c r="K454" s="6"/>
      <c r="L454" s="6"/>
      <c r="M454" s="13"/>
    </row>
    <row r="455" spans="1:13" x14ac:dyDescent="0.35">
      <c r="A455">
        <v>1454</v>
      </c>
      <c r="B455" t="s">
        <v>489</v>
      </c>
      <c r="C455" t="s">
        <v>25</v>
      </c>
      <c r="D455" t="s">
        <v>26</v>
      </c>
      <c r="E455">
        <v>3</v>
      </c>
      <c r="F455">
        <v>18529</v>
      </c>
      <c r="G455">
        <v>55587</v>
      </c>
      <c r="H455" t="s">
        <v>27</v>
      </c>
      <c r="I455" t="s">
        <v>32</v>
      </c>
      <c r="J455" t="s">
        <v>20</v>
      </c>
      <c r="K455" s="6"/>
      <c r="L455" s="6"/>
      <c r="M455" s="13"/>
    </row>
    <row r="456" spans="1:13" x14ac:dyDescent="0.35">
      <c r="A456">
        <v>1455</v>
      </c>
      <c r="B456" t="s">
        <v>490</v>
      </c>
      <c r="C456" t="s">
        <v>29</v>
      </c>
      <c r="D456" t="s">
        <v>26</v>
      </c>
      <c r="E456">
        <v>5</v>
      </c>
      <c r="F456">
        <v>376</v>
      </c>
      <c r="G456">
        <v>1880</v>
      </c>
      <c r="H456" t="s">
        <v>27</v>
      </c>
      <c r="I456" t="s">
        <v>19</v>
      </c>
      <c r="J456" t="s">
        <v>15</v>
      </c>
      <c r="K456" s="6"/>
      <c r="L456" s="6"/>
      <c r="M456" s="13"/>
    </row>
    <row r="457" spans="1:13" x14ac:dyDescent="0.35">
      <c r="A457">
        <v>1456</v>
      </c>
      <c r="B457" t="s">
        <v>491</v>
      </c>
      <c r="C457" t="s">
        <v>31</v>
      </c>
      <c r="D457" t="s">
        <v>12</v>
      </c>
      <c r="E457">
        <v>2</v>
      </c>
      <c r="F457">
        <v>23687</v>
      </c>
      <c r="G457">
        <v>47374</v>
      </c>
      <c r="H457" t="s">
        <v>13</v>
      </c>
      <c r="I457" t="s">
        <v>14</v>
      </c>
      <c r="J457" t="s">
        <v>20</v>
      </c>
      <c r="K457" s="6"/>
      <c r="L457" s="6"/>
      <c r="M457" s="13"/>
    </row>
    <row r="458" spans="1:13" x14ac:dyDescent="0.35">
      <c r="A458">
        <v>1457</v>
      </c>
      <c r="B458" t="s">
        <v>492</v>
      </c>
      <c r="C458" t="s">
        <v>35</v>
      </c>
      <c r="D458" t="s">
        <v>36</v>
      </c>
      <c r="E458">
        <v>2</v>
      </c>
      <c r="F458">
        <v>225</v>
      </c>
      <c r="G458">
        <v>450</v>
      </c>
      <c r="H458" t="s">
        <v>18</v>
      </c>
      <c r="I458" t="s">
        <v>32</v>
      </c>
      <c r="J458" t="s">
        <v>20</v>
      </c>
      <c r="K458" s="6"/>
      <c r="L458" s="6"/>
      <c r="M458" s="13"/>
    </row>
    <row r="459" spans="1:13" x14ac:dyDescent="0.35">
      <c r="A459">
        <v>1458</v>
      </c>
      <c r="B459" t="s">
        <v>493</v>
      </c>
      <c r="C459" t="s">
        <v>39</v>
      </c>
      <c r="D459" t="s">
        <v>23</v>
      </c>
      <c r="E459">
        <v>5</v>
      </c>
      <c r="F459">
        <v>882</v>
      </c>
      <c r="G459">
        <v>4410</v>
      </c>
      <c r="H459" t="s">
        <v>40</v>
      </c>
      <c r="I459" t="s">
        <v>32</v>
      </c>
      <c r="J459" t="s">
        <v>33</v>
      </c>
      <c r="K459" s="6"/>
      <c r="L459" s="6"/>
      <c r="M459" s="13"/>
    </row>
    <row r="460" spans="1:13" x14ac:dyDescent="0.35">
      <c r="A460">
        <v>1459</v>
      </c>
      <c r="B460" t="s">
        <v>494</v>
      </c>
      <c r="C460" t="s">
        <v>42</v>
      </c>
      <c r="D460" t="s">
        <v>12</v>
      </c>
      <c r="E460">
        <v>2</v>
      </c>
      <c r="F460">
        <v>7214</v>
      </c>
      <c r="G460">
        <v>14428</v>
      </c>
      <c r="H460" t="s">
        <v>18</v>
      </c>
      <c r="I460" t="s">
        <v>14</v>
      </c>
      <c r="J460" t="s">
        <v>20</v>
      </c>
      <c r="K460" s="6"/>
      <c r="L460" s="6"/>
      <c r="M460" s="13"/>
    </row>
    <row r="461" spans="1:13" x14ac:dyDescent="0.35">
      <c r="A461">
        <v>1460</v>
      </c>
      <c r="B461" t="s">
        <v>495</v>
      </c>
      <c r="C461" t="s">
        <v>44</v>
      </c>
      <c r="D461" t="s">
        <v>26</v>
      </c>
      <c r="E461">
        <v>5</v>
      </c>
      <c r="F461">
        <v>241</v>
      </c>
      <c r="G461">
        <v>1205</v>
      </c>
      <c r="H461" t="s">
        <v>27</v>
      </c>
      <c r="I461" t="s">
        <v>32</v>
      </c>
      <c r="J461" t="s">
        <v>33</v>
      </c>
      <c r="K461" s="6"/>
      <c r="L461" s="6"/>
      <c r="M461" s="13"/>
    </row>
    <row r="462" spans="1:13" x14ac:dyDescent="0.35">
      <c r="A462">
        <v>1461</v>
      </c>
      <c r="B462" t="s">
        <v>496</v>
      </c>
      <c r="C462" t="s">
        <v>11</v>
      </c>
      <c r="D462" t="s">
        <v>12</v>
      </c>
      <c r="E462">
        <v>2</v>
      </c>
      <c r="F462">
        <v>61490</v>
      </c>
      <c r="G462">
        <v>122980</v>
      </c>
      <c r="H462" t="s">
        <v>51</v>
      </c>
      <c r="I462" t="s">
        <v>14</v>
      </c>
      <c r="J462" t="s">
        <v>15</v>
      </c>
      <c r="K462" s="6"/>
      <c r="L462" s="6"/>
      <c r="M462" s="13"/>
    </row>
    <row r="463" spans="1:13" x14ac:dyDescent="0.35">
      <c r="A463">
        <v>1462</v>
      </c>
      <c r="B463" t="s">
        <v>497</v>
      </c>
      <c r="C463" t="s">
        <v>17</v>
      </c>
      <c r="D463" t="s">
        <v>12</v>
      </c>
      <c r="E463">
        <v>3</v>
      </c>
      <c r="F463">
        <v>4120</v>
      </c>
      <c r="G463">
        <v>12360</v>
      </c>
      <c r="H463" t="s">
        <v>13</v>
      </c>
      <c r="I463" t="s">
        <v>32</v>
      </c>
      <c r="J463" t="s">
        <v>33</v>
      </c>
      <c r="K463" s="6"/>
      <c r="L463" s="6"/>
      <c r="M463" s="13"/>
    </row>
    <row r="464" spans="1:13" x14ac:dyDescent="0.35">
      <c r="A464">
        <v>1463</v>
      </c>
      <c r="B464" t="s">
        <v>498</v>
      </c>
      <c r="C464" t="s">
        <v>22</v>
      </c>
      <c r="D464" t="s">
        <v>23</v>
      </c>
      <c r="E464">
        <v>1</v>
      </c>
      <c r="F464">
        <v>1206</v>
      </c>
      <c r="G464">
        <v>1206</v>
      </c>
      <c r="H464" t="s">
        <v>18</v>
      </c>
      <c r="I464" t="s">
        <v>19</v>
      </c>
      <c r="J464" t="s">
        <v>33</v>
      </c>
      <c r="K464" s="6"/>
      <c r="L464" s="6"/>
      <c r="M464" s="13"/>
    </row>
    <row r="465" spans="1:13" x14ac:dyDescent="0.35">
      <c r="A465">
        <v>1464</v>
      </c>
      <c r="B465" t="s">
        <v>499</v>
      </c>
      <c r="C465" t="s">
        <v>25</v>
      </c>
      <c r="D465" t="s">
        <v>26</v>
      </c>
      <c r="E465">
        <v>4</v>
      </c>
      <c r="F465">
        <v>10934</v>
      </c>
      <c r="G465">
        <v>43736</v>
      </c>
      <c r="H465" t="s">
        <v>51</v>
      </c>
      <c r="I465" t="s">
        <v>32</v>
      </c>
      <c r="J465" t="s">
        <v>20</v>
      </c>
      <c r="K465" s="6"/>
      <c r="L465" s="6"/>
      <c r="M465" s="13"/>
    </row>
    <row r="466" spans="1:13" x14ac:dyDescent="0.35">
      <c r="A466">
        <v>1465</v>
      </c>
      <c r="B466" t="s">
        <v>500</v>
      </c>
      <c r="C466" t="s">
        <v>29</v>
      </c>
      <c r="D466" t="s">
        <v>26</v>
      </c>
      <c r="E466">
        <v>1</v>
      </c>
      <c r="F466">
        <v>326</v>
      </c>
      <c r="G466">
        <v>326</v>
      </c>
      <c r="H466" t="s">
        <v>27</v>
      </c>
      <c r="I466" t="s">
        <v>14</v>
      </c>
      <c r="J466" t="s">
        <v>15</v>
      </c>
      <c r="K466" s="6"/>
      <c r="L466" s="6"/>
      <c r="M466" s="13"/>
    </row>
    <row r="467" spans="1:13" x14ac:dyDescent="0.35">
      <c r="A467">
        <v>1466</v>
      </c>
      <c r="B467" t="s">
        <v>501</v>
      </c>
      <c r="C467" t="s">
        <v>31</v>
      </c>
      <c r="D467" t="s">
        <v>12</v>
      </c>
      <c r="E467">
        <v>2</v>
      </c>
      <c r="F467">
        <v>37146</v>
      </c>
      <c r="G467">
        <v>74292</v>
      </c>
      <c r="H467" t="s">
        <v>13</v>
      </c>
      <c r="I467" t="s">
        <v>19</v>
      </c>
      <c r="J467" t="s">
        <v>20</v>
      </c>
      <c r="K467" s="6"/>
      <c r="L467" s="6"/>
      <c r="M467" s="13"/>
    </row>
    <row r="468" spans="1:13" x14ac:dyDescent="0.35">
      <c r="A468">
        <v>1467</v>
      </c>
      <c r="B468" t="s">
        <v>502</v>
      </c>
      <c r="C468" t="s">
        <v>35</v>
      </c>
      <c r="D468" t="s">
        <v>36</v>
      </c>
      <c r="E468">
        <v>1</v>
      </c>
      <c r="F468">
        <v>235</v>
      </c>
      <c r="G468">
        <v>235</v>
      </c>
      <c r="H468" t="s">
        <v>51</v>
      </c>
      <c r="I468" t="s">
        <v>32</v>
      </c>
      <c r="J468" t="s">
        <v>15</v>
      </c>
      <c r="K468" s="6"/>
      <c r="L468" s="6"/>
      <c r="M468" s="13"/>
    </row>
    <row r="469" spans="1:13" x14ac:dyDescent="0.35">
      <c r="A469">
        <v>1468</v>
      </c>
      <c r="B469" t="s">
        <v>503</v>
      </c>
      <c r="C469" t="s">
        <v>39</v>
      </c>
      <c r="D469" t="s">
        <v>23</v>
      </c>
      <c r="E469">
        <v>5</v>
      </c>
      <c r="F469">
        <v>1118</v>
      </c>
      <c r="G469">
        <v>5590</v>
      </c>
      <c r="H469" t="s">
        <v>27</v>
      </c>
      <c r="I469" t="s">
        <v>32</v>
      </c>
      <c r="J469" t="s">
        <v>20</v>
      </c>
      <c r="K469" s="6"/>
      <c r="L469" s="6"/>
      <c r="M469" s="13"/>
    </row>
    <row r="470" spans="1:13" x14ac:dyDescent="0.35">
      <c r="A470">
        <v>1469</v>
      </c>
      <c r="B470" t="s">
        <v>504</v>
      </c>
      <c r="C470" t="s">
        <v>42</v>
      </c>
      <c r="D470" t="s">
        <v>12</v>
      </c>
      <c r="E470">
        <v>2</v>
      </c>
      <c r="F470">
        <v>7110</v>
      </c>
      <c r="G470">
        <v>14220</v>
      </c>
      <c r="H470" t="s">
        <v>51</v>
      </c>
      <c r="I470" t="s">
        <v>19</v>
      </c>
      <c r="J470" t="s">
        <v>15</v>
      </c>
      <c r="K470" s="6"/>
      <c r="L470" s="6"/>
      <c r="M470" s="13"/>
    </row>
    <row r="471" spans="1:13" x14ac:dyDescent="0.35">
      <c r="A471">
        <v>1470</v>
      </c>
      <c r="B471" t="s">
        <v>505</v>
      </c>
      <c r="C471" t="s">
        <v>44</v>
      </c>
      <c r="D471" t="s">
        <v>26</v>
      </c>
      <c r="E471">
        <v>1</v>
      </c>
      <c r="F471">
        <v>333</v>
      </c>
      <c r="G471">
        <v>333</v>
      </c>
      <c r="H471" t="s">
        <v>27</v>
      </c>
      <c r="I471" t="s">
        <v>32</v>
      </c>
      <c r="J471" t="s">
        <v>20</v>
      </c>
      <c r="K471" s="6"/>
      <c r="L471" s="6"/>
      <c r="M471" s="13"/>
    </row>
    <row r="472" spans="1:13" x14ac:dyDescent="0.35">
      <c r="A472">
        <v>1471</v>
      </c>
      <c r="B472" t="s">
        <v>506</v>
      </c>
      <c r="C472" t="s">
        <v>11</v>
      </c>
      <c r="D472" t="s">
        <v>12</v>
      </c>
      <c r="E472">
        <v>1</v>
      </c>
      <c r="F472">
        <v>62505</v>
      </c>
      <c r="G472">
        <v>62505</v>
      </c>
      <c r="H472" t="s">
        <v>27</v>
      </c>
      <c r="I472" t="s">
        <v>14</v>
      </c>
      <c r="J472" t="s">
        <v>20</v>
      </c>
      <c r="K472" s="6"/>
      <c r="L472" s="6"/>
      <c r="M472" s="13"/>
    </row>
    <row r="473" spans="1:13" x14ac:dyDescent="0.35">
      <c r="A473">
        <v>1472</v>
      </c>
      <c r="B473" t="s">
        <v>507</v>
      </c>
      <c r="C473" t="s">
        <v>17</v>
      </c>
      <c r="D473" t="s">
        <v>12</v>
      </c>
      <c r="E473">
        <v>1</v>
      </c>
      <c r="F473">
        <v>3269</v>
      </c>
      <c r="G473">
        <v>3269</v>
      </c>
      <c r="H473" t="s">
        <v>40</v>
      </c>
      <c r="I473" t="s">
        <v>32</v>
      </c>
      <c r="J473" t="s">
        <v>15</v>
      </c>
      <c r="K473" s="6"/>
      <c r="L473" s="6"/>
      <c r="M473" s="13"/>
    </row>
    <row r="474" spans="1:13" x14ac:dyDescent="0.35">
      <c r="A474">
        <v>1473</v>
      </c>
      <c r="B474" t="s">
        <v>508</v>
      </c>
      <c r="C474" t="s">
        <v>22</v>
      </c>
      <c r="D474" t="s">
        <v>23</v>
      </c>
      <c r="E474">
        <v>1</v>
      </c>
      <c r="F474">
        <v>3182</v>
      </c>
      <c r="G474">
        <v>3182</v>
      </c>
      <c r="H474" t="s">
        <v>40</v>
      </c>
      <c r="I474" t="s">
        <v>14</v>
      </c>
      <c r="J474" t="s">
        <v>33</v>
      </c>
      <c r="K474" s="6"/>
      <c r="L474" s="6"/>
      <c r="M474" s="13"/>
    </row>
    <row r="475" spans="1:13" x14ac:dyDescent="0.35">
      <c r="A475">
        <v>1474</v>
      </c>
      <c r="B475" t="s">
        <v>509</v>
      </c>
      <c r="C475" t="s">
        <v>25</v>
      </c>
      <c r="D475" t="s">
        <v>26</v>
      </c>
      <c r="E475">
        <v>1</v>
      </c>
      <c r="F475">
        <v>4471</v>
      </c>
      <c r="G475">
        <v>4471</v>
      </c>
      <c r="H475" t="s">
        <v>18</v>
      </c>
      <c r="I475" t="s">
        <v>19</v>
      </c>
      <c r="J475" t="s">
        <v>33</v>
      </c>
      <c r="K475" s="6"/>
      <c r="L475" s="6"/>
      <c r="M475" s="13"/>
    </row>
    <row r="476" spans="1:13" x14ac:dyDescent="0.35">
      <c r="A476">
        <v>1475</v>
      </c>
      <c r="B476" t="s">
        <v>510</v>
      </c>
      <c r="C476" t="s">
        <v>29</v>
      </c>
      <c r="D476" t="s">
        <v>26</v>
      </c>
      <c r="E476">
        <v>2</v>
      </c>
      <c r="F476">
        <v>732</v>
      </c>
      <c r="G476">
        <v>1464</v>
      </c>
      <c r="H476" t="s">
        <v>37</v>
      </c>
      <c r="I476" t="s">
        <v>14</v>
      </c>
      <c r="J476" t="s">
        <v>15</v>
      </c>
      <c r="K476" s="6"/>
      <c r="L476" s="6"/>
      <c r="M476" s="13"/>
    </row>
    <row r="477" spans="1:13" x14ac:dyDescent="0.35">
      <c r="A477">
        <v>1476</v>
      </c>
      <c r="B477" t="s">
        <v>511</v>
      </c>
      <c r="C477" t="s">
        <v>31</v>
      </c>
      <c r="D477" t="s">
        <v>12</v>
      </c>
      <c r="E477">
        <v>2</v>
      </c>
      <c r="F477">
        <v>14850</v>
      </c>
      <c r="G477">
        <v>29700</v>
      </c>
      <c r="H477" t="s">
        <v>27</v>
      </c>
      <c r="I477" t="s">
        <v>19</v>
      </c>
      <c r="J477" t="s">
        <v>33</v>
      </c>
      <c r="K477" s="6"/>
      <c r="L477" s="6"/>
      <c r="M477" s="13"/>
    </row>
    <row r="478" spans="1:13" x14ac:dyDescent="0.35">
      <c r="A478">
        <v>1477</v>
      </c>
      <c r="B478" t="s">
        <v>512</v>
      </c>
      <c r="C478" t="s">
        <v>35</v>
      </c>
      <c r="D478" t="s">
        <v>36</v>
      </c>
      <c r="E478">
        <v>2</v>
      </c>
      <c r="F478">
        <v>179</v>
      </c>
      <c r="G478">
        <v>358</v>
      </c>
      <c r="H478" t="s">
        <v>40</v>
      </c>
      <c r="I478" t="s">
        <v>14</v>
      </c>
      <c r="J478" t="s">
        <v>20</v>
      </c>
      <c r="K478" s="6"/>
      <c r="L478" s="6"/>
      <c r="M478" s="13"/>
    </row>
    <row r="479" spans="1:13" x14ac:dyDescent="0.35">
      <c r="A479">
        <v>1478</v>
      </c>
      <c r="B479" t="s">
        <v>513</v>
      </c>
      <c r="C479" t="s">
        <v>39</v>
      </c>
      <c r="D479" t="s">
        <v>23</v>
      </c>
      <c r="E479">
        <v>5</v>
      </c>
      <c r="F479">
        <v>1213</v>
      </c>
      <c r="G479">
        <v>6065</v>
      </c>
      <c r="H479" t="s">
        <v>51</v>
      </c>
      <c r="I479" t="s">
        <v>14</v>
      </c>
      <c r="J479" t="s">
        <v>33</v>
      </c>
      <c r="K479" s="6"/>
      <c r="L479" s="6"/>
      <c r="M479" s="13"/>
    </row>
    <row r="480" spans="1:13" x14ac:dyDescent="0.35">
      <c r="A480">
        <v>1479</v>
      </c>
      <c r="B480" t="s">
        <v>514</v>
      </c>
      <c r="C480" t="s">
        <v>42</v>
      </c>
      <c r="D480" t="s">
        <v>12</v>
      </c>
      <c r="E480">
        <v>1</v>
      </c>
      <c r="F480">
        <v>5171</v>
      </c>
      <c r="G480">
        <v>5171</v>
      </c>
      <c r="H480" t="s">
        <v>51</v>
      </c>
      <c r="I480" t="s">
        <v>19</v>
      </c>
      <c r="J480" t="s">
        <v>20</v>
      </c>
      <c r="K480" s="6"/>
      <c r="L480" s="6"/>
      <c r="M480" s="13"/>
    </row>
    <row r="481" spans="1:13" x14ac:dyDescent="0.35">
      <c r="A481">
        <v>1480</v>
      </c>
      <c r="B481" t="s">
        <v>515</v>
      </c>
      <c r="C481" t="s">
        <v>44</v>
      </c>
      <c r="D481" t="s">
        <v>26</v>
      </c>
      <c r="E481">
        <v>1</v>
      </c>
      <c r="F481">
        <v>731</v>
      </c>
      <c r="G481">
        <v>731</v>
      </c>
      <c r="H481" t="s">
        <v>13</v>
      </c>
      <c r="I481" t="s">
        <v>32</v>
      </c>
      <c r="J481" t="s">
        <v>15</v>
      </c>
      <c r="K481" s="6"/>
      <c r="L481" s="6"/>
      <c r="M481" s="13"/>
    </row>
    <row r="482" spans="1:13" x14ac:dyDescent="0.35">
      <c r="A482">
        <v>1481</v>
      </c>
      <c r="B482" t="s">
        <v>516</v>
      </c>
      <c r="C482" t="s">
        <v>11</v>
      </c>
      <c r="D482" t="s">
        <v>12</v>
      </c>
      <c r="E482">
        <v>1</v>
      </c>
      <c r="F482">
        <v>67499</v>
      </c>
      <c r="G482">
        <v>67499</v>
      </c>
      <c r="H482" t="s">
        <v>13</v>
      </c>
      <c r="I482" t="s">
        <v>14</v>
      </c>
      <c r="J482" t="s">
        <v>20</v>
      </c>
      <c r="K482" s="6"/>
      <c r="L482" s="6"/>
      <c r="M482" s="13"/>
    </row>
    <row r="483" spans="1:13" x14ac:dyDescent="0.35">
      <c r="A483">
        <v>1482</v>
      </c>
      <c r="B483" t="s">
        <v>517</v>
      </c>
      <c r="C483" t="s">
        <v>17</v>
      </c>
      <c r="D483" t="s">
        <v>12</v>
      </c>
      <c r="E483">
        <v>1</v>
      </c>
      <c r="F483">
        <v>4107</v>
      </c>
      <c r="G483">
        <v>4107</v>
      </c>
      <c r="H483" t="s">
        <v>18</v>
      </c>
      <c r="I483" t="s">
        <v>19</v>
      </c>
      <c r="J483" t="s">
        <v>15</v>
      </c>
      <c r="K483" s="6"/>
      <c r="L483" s="6"/>
      <c r="M483" s="13"/>
    </row>
    <row r="484" spans="1:13" x14ac:dyDescent="0.35">
      <c r="A484">
        <v>1483</v>
      </c>
      <c r="B484" t="s">
        <v>518</v>
      </c>
      <c r="C484" t="s">
        <v>22</v>
      </c>
      <c r="D484" t="s">
        <v>23</v>
      </c>
      <c r="E484">
        <v>2</v>
      </c>
      <c r="F484">
        <v>2690</v>
      </c>
      <c r="G484">
        <v>5380</v>
      </c>
      <c r="H484" t="s">
        <v>37</v>
      </c>
      <c r="I484" t="s">
        <v>32</v>
      </c>
      <c r="J484" t="s">
        <v>15</v>
      </c>
      <c r="K484" s="6"/>
      <c r="L484" s="6"/>
      <c r="M484" s="13"/>
    </row>
    <row r="485" spans="1:13" x14ac:dyDescent="0.35">
      <c r="A485">
        <v>1484</v>
      </c>
      <c r="B485" t="s">
        <v>519</v>
      </c>
      <c r="C485" t="s">
        <v>25</v>
      </c>
      <c r="D485" t="s">
        <v>26</v>
      </c>
      <c r="E485">
        <v>5</v>
      </c>
      <c r="F485">
        <v>8632</v>
      </c>
      <c r="G485">
        <v>43160</v>
      </c>
      <c r="H485" t="s">
        <v>40</v>
      </c>
      <c r="I485" t="s">
        <v>14</v>
      </c>
      <c r="J485" t="s">
        <v>15</v>
      </c>
      <c r="K485" s="6"/>
      <c r="L485" s="6"/>
      <c r="M485" s="13"/>
    </row>
    <row r="486" spans="1:13" x14ac:dyDescent="0.35">
      <c r="A486">
        <v>1485</v>
      </c>
      <c r="B486" t="s">
        <v>520</v>
      </c>
      <c r="C486" t="s">
        <v>29</v>
      </c>
      <c r="D486" t="s">
        <v>26</v>
      </c>
      <c r="E486">
        <v>2</v>
      </c>
      <c r="F486">
        <v>746</v>
      </c>
      <c r="G486">
        <v>1492</v>
      </c>
      <c r="H486" t="s">
        <v>27</v>
      </c>
      <c r="I486" t="s">
        <v>32</v>
      </c>
      <c r="J486" t="s">
        <v>33</v>
      </c>
      <c r="K486" s="6"/>
      <c r="L486" s="6"/>
      <c r="M486" s="13"/>
    </row>
    <row r="487" spans="1:13" x14ac:dyDescent="0.35">
      <c r="A487">
        <v>1486</v>
      </c>
      <c r="B487" t="s">
        <v>521</v>
      </c>
      <c r="C487" t="s">
        <v>31</v>
      </c>
      <c r="D487" t="s">
        <v>12</v>
      </c>
      <c r="E487">
        <v>2</v>
      </c>
      <c r="F487">
        <v>19358</v>
      </c>
      <c r="G487">
        <v>38716</v>
      </c>
      <c r="H487" t="s">
        <v>27</v>
      </c>
      <c r="I487" t="s">
        <v>19</v>
      </c>
      <c r="J487" t="s">
        <v>20</v>
      </c>
      <c r="K487" s="6"/>
      <c r="L487" s="6"/>
      <c r="M487" s="13"/>
    </row>
    <row r="488" spans="1:13" x14ac:dyDescent="0.35">
      <c r="A488">
        <v>1487</v>
      </c>
      <c r="B488" t="s">
        <v>522</v>
      </c>
      <c r="C488" t="s">
        <v>35</v>
      </c>
      <c r="D488" t="s">
        <v>36</v>
      </c>
      <c r="E488">
        <v>3</v>
      </c>
      <c r="F488">
        <v>128</v>
      </c>
      <c r="G488">
        <v>384</v>
      </c>
      <c r="H488" t="s">
        <v>40</v>
      </c>
      <c r="I488" t="s">
        <v>14</v>
      </c>
      <c r="J488" t="s">
        <v>15</v>
      </c>
      <c r="K488" s="6"/>
      <c r="L488" s="6"/>
      <c r="M488" s="13"/>
    </row>
    <row r="489" spans="1:13" x14ac:dyDescent="0.35">
      <c r="A489">
        <v>1488</v>
      </c>
      <c r="B489" t="s">
        <v>523</v>
      </c>
      <c r="C489" t="s">
        <v>39</v>
      </c>
      <c r="D489" t="s">
        <v>23</v>
      </c>
      <c r="E489">
        <v>2</v>
      </c>
      <c r="F489">
        <v>1440</v>
      </c>
      <c r="G489">
        <v>2880</v>
      </c>
      <c r="H489" t="s">
        <v>18</v>
      </c>
      <c r="I489" t="s">
        <v>14</v>
      </c>
      <c r="J489" t="s">
        <v>33</v>
      </c>
      <c r="K489" s="6"/>
      <c r="L489" s="6"/>
      <c r="M489" s="13"/>
    </row>
    <row r="490" spans="1:13" x14ac:dyDescent="0.35">
      <c r="A490">
        <v>1489</v>
      </c>
      <c r="B490" t="s">
        <v>524</v>
      </c>
      <c r="C490" t="s">
        <v>42</v>
      </c>
      <c r="D490" t="s">
        <v>12</v>
      </c>
      <c r="E490">
        <v>1</v>
      </c>
      <c r="F490">
        <v>14302</v>
      </c>
      <c r="G490">
        <v>14302</v>
      </c>
      <c r="H490" t="s">
        <v>13</v>
      </c>
      <c r="I490" t="s">
        <v>32</v>
      </c>
      <c r="J490" t="s">
        <v>33</v>
      </c>
      <c r="K490" s="6"/>
      <c r="L490" s="6"/>
      <c r="M490" s="13"/>
    </row>
    <row r="491" spans="1:13" x14ac:dyDescent="0.35">
      <c r="A491">
        <v>1490</v>
      </c>
      <c r="B491" t="s">
        <v>525</v>
      </c>
      <c r="C491" t="s">
        <v>44</v>
      </c>
      <c r="D491" t="s">
        <v>26</v>
      </c>
      <c r="E491">
        <v>5</v>
      </c>
      <c r="F491">
        <v>296</v>
      </c>
      <c r="G491">
        <v>1480</v>
      </c>
      <c r="H491" t="s">
        <v>51</v>
      </c>
      <c r="I491" t="s">
        <v>19</v>
      </c>
      <c r="J491" t="s">
        <v>15</v>
      </c>
      <c r="K491" s="6"/>
      <c r="L491" s="6"/>
      <c r="M491" s="13"/>
    </row>
    <row r="492" spans="1:13" x14ac:dyDescent="0.35">
      <c r="A492">
        <v>1491</v>
      </c>
      <c r="B492" t="s">
        <v>526</v>
      </c>
      <c r="C492" t="s">
        <v>11</v>
      </c>
      <c r="D492" t="s">
        <v>12</v>
      </c>
      <c r="E492">
        <v>2</v>
      </c>
      <c r="F492">
        <v>63623</v>
      </c>
      <c r="G492">
        <v>127246</v>
      </c>
      <c r="H492" t="s">
        <v>51</v>
      </c>
      <c r="I492" t="s">
        <v>14</v>
      </c>
      <c r="J492" t="s">
        <v>20</v>
      </c>
      <c r="K492" s="6"/>
      <c r="L492" s="6"/>
      <c r="M492" s="13"/>
    </row>
    <row r="493" spans="1:13" x14ac:dyDescent="0.35">
      <c r="A493">
        <v>1492</v>
      </c>
      <c r="B493" t="s">
        <v>527</v>
      </c>
      <c r="C493" t="s">
        <v>17</v>
      </c>
      <c r="D493" t="s">
        <v>12</v>
      </c>
      <c r="E493">
        <v>1</v>
      </c>
      <c r="F493">
        <v>2952</v>
      </c>
      <c r="G493">
        <v>2952</v>
      </c>
      <c r="H493" t="s">
        <v>51</v>
      </c>
      <c r="I493" t="s">
        <v>19</v>
      </c>
      <c r="J493" t="s">
        <v>15</v>
      </c>
      <c r="K493" s="6"/>
      <c r="L493" s="6"/>
      <c r="M493" s="13"/>
    </row>
    <row r="494" spans="1:13" x14ac:dyDescent="0.35">
      <c r="A494">
        <v>1493</v>
      </c>
      <c r="B494" t="s">
        <v>528</v>
      </c>
      <c r="C494" t="s">
        <v>22</v>
      </c>
      <c r="D494" t="s">
        <v>23</v>
      </c>
      <c r="E494">
        <v>3</v>
      </c>
      <c r="F494">
        <v>4415</v>
      </c>
      <c r="G494">
        <v>13245</v>
      </c>
      <c r="H494" t="s">
        <v>18</v>
      </c>
      <c r="I494" t="s">
        <v>19</v>
      </c>
      <c r="J494" t="s">
        <v>15</v>
      </c>
      <c r="K494" s="6"/>
      <c r="L494" s="6"/>
      <c r="M494" s="13"/>
    </row>
    <row r="495" spans="1:13" x14ac:dyDescent="0.35">
      <c r="A495">
        <v>1494</v>
      </c>
      <c r="B495" t="s">
        <v>529</v>
      </c>
      <c r="C495" t="s">
        <v>25</v>
      </c>
      <c r="D495" t="s">
        <v>26</v>
      </c>
      <c r="E495">
        <v>1</v>
      </c>
      <c r="F495">
        <v>12572</v>
      </c>
      <c r="G495">
        <v>12572</v>
      </c>
      <c r="H495" t="s">
        <v>40</v>
      </c>
      <c r="I495" t="s">
        <v>19</v>
      </c>
      <c r="J495" t="s">
        <v>33</v>
      </c>
      <c r="K495" s="6"/>
      <c r="L495" s="6"/>
      <c r="M495" s="13"/>
    </row>
    <row r="496" spans="1:13" x14ac:dyDescent="0.35">
      <c r="A496">
        <v>1495</v>
      </c>
      <c r="B496" t="s">
        <v>530</v>
      </c>
      <c r="C496" t="s">
        <v>29</v>
      </c>
      <c r="D496" t="s">
        <v>26</v>
      </c>
      <c r="E496">
        <v>5</v>
      </c>
      <c r="F496">
        <v>745</v>
      </c>
      <c r="G496">
        <v>3725</v>
      </c>
      <c r="H496" t="s">
        <v>40</v>
      </c>
      <c r="I496" t="s">
        <v>32</v>
      </c>
      <c r="J496" t="s">
        <v>15</v>
      </c>
      <c r="K496" s="6"/>
      <c r="L496" s="6"/>
      <c r="M496" s="13"/>
    </row>
    <row r="497" spans="1:13" x14ac:dyDescent="0.35">
      <c r="A497">
        <v>1496</v>
      </c>
      <c r="B497" t="s">
        <v>531</v>
      </c>
      <c r="C497" t="s">
        <v>31</v>
      </c>
      <c r="D497" t="s">
        <v>12</v>
      </c>
      <c r="E497">
        <v>1</v>
      </c>
      <c r="F497">
        <v>30973</v>
      </c>
      <c r="G497">
        <v>30973</v>
      </c>
      <c r="H497" t="s">
        <v>51</v>
      </c>
      <c r="I497" t="s">
        <v>14</v>
      </c>
      <c r="J497" t="s">
        <v>33</v>
      </c>
      <c r="K497" s="6"/>
      <c r="L497" s="6"/>
      <c r="M497" s="13"/>
    </row>
    <row r="498" spans="1:13" x14ac:dyDescent="0.35">
      <c r="A498">
        <v>1497</v>
      </c>
      <c r="B498" t="s">
        <v>532</v>
      </c>
      <c r="C498" t="s">
        <v>35</v>
      </c>
      <c r="D498" t="s">
        <v>36</v>
      </c>
      <c r="E498">
        <v>5</v>
      </c>
      <c r="F498">
        <v>756</v>
      </c>
      <c r="G498">
        <v>3780</v>
      </c>
      <c r="H498" t="s">
        <v>51</v>
      </c>
      <c r="I498" t="s">
        <v>19</v>
      </c>
      <c r="J498" t="s">
        <v>20</v>
      </c>
      <c r="K498" s="6"/>
      <c r="L498" s="6"/>
      <c r="M498" s="13"/>
    </row>
    <row r="499" spans="1:13" x14ac:dyDescent="0.35">
      <c r="A499">
        <v>1498</v>
      </c>
      <c r="B499" t="s">
        <v>533</v>
      </c>
      <c r="C499" t="s">
        <v>39</v>
      </c>
      <c r="D499" t="s">
        <v>23</v>
      </c>
      <c r="E499">
        <v>1</v>
      </c>
      <c r="F499">
        <v>966</v>
      </c>
      <c r="G499">
        <v>966</v>
      </c>
      <c r="H499" t="s">
        <v>27</v>
      </c>
      <c r="I499" t="s">
        <v>14</v>
      </c>
      <c r="J499" t="s">
        <v>15</v>
      </c>
      <c r="K499" s="6"/>
      <c r="L499" s="6"/>
      <c r="M499" s="13"/>
    </row>
    <row r="500" spans="1:13" x14ac:dyDescent="0.35">
      <c r="A500">
        <v>1499</v>
      </c>
      <c r="B500" t="s">
        <v>534</v>
      </c>
      <c r="C500" t="s">
        <v>42</v>
      </c>
      <c r="D500" t="s">
        <v>12</v>
      </c>
      <c r="E500">
        <v>1</v>
      </c>
      <c r="F500">
        <v>13343</v>
      </c>
      <c r="G500">
        <v>13343</v>
      </c>
      <c r="H500" t="s">
        <v>37</v>
      </c>
      <c r="I500" t="s">
        <v>14</v>
      </c>
      <c r="J500" t="s">
        <v>20</v>
      </c>
      <c r="K500" s="6"/>
      <c r="L500" s="6"/>
      <c r="M500" s="13"/>
    </row>
  </sheetData>
  <mergeCells count="1">
    <mergeCell ref="O2:P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6ED08-6EBF-4455-B475-56B1F4C8D5B3}">
  <sheetPr>
    <tabColor theme="5" tint="-0.249977111117893"/>
  </sheetPr>
  <dimension ref="A1:J500"/>
  <sheetViews>
    <sheetView workbookViewId="0">
      <selection activeCell="K10" sqref="K10"/>
    </sheetView>
  </sheetViews>
  <sheetFormatPr defaultRowHeight="14.5" x14ac:dyDescent="0.35"/>
  <cols>
    <col min="1" max="1" width="15.7265625" bestFit="1" customWidth="1"/>
    <col min="3" max="3" width="10.7265625" bestFit="1" customWidth="1"/>
    <col min="10" max="10" width="16.08984375" bestFit="1" customWidth="1"/>
  </cols>
  <sheetData>
    <row r="1" spans="1:10" x14ac:dyDescent="0.35">
      <c r="A1" s="1" t="s">
        <v>2</v>
      </c>
      <c r="B1" s="1" t="s">
        <v>0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5">
      <c r="A2" t="s">
        <v>11</v>
      </c>
      <c r="B2">
        <f>INDEX('ECOMMERS SALES'!$A:$J,MATCH('index match'!$A2,'ECOMMERS SALES'!$C:$C,0),MATCH('index match'!B$1,ECOMMERS_SALES[#Headers],0))</f>
        <v>1001</v>
      </c>
      <c r="C2" t="str">
        <f>INDEX('ECOMMERS SALES'!$A:$J,MATCH('index match'!$A2,'ECOMMERS SALES'!$C:$C,0),MATCH('index match'!C$1,ECOMMERS_SALES[#Headers],0))</f>
        <v>02-01-2025</v>
      </c>
      <c r="D2" t="str">
        <f>INDEX('ECOMMERS SALES'!$A:$J,MATCH('index match'!$A2,'ECOMMERS SALES'!$C:$C,0),MATCH('index match'!D$1,ECOMMERS_SALES[#Headers],0))</f>
        <v>Electronics</v>
      </c>
      <c r="E2">
        <f>INDEX('ECOMMERS SALES'!$A:$J,MATCH('index match'!$A2,'ECOMMERS SALES'!$C:$C,0),MATCH('index match'!E$1,ECOMMERS_SALES[#Headers],0))</f>
        <v>2</v>
      </c>
      <c r="F2">
        <f>INDEX('ECOMMERS SALES'!$A:$J,MATCH('index match'!$A2,'ECOMMERS SALES'!$C:$C,0),MATCH('index match'!F$1,ECOMMERS_SALES[#Headers],0))</f>
        <v>50353</v>
      </c>
      <c r="G2">
        <f>INDEX('ECOMMERS SALES'!$A:$J,MATCH('index match'!$A2,'ECOMMERS SALES'!$C:$C,0),MATCH('index match'!G$1,ECOMMERS_SALES[#Headers],0))</f>
        <v>100706</v>
      </c>
      <c r="H2" t="str">
        <f>INDEX('ECOMMERS SALES'!$A:$J,MATCH('index match'!$A2,'ECOMMERS SALES'!$C:$C,0),MATCH('index match'!H$1,ECOMMERS_SALES[#Headers],0))</f>
        <v>Chennai</v>
      </c>
      <c r="I2" t="str">
        <f>INDEX('ECOMMERS SALES'!$A:$J,MATCH('index match'!$A2,'ECOMMERS SALES'!$C:$C,0),MATCH('index match'!I$1,ECOMMERS_SALES[#Headers],0))</f>
        <v>Premimum</v>
      </c>
      <c r="J2" t="str">
        <f>INDEX('ECOMMERS SALES'!$A:$J,MATCH('index match'!$A2,'ECOMMERS SALES'!$C:$C,0),MATCH('index match'!J$1,ECOMMERS_SALES[#Headers],0))</f>
        <v>Card</v>
      </c>
    </row>
    <row r="3" spans="1:10" x14ac:dyDescent="0.35">
      <c r="A3" t="s">
        <v>17</v>
      </c>
      <c r="B3">
        <f>INDEX('ECOMMERS SALES'!$A:$J,MATCH('index match'!$A3,'ECOMMERS SALES'!$C:$C,0),MATCH('index match'!B$1,ECOMMERS_SALES[#Headers],0))</f>
        <v>1002</v>
      </c>
      <c r="C3" t="str">
        <f>INDEX('ECOMMERS SALES'!$A:$J,MATCH('index match'!$A3,'ECOMMERS SALES'!$C:$C,0),MATCH('index match'!C$1,ECOMMERS_SALES[#Headers],0))</f>
        <v>03-01-2025</v>
      </c>
      <c r="D3" t="str">
        <f>INDEX('ECOMMERS SALES'!$A:$J,MATCH('index match'!$A3,'ECOMMERS SALES'!$C:$C,0),MATCH('index match'!D$1,ECOMMERS_SALES[#Headers],0))</f>
        <v>Electronics</v>
      </c>
      <c r="E3">
        <f>INDEX('ECOMMERS SALES'!$A:$J,MATCH('index match'!$A3,'ECOMMERS SALES'!$C:$C,0),MATCH('index match'!E$1,ECOMMERS_SALES[#Headers],0))</f>
        <v>2</v>
      </c>
      <c r="F3">
        <f>INDEX('ECOMMERS SALES'!$A:$J,MATCH('index match'!$A3,'ECOMMERS SALES'!$C:$C,0),MATCH('index match'!F$1,ECOMMERS_SALES[#Headers],0))</f>
        <v>2008</v>
      </c>
      <c r="G3">
        <f>INDEX('ECOMMERS SALES'!$A:$J,MATCH('index match'!$A3,'ECOMMERS SALES'!$C:$C,0),MATCH('index match'!G$1,ECOMMERS_SALES[#Headers],0))</f>
        <v>4016</v>
      </c>
      <c r="H3" t="str">
        <f>INDEX('ECOMMERS SALES'!$A:$J,MATCH('index match'!$A3,'ECOMMERS SALES'!$C:$C,0),MATCH('index match'!H$1,ECOMMERS_SALES[#Headers],0))</f>
        <v>Delhi</v>
      </c>
      <c r="I3" t="str">
        <f>INDEX('ECOMMERS SALES'!$A:$J,MATCH('index match'!$A3,'ECOMMERS SALES'!$C:$C,0),MATCH('index match'!I$1,ECOMMERS_SALES[#Headers],0))</f>
        <v>New</v>
      </c>
      <c r="J3" t="str">
        <f>INDEX('ECOMMERS SALES'!$A:$J,MATCH('index match'!$A3,'ECOMMERS SALES'!$C:$C,0),MATCH('index match'!J$1,ECOMMERS_SALES[#Headers],0))</f>
        <v>UPI</v>
      </c>
    </row>
    <row r="4" spans="1:10" x14ac:dyDescent="0.35">
      <c r="A4" t="s">
        <v>22</v>
      </c>
      <c r="B4">
        <f>INDEX('ECOMMERS SALES'!$A:$J,MATCH('index match'!$A4,'ECOMMERS SALES'!$C:$C,0),MATCH('index match'!B$1,ECOMMERS_SALES[#Headers],0))</f>
        <v>1003</v>
      </c>
      <c r="C4" t="str">
        <f>INDEX('ECOMMERS SALES'!$A:$J,MATCH('index match'!$A4,'ECOMMERS SALES'!$C:$C,0),MATCH('index match'!C$1,ECOMMERS_SALES[#Headers],0))</f>
        <v>04-01-2025</v>
      </c>
      <c r="D4" t="str">
        <f>INDEX('ECOMMERS SALES'!$A:$J,MATCH('index match'!$A4,'ECOMMERS SALES'!$C:$C,0),MATCH('index match'!D$1,ECOMMERS_SALES[#Headers],0))</f>
        <v>Fashion</v>
      </c>
      <c r="E4">
        <f>INDEX('ECOMMERS SALES'!$A:$J,MATCH('index match'!$A4,'ECOMMERS SALES'!$C:$C,0),MATCH('index match'!E$1,ECOMMERS_SALES[#Headers],0))</f>
        <v>1</v>
      </c>
      <c r="F4">
        <f>INDEX('ECOMMERS SALES'!$A:$J,MATCH('index match'!$A4,'ECOMMERS SALES'!$C:$C,0),MATCH('index match'!F$1,ECOMMERS_SALES[#Headers],0))</f>
        <v>4736</v>
      </c>
      <c r="G4">
        <f>INDEX('ECOMMERS SALES'!$A:$J,MATCH('index match'!$A4,'ECOMMERS SALES'!$C:$C,0),MATCH('index match'!G$1,ECOMMERS_SALES[#Headers],0))</f>
        <v>4736</v>
      </c>
      <c r="H4" t="str">
        <f>INDEX('ECOMMERS SALES'!$A:$J,MATCH('index match'!$A4,'ECOMMERS SALES'!$C:$C,0),MATCH('index match'!H$1,ECOMMERS_SALES[#Headers],0))</f>
        <v>Chennai</v>
      </c>
      <c r="I4" t="str">
        <f>INDEX('ECOMMERS SALES'!$A:$J,MATCH('index match'!$A4,'ECOMMERS SALES'!$C:$C,0),MATCH('index match'!I$1,ECOMMERS_SALES[#Headers],0))</f>
        <v>New</v>
      </c>
      <c r="J4" t="str">
        <f>INDEX('ECOMMERS SALES'!$A:$J,MATCH('index match'!$A4,'ECOMMERS SALES'!$C:$C,0),MATCH('index match'!J$1,ECOMMERS_SALES[#Headers],0))</f>
        <v>UPI</v>
      </c>
    </row>
    <row r="5" spans="1:10" x14ac:dyDescent="0.35">
      <c r="A5" t="s">
        <v>25</v>
      </c>
      <c r="B5">
        <f>INDEX('ECOMMERS SALES'!$A:$J,MATCH('index match'!$A5,'ECOMMERS SALES'!$C:$C,0),MATCH('index match'!B$1,ECOMMERS_SALES[#Headers],0))</f>
        <v>1004</v>
      </c>
      <c r="C5" t="str">
        <f>INDEX('ECOMMERS SALES'!$A:$J,MATCH('index match'!$A5,'ECOMMERS SALES'!$C:$C,0),MATCH('index match'!C$1,ECOMMERS_SALES[#Headers],0))</f>
        <v>05-01-2025</v>
      </c>
      <c r="D5" t="str">
        <f>INDEX('ECOMMERS SALES'!$A:$J,MATCH('index match'!$A5,'ECOMMERS SALES'!$C:$C,0),MATCH('index match'!D$1,ECOMMERS_SALES[#Headers],0))</f>
        <v>Other</v>
      </c>
      <c r="E5">
        <f>INDEX('ECOMMERS SALES'!$A:$J,MATCH('index match'!$A5,'ECOMMERS SALES'!$C:$C,0),MATCH('index match'!E$1,ECOMMERS_SALES[#Headers],0))</f>
        <v>2</v>
      </c>
      <c r="F5">
        <f>INDEX('ECOMMERS SALES'!$A:$J,MATCH('index match'!$A5,'ECOMMERS SALES'!$C:$C,0),MATCH('index match'!F$1,ECOMMERS_SALES[#Headers],0))</f>
        <v>10072</v>
      </c>
      <c r="G5">
        <f>INDEX('ECOMMERS SALES'!$A:$J,MATCH('index match'!$A5,'ECOMMERS SALES'!$C:$C,0),MATCH('index match'!G$1,ECOMMERS_SALES[#Headers],0))</f>
        <v>20144</v>
      </c>
      <c r="H5" t="str">
        <f>INDEX('ECOMMERS SALES'!$A:$J,MATCH('index match'!$A5,'ECOMMERS SALES'!$C:$C,0),MATCH('index match'!H$1,ECOMMERS_SALES[#Headers],0))</f>
        <v>Pune</v>
      </c>
      <c r="I5" t="str">
        <f>INDEX('ECOMMERS SALES'!$A:$J,MATCH('index match'!$A5,'ECOMMERS SALES'!$C:$C,0),MATCH('index match'!I$1,ECOMMERS_SALES[#Headers],0))</f>
        <v>Premimum</v>
      </c>
      <c r="J5" t="str">
        <f>INDEX('ECOMMERS SALES'!$A:$J,MATCH('index match'!$A5,'ECOMMERS SALES'!$C:$C,0),MATCH('index match'!J$1,ECOMMERS_SALES[#Headers],0))</f>
        <v>Card</v>
      </c>
    </row>
    <row r="6" spans="1:10" x14ac:dyDescent="0.35">
      <c r="A6" t="s">
        <v>29</v>
      </c>
      <c r="B6">
        <f>INDEX('ECOMMERS SALES'!$A:$J,MATCH('index match'!$A6,'ECOMMERS SALES'!$C:$C,0),MATCH('index match'!B$1,ECOMMERS_SALES[#Headers],0))</f>
        <v>1005</v>
      </c>
      <c r="C6" t="str">
        <f>INDEX('ECOMMERS SALES'!$A:$J,MATCH('index match'!$A6,'ECOMMERS SALES'!$C:$C,0),MATCH('index match'!C$1,ECOMMERS_SALES[#Headers],0))</f>
        <v>06-01-2025</v>
      </c>
      <c r="D6" t="str">
        <f>INDEX('ECOMMERS SALES'!$A:$J,MATCH('index match'!$A6,'ECOMMERS SALES'!$C:$C,0),MATCH('index match'!D$1,ECOMMERS_SALES[#Headers],0))</f>
        <v>Other</v>
      </c>
      <c r="E6">
        <f>INDEX('ECOMMERS SALES'!$A:$J,MATCH('index match'!$A6,'ECOMMERS SALES'!$C:$C,0),MATCH('index match'!E$1,ECOMMERS_SALES[#Headers],0))</f>
        <v>2</v>
      </c>
      <c r="F6">
        <f>INDEX('ECOMMERS SALES'!$A:$J,MATCH('index match'!$A6,'ECOMMERS SALES'!$C:$C,0),MATCH('index match'!F$1,ECOMMERS_SALES[#Headers],0))</f>
        <v>920</v>
      </c>
      <c r="G6">
        <f>INDEX('ECOMMERS SALES'!$A:$J,MATCH('index match'!$A6,'ECOMMERS SALES'!$C:$C,0),MATCH('index match'!G$1,ECOMMERS_SALES[#Headers],0))</f>
        <v>1840</v>
      </c>
      <c r="H6" t="str">
        <f>INDEX('ECOMMERS SALES'!$A:$J,MATCH('index match'!$A6,'ECOMMERS SALES'!$C:$C,0),MATCH('index match'!H$1,ECOMMERS_SALES[#Headers],0))</f>
        <v>Pune</v>
      </c>
      <c r="I6" t="str">
        <f>INDEX('ECOMMERS SALES'!$A:$J,MATCH('index match'!$A6,'ECOMMERS SALES'!$C:$C,0),MATCH('index match'!I$1,ECOMMERS_SALES[#Headers],0))</f>
        <v>New</v>
      </c>
      <c r="J6" t="str">
        <f>INDEX('ECOMMERS SALES'!$A:$J,MATCH('index match'!$A6,'ECOMMERS SALES'!$C:$C,0),MATCH('index match'!J$1,ECOMMERS_SALES[#Headers],0))</f>
        <v>UPI</v>
      </c>
    </row>
    <row r="7" spans="1:10" x14ac:dyDescent="0.35">
      <c r="A7" t="s">
        <v>31</v>
      </c>
      <c r="B7">
        <f>INDEX('ECOMMERS SALES'!$A:$J,MATCH('index match'!$A7,'ECOMMERS SALES'!$C:$C,0),MATCH('index match'!B$1,ECOMMERS_SALES[#Headers],0))</f>
        <v>1006</v>
      </c>
      <c r="C7" t="str">
        <f>INDEX('ECOMMERS SALES'!$A:$J,MATCH('index match'!$A7,'ECOMMERS SALES'!$C:$C,0),MATCH('index match'!C$1,ECOMMERS_SALES[#Headers],0))</f>
        <v>07-01-2025</v>
      </c>
      <c r="D7" t="str">
        <f>INDEX('ECOMMERS SALES'!$A:$J,MATCH('index match'!$A7,'ECOMMERS SALES'!$C:$C,0),MATCH('index match'!D$1,ECOMMERS_SALES[#Headers],0))</f>
        <v>Electronics</v>
      </c>
      <c r="E7">
        <f>INDEX('ECOMMERS SALES'!$A:$J,MATCH('index match'!$A7,'ECOMMERS SALES'!$C:$C,0),MATCH('index match'!E$1,ECOMMERS_SALES[#Headers],0))</f>
        <v>1</v>
      </c>
      <c r="F7">
        <f>INDEX('ECOMMERS SALES'!$A:$J,MATCH('index match'!$A7,'ECOMMERS SALES'!$C:$C,0),MATCH('index match'!F$1,ECOMMERS_SALES[#Headers],0))</f>
        <v>13225</v>
      </c>
      <c r="G7">
        <f>INDEX('ECOMMERS SALES'!$A:$J,MATCH('index match'!$A7,'ECOMMERS SALES'!$C:$C,0),MATCH('index match'!G$1,ECOMMERS_SALES[#Headers],0))</f>
        <v>13225</v>
      </c>
      <c r="H7" t="str">
        <f>INDEX('ECOMMERS SALES'!$A:$J,MATCH('index match'!$A7,'ECOMMERS SALES'!$C:$C,0),MATCH('index match'!H$1,ECOMMERS_SALES[#Headers],0))</f>
        <v>Delhi</v>
      </c>
      <c r="I7" t="str">
        <f>INDEX('ECOMMERS SALES'!$A:$J,MATCH('index match'!$A7,'ECOMMERS SALES'!$C:$C,0),MATCH('index match'!I$1,ECOMMERS_SALES[#Headers],0))</f>
        <v>Returning</v>
      </c>
      <c r="J7" t="str">
        <f>INDEX('ECOMMERS SALES'!$A:$J,MATCH('index match'!$A7,'ECOMMERS SALES'!$C:$C,0),MATCH('index match'!J$1,ECOMMERS_SALES[#Headers],0))</f>
        <v>COD</v>
      </c>
    </row>
    <row r="8" spans="1:10" x14ac:dyDescent="0.35">
      <c r="A8" t="s">
        <v>35</v>
      </c>
      <c r="B8">
        <f>INDEX('ECOMMERS SALES'!$A:$J,MATCH('index match'!$A8,'ECOMMERS SALES'!$C:$C,0),MATCH('index match'!B$1,ECOMMERS_SALES[#Headers],0))</f>
        <v>1007</v>
      </c>
      <c r="C8" t="str">
        <f>INDEX('ECOMMERS SALES'!$A:$J,MATCH('index match'!$A8,'ECOMMERS SALES'!$C:$C,0),MATCH('index match'!C$1,ECOMMERS_SALES[#Headers],0))</f>
        <v>08-01-2025</v>
      </c>
      <c r="D8" t="str">
        <f>INDEX('ECOMMERS SALES'!$A:$J,MATCH('index match'!$A8,'ECOMMERS SALES'!$C:$C,0),MATCH('index match'!D$1,ECOMMERS_SALES[#Headers],0))</f>
        <v>Books</v>
      </c>
      <c r="E8">
        <f>INDEX('ECOMMERS SALES'!$A:$J,MATCH('index match'!$A8,'ECOMMERS SALES'!$C:$C,0),MATCH('index match'!E$1,ECOMMERS_SALES[#Headers],0))</f>
        <v>3</v>
      </c>
      <c r="F8">
        <f>INDEX('ECOMMERS SALES'!$A:$J,MATCH('index match'!$A8,'ECOMMERS SALES'!$C:$C,0),MATCH('index match'!F$1,ECOMMERS_SALES[#Headers],0))</f>
        <v>621</v>
      </c>
      <c r="G8">
        <f>INDEX('ECOMMERS SALES'!$A:$J,MATCH('index match'!$A8,'ECOMMERS SALES'!$C:$C,0),MATCH('index match'!G$1,ECOMMERS_SALES[#Headers],0))</f>
        <v>1863</v>
      </c>
      <c r="H8" t="str">
        <f>INDEX('ECOMMERS SALES'!$A:$J,MATCH('index match'!$A8,'ECOMMERS SALES'!$C:$C,0),MATCH('index match'!H$1,ECOMMERS_SALES[#Headers],0))</f>
        <v>Hyderabad</v>
      </c>
      <c r="I8" t="str">
        <f>INDEX('ECOMMERS SALES'!$A:$J,MATCH('index match'!$A8,'ECOMMERS SALES'!$C:$C,0),MATCH('index match'!I$1,ECOMMERS_SALES[#Headers],0))</f>
        <v>Premimum</v>
      </c>
      <c r="J8" t="str">
        <f>INDEX('ECOMMERS SALES'!$A:$J,MATCH('index match'!$A8,'ECOMMERS SALES'!$C:$C,0),MATCH('index match'!J$1,ECOMMERS_SALES[#Headers],0))</f>
        <v>UPI</v>
      </c>
    </row>
    <row r="9" spans="1:10" x14ac:dyDescent="0.35">
      <c r="A9" t="s">
        <v>39</v>
      </c>
      <c r="B9">
        <f>INDEX('ECOMMERS SALES'!$A:$J,MATCH('index match'!$A9,'ECOMMERS SALES'!$C:$C,0),MATCH('index match'!B$1,ECOMMERS_SALES[#Headers],0))</f>
        <v>1008</v>
      </c>
      <c r="C9" t="str">
        <f>INDEX('ECOMMERS SALES'!$A:$J,MATCH('index match'!$A9,'ECOMMERS SALES'!$C:$C,0),MATCH('index match'!C$1,ECOMMERS_SALES[#Headers],0))</f>
        <v>09-01-2025</v>
      </c>
      <c r="D9" t="str">
        <f>INDEX('ECOMMERS SALES'!$A:$J,MATCH('index match'!$A9,'ECOMMERS SALES'!$C:$C,0),MATCH('index match'!D$1,ECOMMERS_SALES[#Headers],0))</f>
        <v>Fashion</v>
      </c>
      <c r="E9">
        <f>INDEX('ECOMMERS SALES'!$A:$J,MATCH('index match'!$A9,'ECOMMERS SALES'!$C:$C,0),MATCH('index match'!E$1,ECOMMERS_SALES[#Headers],0))</f>
        <v>2</v>
      </c>
      <c r="F9">
        <f>INDEX('ECOMMERS SALES'!$A:$J,MATCH('index match'!$A9,'ECOMMERS SALES'!$C:$C,0),MATCH('index match'!F$1,ECOMMERS_SALES[#Headers],0))</f>
        <v>905</v>
      </c>
      <c r="G9">
        <f>INDEX('ECOMMERS SALES'!$A:$J,MATCH('index match'!$A9,'ECOMMERS SALES'!$C:$C,0),MATCH('index match'!G$1,ECOMMERS_SALES[#Headers],0))</f>
        <v>1810</v>
      </c>
      <c r="H9" t="str">
        <f>INDEX('ECOMMERS SALES'!$A:$J,MATCH('index match'!$A9,'ECOMMERS SALES'!$C:$C,0),MATCH('index match'!H$1,ECOMMERS_SALES[#Headers],0))</f>
        <v>Bangalore</v>
      </c>
      <c r="I9" t="str">
        <f>INDEX('ECOMMERS SALES'!$A:$J,MATCH('index match'!$A9,'ECOMMERS SALES'!$C:$C,0),MATCH('index match'!I$1,ECOMMERS_SALES[#Headers],0))</f>
        <v>New</v>
      </c>
      <c r="J9" t="str">
        <f>INDEX('ECOMMERS SALES'!$A:$J,MATCH('index match'!$A9,'ECOMMERS SALES'!$C:$C,0),MATCH('index match'!J$1,ECOMMERS_SALES[#Headers],0))</f>
        <v>COD</v>
      </c>
    </row>
    <row r="10" spans="1:10" x14ac:dyDescent="0.35">
      <c r="A10" t="s">
        <v>42</v>
      </c>
      <c r="B10">
        <f>INDEX('ECOMMERS SALES'!$A:$J,MATCH('index match'!$A10,'ECOMMERS SALES'!$C:$C,0),MATCH('index match'!B$1,ECOMMERS_SALES[#Headers],0))</f>
        <v>1009</v>
      </c>
      <c r="C10" t="str">
        <f>INDEX('ECOMMERS SALES'!$A:$J,MATCH('index match'!$A10,'ECOMMERS SALES'!$C:$C,0),MATCH('index match'!C$1,ECOMMERS_SALES[#Headers],0))</f>
        <v>10-01-2025</v>
      </c>
      <c r="D10" t="str">
        <f>INDEX('ECOMMERS SALES'!$A:$J,MATCH('index match'!$A10,'ECOMMERS SALES'!$C:$C,0),MATCH('index match'!D$1,ECOMMERS_SALES[#Headers],0))</f>
        <v>Electronics</v>
      </c>
      <c r="E10">
        <f>INDEX('ECOMMERS SALES'!$A:$J,MATCH('index match'!$A10,'ECOMMERS SALES'!$C:$C,0),MATCH('index match'!E$1,ECOMMERS_SALES[#Headers],0))</f>
        <v>1</v>
      </c>
      <c r="F10">
        <f>INDEX('ECOMMERS SALES'!$A:$J,MATCH('index match'!$A10,'ECOMMERS SALES'!$C:$C,0),MATCH('index match'!F$1,ECOMMERS_SALES[#Headers],0))</f>
        <v>8563</v>
      </c>
      <c r="G10">
        <f>INDEX('ECOMMERS SALES'!$A:$J,MATCH('index match'!$A10,'ECOMMERS SALES'!$C:$C,0),MATCH('index match'!G$1,ECOMMERS_SALES[#Headers],0))</f>
        <v>8563</v>
      </c>
      <c r="H10" t="str">
        <f>INDEX('ECOMMERS SALES'!$A:$J,MATCH('index match'!$A10,'ECOMMERS SALES'!$C:$C,0),MATCH('index match'!H$1,ECOMMERS_SALES[#Headers],0))</f>
        <v>Hyderabad</v>
      </c>
      <c r="I10" t="str">
        <f>INDEX('ECOMMERS SALES'!$A:$J,MATCH('index match'!$A10,'ECOMMERS SALES'!$C:$C,0),MATCH('index match'!I$1,ECOMMERS_SALES[#Headers],0))</f>
        <v>Returning</v>
      </c>
      <c r="J10" t="str">
        <f>INDEX('ECOMMERS SALES'!$A:$J,MATCH('index match'!$A10,'ECOMMERS SALES'!$C:$C,0),MATCH('index match'!J$1,ECOMMERS_SALES[#Headers],0))</f>
        <v>Card</v>
      </c>
    </row>
    <row r="11" spans="1:10" x14ac:dyDescent="0.35">
      <c r="A11" t="s">
        <v>44</v>
      </c>
      <c r="B11">
        <f>INDEX('ECOMMERS SALES'!$A:$J,MATCH('index match'!$A11,'ECOMMERS SALES'!$C:$C,0),MATCH('index match'!B$1,ECOMMERS_SALES[#Headers],0))</f>
        <v>1010</v>
      </c>
      <c r="C11" t="str">
        <f>INDEX('ECOMMERS SALES'!$A:$J,MATCH('index match'!$A11,'ECOMMERS SALES'!$C:$C,0),MATCH('index match'!C$1,ECOMMERS_SALES[#Headers],0))</f>
        <v>11-01-2025</v>
      </c>
      <c r="D11" t="str">
        <f>INDEX('ECOMMERS SALES'!$A:$J,MATCH('index match'!$A11,'ECOMMERS SALES'!$C:$C,0),MATCH('index match'!D$1,ECOMMERS_SALES[#Headers],0))</f>
        <v>Other</v>
      </c>
      <c r="E11">
        <f>INDEX('ECOMMERS SALES'!$A:$J,MATCH('index match'!$A11,'ECOMMERS SALES'!$C:$C,0),MATCH('index match'!E$1,ECOMMERS_SALES[#Headers],0))</f>
        <v>1</v>
      </c>
      <c r="F11">
        <f>INDEX('ECOMMERS SALES'!$A:$J,MATCH('index match'!$A11,'ECOMMERS SALES'!$C:$C,0),MATCH('index match'!F$1,ECOMMERS_SALES[#Headers],0))</f>
        <v>268</v>
      </c>
      <c r="G11">
        <f>INDEX('ECOMMERS SALES'!$A:$J,MATCH('index match'!$A11,'ECOMMERS SALES'!$C:$C,0),MATCH('index match'!G$1,ECOMMERS_SALES[#Headers],0))</f>
        <v>268</v>
      </c>
      <c r="H11" t="str">
        <f>INDEX('ECOMMERS SALES'!$A:$J,MATCH('index match'!$A11,'ECOMMERS SALES'!$C:$C,0),MATCH('index match'!H$1,ECOMMERS_SALES[#Headers],0))</f>
        <v>Chennai</v>
      </c>
      <c r="I11" t="str">
        <f>INDEX('ECOMMERS SALES'!$A:$J,MATCH('index match'!$A11,'ECOMMERS SALES'!$C:$C,0),MATCH('index match'!I$1,ECOMMERS_SALES[#Headers],0))</f>
        <v>New</v>
      </c>
      <c r="J11" t="str">
        <f>INDEX('ECOMMERS SALES'!$A:$J,MATCH('index match'!$A11,'ECOMMERS SALES'!$C:$C,0),MATCH('index match'!J$1,ECOMMERS_SALES[#Headers],0))</f>
        <v>UPI</v>
      </c>
    </row>
    <row r="12" spans="1:10" x14ac:dyDescent="0.35">
      <c r="A12" t="s">
        <v>11</v>
      </c>
      <c r="B12">
        <f>INDEX('ECOMMERS SALES'!$A:$J,MATCH('index match'!$A12,'ECOMMERS SALES'!$C:$C,0),MATCH('index match'!B$1,ECOMMERS_SALES[#Headers],0))</f>
        <v>1001</v>
      </c>
      <c r="C12" t="str">
        <f>INDEX('ECOMMERS SALES'!$A:$J,MATCH('index match'!$A12,'ECOMMERS SALES'!$C:$C,0),MATCH('index match'!C$1,ECOMMERS_SALES[#Headers],0))</f>
        <v>02-01-2025</v>
      </c>
      <c r="D12" t="str">
        <f>INDEX('ECOMMERS SALES'!$A:$J,MATCH('index match'!$A12,'ECOMMERS SALES'!$C:$C,0),MATCH('index match'!D$1,ECOMMERS_SALES[#Headers],0))</f>
        <v>Electronics</v>
      </c>
      <c r="E12">
        <f>INDEX('ECOMMERS SALES'!$A:$J,MATCH('index match'!$A12,'ECOMMERS SALES'!$C:$C,0),MATCH('index match'!E$1,ECOMMERS_SALES[#Headers],0))</f>
        <v>2</v>
      </c>
      <c r="F12">
        <f>INDEX('ECOMMERS SALES'!$A:$J,MATCH('index match'!$A12,'ECOMMERS SALES'!$C:$C,0),MATCH('index match'!F$1,ECOMMERS_SALES[#Headers],0))</f>
        <v>50353</v>
      </c>
      <c r="G12">
        <f>INDEX('ECOMMERS SALES'!$A:$J,MATCH('index match'!$A12,'ECOMMERS SALES'!$C:$C,0),MATCH('index match'!G$1,ECOMMERS_SALES[#Headers],0))</f>
        <v>100706</v>
      </c>
      <c r="H12" t="str">
        <f>INDEX('ECOMMERS SALES'!$A:$J,MATCH('index match'!$A12,'ECOMMERS SALES'!$C:$C,0),MATCH('index match'!H$1,ECOMMERS_SALES[#Headers],0))</f>
        <v>Chennai</v>
      </c>
      <c r="I12" t="str">
        <f>INDEX('ECOMMERS SALES'!$A:$J,MATCH('index match'!$A12,'ECOMMERS SALES'!$C:$C,0),MATCH('index match'!I$1,ECOMMERS_SALES[#Headers],0))</f>
        <v>Premimum</v>
      </c>
      <c r="J12" t="str">
        <f>INDEX('ECOMMERS SALES'!$A:$J,MATCH('index match'!$A12,'ECOMMERS SALES'!$C:$C,0),MATCH('index match'!J$1,ECOMMERS_SALES[#Headers],0))</f>
        <v>Card</v>
      </c>
    </row>
    <row r="13" spans="1:10" x14ac:dyDescent="0.35">
      <c r="A13" t="s">
        <v>17</v>
      </c>
      <c r="B13">
        <f>INDEX('ECOMMERS SALES'!$A:$J,MATCH('index match'!$A13,'ECOMMERS SALES'!$C:$C,0),MATCH('index match'!B$1,ECOMMERS_SALES[#Headers],0))</f>
        <v>1002</v>
      </c>
      <c r="C13" t="str">
        <f>INDEX('ECOMMERS SALES'!$A:$J,MATCH('index match'!$A13,'ECOMMERS SALES'!$C:$C,0),MATCH('index match'!C$1,ECOMMERS_SALES[#Headers],0))</f>
        <v>03-01-2025</v>
      </c>
      <c r="D13" t="str">
        <f>INDEX('ECOMMERS SALES'!$A:$J,MATCH('index match'!$A13,'ECOMMERS SALES'!$C:$C,0),MATCH('index match'!D$1,ECOMMERS_SALES[#Headers],0))</f>
        <v>Electronics</v>
      </c>
      <c r="E13">
        <f>INDEX('ECOMMERS SALES'!$A:$J,MATCH('index match'!$A13,'ECOMMERS SALES'!$C:$C,0),MATCH('index match'!E$1,ECOMMERS_SALES[#Headers],0))</f>
        <v>2</v>
      </c>
      <c r="F13">
        <f>INDEX('ECOMMERS SALES'!$A:$J,MATCH('index match'!$A13,'ECOMMERS SALES'!$C:$C,0),MATCH('index match'!F$1,ECOMMERS_SALES[#Headers],0))</f>
        <v>2008</v>
      </c>
      <c r="G13">
        <f>INDEX('ECOMMERS SALES'!$A:$J,MATCH('index match'!$A13,'ECOMMERS SALES'!$C:$C,0),MATCH('index match'!G$1,ECOMMERS_SALES[#Headers],0))</f>
        <v>4016</v>
      </c>
      <c r="H13" t="str">
        <f>INDEX('ECOMMERS SALES'!$A:$J,MATCH('index match'!$A13,'ECOMMERS SALES'!$C:$C,0),MATCH('index match'!H$1,ECOMMERS_SALES[#Headers],0))</f>
        <v>Delhi</v>
      </c>
      <c r="I13" t="str">
        <f>INDEX('ECOMMERS SALES'!$A:$J,MATCH('index match'!$A13,'ECOMMERS SALES'!$C:$C,0),MATCH('index match'!I$1,ECOMMERS_SALES[#Headers],0))</f>
        <v>New</v>
      </c>
      <c r="J13" t="str">
        <f>INDEX('ECOMMERS SALES'!$A:$J,MATCH('index match'!$A13,'ECOMMERS SALES'!$C:$C,0),MATCH('index match'!J$1,ECOMMERS_SALES[#Headers],0))</f>
        <v>UPI</v>
      </c>
    </row>
    <row r="14" spans="1:10" x14ac:dyDescent="0.35">
      <c r="A14" t="s">
        <v>22</v>
      </c>
      <c r="B14">
        <f>INDEX('ECOMMERS SALES'!$A:$J,MATCH('index match'!$A14,'ECOMMERS SALES'!$C:$C,0),MATCH('index match'!B$1,ECOMMERS_SALES[#Headers],0))</f>
        <v>1003</v>
      </c>
      <c r="C14" t="str">
        <f>INDEX('ECOMMERS SALES'!$A:$J,MATCH('index match'!$A14,'ECOMMERS SALES'!$C:$C,0),MATCH('index match'!C$1,ECOMMERS_SALES[#Headers],0))</f>
        <v>04-01-2025</v>
      </c>
      <c r="D14" t="str">
        <f>INDEX('ECOMMERS SALES'!$A:$J,MATCH('index match'!$A14,'ECOMMERS SALES'!$C:$C,0),MATCH('index match'!D$1,ECOMMERS_SALES[#Headers],0))</f>
        <v>Fashion</v>
      </c>
      <c r="E14">
        <f>INDEX('ECOMMERS SALES'!$A:$J,MATCH('index match'!$A14,'ECOMMERS SALES'!$C:$C,0),MATCH('index match'!E$1,ECOMMERS_SALES[#Headers],0))</f>
        <v>1</v>
      </c>
      <c r="F14">
        <f>INDEX('ECOMMERS SALES'!$A:$J,MATCH('index match'!$A14,'ECOMMERS SALES'!$C:$C,0),MATCH('index match'!F$1,ECOMMERS_SALES[#Headers],0))</f>
        <v>4736</v>
      </c>
      <c r="G14">
        <f>INDEX('ECOMMERS SALES'!$A:$J,MATCH('index match'!$A14,'ECOMMERS SALES'!$C:$C,0),MATCH('index match'!G$1,ECOMMERS_SALES[#Headers],0))</f>
        <v>4736</v>
      </c>
      <c r="H14" t="str">
        <f>INDEX('ECOMMERS SALES'!$A:$J,MATCH('index match'!$A14,'ECOMMERS SALES'!$C:$C,0),MATCH('index match'!H$1,ECOMMERS_SALES[#Headers],0))</f>
        <v>Chennai</v>
      </c>
      <c r="I14" t="str">
        <f>INDEX('ECOMMERS SALES'!$A:$J,MATCH('index match'!$A14,'ECOMMERS SALES'!$C:$C,0),MATCH('index match'!I$1,ECOMMERS_SALES[#Headers],0))</f>
        <v>New</v>
      </c>
      <c r="J14" t="str">
        <f>INDEX('ECOMMERS SALES'!$A:$J,MATCH('index match'!$A14,'ECOMMERS SALES'!$C:$C,0),MATCH('index match'!J$1,ECOMMERS_SALES[#Headers],0))</f>
        <v>UPI</v>
      </c>
    </row>
    <row r="15" spans="1:10" x14ac:dyDescent="0.35">
      <c r="A15" t="s">
        <v>25</v>
      </c>
      <c r="B15">
        <f>INDEX('ECOMMERS SALES'!$A:$J,MATCH('index match'!$A15,'ECOMMERS SALES'!$C:$C,0),MATCH('index match'!B$1,ECOMMERS_SALES[#Headers],0))</f>
        <v>1004</v>
      </c>
      <c r="C15" t="str">
        <f>INDEX('ECOMMERS SALES'!$A:$J,MATCH('index match'!$A15,'ECOMMERS SALES'!$C:$C,0),MATCH('index match'!C$1,ECOMMERS_SALES[#Headers],0))</f>
        <v>05-01-2025</v>
      </c>
      <c r="D15" t="str">
        <f>INDEX('ECOMMERS SALES'!$A:$J,MATCH('index match'!$A15,'ECOMMERS SALES'!$C:$C,0),MATCH('index match'!D$1,ECOMMERS_SALES[#Headers],0))</f>
        <v>Other</v>
      </c>
      <c r="E15">
        <f>INDEX('ECOMMERS SALES'!$A:$J,MATCH('index match'!$A15,'ECOMMERS SALES'!$C:$C,0),MATCH('index match'!E$1,ECOMMERS_SALES[#Headers],0))</f>
        <v>2</v>
      </c>
      <c r="F15">
        <f>INDEX('ECOMMERS SALES'!$A:$J,MATCH('index match'!$A15,'ECOMMERS SALES'!$C:$C,0),MATCH('index match'!F$1,ECOMMERS_SALES[#Headers],0))</f>
        <v>10072</v>
      </c>
      <c r="G15">
        <f>INDEX('ECOMMERS SALES'!$A:$J,MATCH('index match'!$A15,'ECOMMERS SALES'!$C:$C,0),MATCH('index match'!G$1,ECOMMERS_SALES[#Headers],0))</f>
        <v>20144</v>
      </c>
      <c r="H15" t="str">
        <f>INDEX('ECOMMERS SALES'!$A:$J,MATCH('index match'!$A15,'ECOMMERS SALES'!$C:$C,0),MATCH('index match'!H$1,ECOMMERS_SALES[#Headers],0))</f>
        <v>Pune</v>
      </c>
      <c r="I15" t="str">
        <f>INDEX('ECOMMERS SALES'!$A:$J,MATCH('index match'!$A15,'ECOMMERS SALES'!$C:$C,0),MATCH('index match'!I$1,ECOMMERS_SALES[#Headers],0))</f>
        <v>Premimum</v>
      </c>
      <c r="J15" t="str">
        <f>INDEX('ECOMMERS SALES'!$A:$J,MATCH('index match'!$A15,'ECOMMERS SALES'!$C:$C,0),MATCH('index match'!J$1,ECOMMERS_SALES[#Headers],0))</f>
        <v>Card</v>
      </c>
    </row>
    <row r="16" spans="1:10" x14ac:dyDescent="0.35">
      <c r="A16" t="s">
        <v>29</v>
      </c>
      <c r="B16">
        <f>INDEX('ECOMMERS SALES'!$A:$J,MATCH('index match'!$A16,'ECOMMERS SALES'!$C:$C,0),MATCH('index match'!B$1,ECOMMERS_SALES[#Headers],0))</f>
        <v>1005</v>
      </c>
      <c r="C16" t="str">
        <f>INDEX('ECOMMERS SALES'!$A:$J,MATCH('index match'!$A16,'ECOMMERS SALES'!$C:$C,0),MATCH('index match'!C$1,ECOMMERS_SALES[#Headers],0))</f>
        <v>06-01-2025</v>
      </c>
      <c r="D16" t="str">
        <f>INDEX('ECOMMERS SALES'!$A:$J,MATCH('index match'!$A16,'ECOMMERS SALES'!$C:$C,0),MATCH('index match'!D$1,ECOMMERS_SALES[#Headers],0))</f>
        <v>Other</v>
      </c>
      <c r="E16">
        <f>INDEX('ECOMMERS SALES'!$A:$J,MATCH('index match'!$A16,'ECOMMERS SALES'!$C:$C,0),MATCH('index match'!E$1,ECOMMERS_SALES[#Headers],0))</f>
        <v>2</v>
      </c>
      <c r="F16">
        <f>INDEX('ECOMMERS SALES'!$A:$J,MATCH('index match'!$A16,'ECOMMERS SALES'!$C:$C,0),MATCH('index match'!F$1,ECOMMERS_SALES[#Headers],0))</f>
        <v>920</v>
      </c>
      <c r="G16">
        <f>INDEX('ECOMMERS SALES'!$A:$J,MATCH('index match'!$A16,'ECOMMERS SALES'!$C:$C,0),MATCH('index match'!G$1,ECOMMERS_SALES[#Headers],0))</f>
        <v>1840</v>
      </c>
      <c r="H16" t="str">
        <f>INDEX('ECOMMERS SALES'!$A:$J,MATCH('index match'!$A16,'ECOMMERS SALES'!$C:$C,0),MATCH('index match'!H$1,ECOMMERS_SALES[#Headers],0))</f>
        <v>Pune</v>
      </c>
      <c r="I16" t="str">
        <f>INDEX('ECOMMERS SALES'!$A:$J,MATCH('index match'!$A16,'ECOMMERS SALES'!$C:$C,0),MATCH('index match'!I$1,ECOMMERS_SALES[#Headers],0))</f>
        <v>New</v>
      </c>
      <c r="J16" t="str">
        <f>INDEX('ECOMMERS SALES'!$A:$J,MATCH('index match'!$A16,'ECOMMERS SALES'!$C:$C,0),MATCH('index match'!J$1,ECOMMERS_SALES[#Headers],0))</f>
        <v>UPI</v>
      </c>
    </row>
    <row r="17" spans="1:10" x14ac:dyDescent="0.35">
      <c r="A17" t="s">
        <v>31</v>
      </c>
      <c r="B17">
        <f>INDEX('ECOMMERS SALES'!$A:$J,MATCH('index match'!$A17,'ECOMMERS SALES'!$C:$C,0),MATCH('index match'!B$1,ECOMMERS_SALES[#Headers],0))</f>
        <v>1006</v>
      </c>
      <c r="C17" t="str">
        <f>INDEX('ECOMMERS SALES'!$A:$J,MATCH('index match'!$A17,'ECOMMERS SALES'!$C:$C,0),MATCH('index match'!C$1,ECOMMERS_SALES[#Headers],0))</f>
        <v>07-01-2025</v>
      </c>
      <c r="D17" t="str">
        <f>INDEX('ECOMMERS SALES'!$A:$J,MATCH('index match'!$A17,'ECOMMERS SALES'!$C:$C,0),MATCH('index match'!D$1,ECOMMERS_SALES[#Headers],0))</f>
        <v>Electronics</v>
      </c>
      <c r="E17">
        <f>INDEX('ECOMMERS SALES'!$A:$J,MATCH('index match'!$A17,'ECOMMERS SALES'!$C:$C,0),MATCH('index match'!E$1,ECOMMERS_SALES[#Headers],0))</f>
        <v>1</v>
      </c>
      <c r="F17">
        <f>INDEX('ECOMMERS SALES'!$A:$J,MATCH('index match'!$A17,'ECOMMERS SALES'!$C:$C,0),MATCH('index match'!F$1,ECOMMERS_SALES[#Headers],0))</f>
        <v>13225</v>
      </c>
      <c r="G17">
        <f>INDEX('ECOMMERS SALES'!$A:$J,MATCH('index match'!$A17,'ECOMMERS SALES'!$C:$C,0),MATCH('index match'!G$1,ECOMMERS_SALES[#Headers],0))</f>
        <v>13225</v>
      </c>
      <c r="H17" t="str">
        <f>INDEX('ECOMMERS SALES'!$A:$J,MATCH('index match'!$A17,'ECOMMERS SALES'!$C:$C,0),MATCH('index match'!H$1,ECOMMERS_SALES[#Headers],0))</f>
        <v>Delhi</v>
      </c>
      <c r="I17" t="str">
        <f>INDEX('ECOMMERS SALES'!$A:$J,MATCH('index match'!$A17,'ECOMMERS SALES'!$C:$C,0),MATCH('index match'!I$1,ECOMMERS_SALES[#Headers],0))</f>
        <v>Returning</v>
      </c>
      <c r="J17" t="str">
        <f>INDEX('ECOMMERS SALES'!$A:$J,MATCH('index match'!$A17,'ECOMMERS SALES'!$C:$C,0),MATCH('index match'!J$1,ECOMMERS_SALES[#Headers],0))</f>
        <v>COD</v>
      </c>
    </row>
    <row r="18" spans="1:10" x14ac:dyDescent="0.35">
      <c r="A18" t="s">
        <v>35</v>
      </c>
      <c r="B18">
        <f>INDEX('ECOMMERS SALES'!$A:$J,MATCH('index match'!$A18,'ECOMMERS SALES'!$C:$C,0),MATCH('index match'!B$1,ECOMMERS_SALES[#Headers],0))</f>
        <v>1007</v>
      </c>
      <c r="C18" t="str">
        <f>INDEX('ECOMMERS SALES'!$A:$J,MATCH('index match'!$A18,'ECOMMERS SALES'!$C:$C,0),MATCH('index match'!C$1,ECOMMERS_SALES[#Headers],0))</f>
        <v>08-01-2025</v>
      </c>
      <c r="D18" t="str">
        <f>INDEX('ECOMMERS SALES'!$A:$J,MATCH('index match'!$A18,'ECOMMERS SALES'!$C:$C,0),MATCH('index match'!D$1,ECOMMERS_SALES[#Headers],0))</f>
        <v>Books</v>
      </c>
      <c r="E18">
        <f>INDEX('ECOMMERS SALES'!$A:$J,MATCH('index match'!$A18,'ECOMMERS SALES'!$C:$C,0),MATCH('index match'!E$1,ECOMMERS_SALES[#Headers],0))</f>
        <v>3</v>
      </c>
      <c r="F18">
        <f>INDEX('ECOMMERS SALES'!$A:$J,MATCH('index match'!$A18,'ECOMMERS SALES'!$C:$C,0),MATCH('index match'!F$1,ECOMMERS_SALES[#Headers],0))</f>
        <v>621</v>
      </c>
      <c r="G18">
        <f>INDEX('ECOMMERS SALES'!$A:$J,MATCH('index match'!$A18,'ECOMMERS SALES'!$C:$C,0),MATCH('index match'!G$1,ECOMMERS_SALES[#Headers],0))</f>
        <v>1863</v>
      </c>
      <c r="H18" t="str">
        <f>INDEX('ECOMMERS SALES'!$A:$J,MATCH('index match'!$A18,'ECOMMERS SALES'!$C:$C,0),MATCH('index match'!H$1,ECOMMERS_SALES[#Headers],0))</f>
        <v>Hyderabad</v>
      </c>
      <c r="I18" t="str">
        <f>INDEX('ECOMMERS SALES'!$A:$J,MATCH('index match'!$A18,'ECOMMERS SALES'!$C:$C,0),MATCH('index match'!I$1,ECOMMERS_SALES[#Headers],0))</f>
        <v>Premimum</v>
      </c>
      <c r="J18" t="str">
        <f>INDEX('ECOMMERS SALES'!$A:$J,MATCH('index match'!$A18,'ECOMMERS SALES'!$C:$C,0),MATCH('index match'!J$1,ECOMMERS_SALES[#Headers],0))</f>
        <v>UPI</v>
      </c>
    </row>
    <row r="19" spans="1:10" x14ac:dyDescent="0.35">
      <c r="A19" t="s">
        <v>39</v>
      </c>
      <c r="B19">
        <f>INDEX('ECOMMERS SALES'!$A:$J,MATCH('index match'!$A19,'ECOMMERS SALES'!$C:$C,0),MATCH('index match'!B$1,ECOMMERS_SALES[#Headers],0))</f>
        <v>1008</v>
      </c>
      <c r="C19" t="str">
        <f>INDEX('ECOMMERS SALES'!$A:$J,MATCH('index match'!$A19,'ECOMMERS SALES'!$C:$C,0),MATCH('index match'!C$1,ECOMMERS_SALES[#Headers],0))</f>
        <v>09-01-2025</v>
      </c>
      <c r="D19" t="str">
        <f>INDEX('ECOMMERS SALES'!$A:$J,MATCH('index match'!$A19,'ECOMMERS SALES'!$C:$C,0),MATCH('index match'!D$1,ECOMMERS_SALES[#Headers],0))</f>
        <v>Fashion</v>
      </c>
      <c r="E19">
        <f>INDEX('ECOMMERS SALES'!$A:$J,MATCH('index match'!$A19,'ECOMMERS SALES'!$C:$C,0),MATCH('index match'!E$1,ECOMMERS_SALES[#Headers],0))</f>
        <v>2</v>
      </c>
      <c r="F19">
        <f>INDEX('ECOMMERS SALES'!$A:$J,MATCH('index match'!$A19,'ECOMMERS SALES'!$C:$C,0),MATCH('index match'!F$1,ECOMMERS_SALES[#Headers],0))</f>
        <v>905</v>
      </c>
      <c r="G19">
        <f>INDEX('ECOMMERS SALES'!$A:$J,MATCH('index match'!$A19,'ECOMMERS SALES'!$C:$C,0),MATCH('index match'!G$1,ECOMMERS_SALES[#Headers],0))</f>
        <v>1810</v>
      </c>
      <c r="H19" t="str">
        <f>INDEX('ECOMMERS SALES'!$A:$J,MATCH('index match'!$A19,'ECOMMERS SALES'!$C:$C,0),MATCH('index match'!H$1,ECOMMERS_SALES[#Headers],0))</f>
        <v>Bangalore</v>
      </c>
      <c r="I19" t="str">
        <f>INDEX('ECOMMERS SALES'!$A:$J,MATCH('index match'!$A19,'ECOMMERS SALES'!$C:$C,0),MATCH('index match'!I$1,ECOMMERS_SALES[#Headers],0))</f>
        <v>New</v>
      </c>
      <c r="J19" t="str">
        <f>INDEX('ECOMMERS SALES'!$A:$J,MATCH('index match'!$A19,'ECOMMERS SALES'!$C:$C,0),MATCH('index match'!J$1,ECOMMERS_SALES[#Headers],0))</f>
        <v>COD</v>
      </c>
    </row>
    <row r="20" spans="1:10" x14ac:dyDescent="0.35">
      <c r="A20" t="s">
        <v>42</v>
      </c>
      <c r="B20">
        <f>INDEX('ECOMMERS SALES'!$A:$J,MATCH('index match'!$A20,'ECOMMERS SALES'!$C:$C,0),MATCH('index match'!B$1,ECOMMERS_SALES[#Headers],0))</f>
        <v>1009</v>
      </c>
      <c r="C20" t="str">
        <f>INDEX('ECOMMERS SALES'!$A:$J,MATCH('index match'!$A20,'ECOMMERS SALES'!$C:$C,0),MATCH('index match'!C$1,ECOMMERS_SALES[#Headers],0))</f>
        <v>10-01-2025</v>
      </c>
      <c r="D20" t="str">
        <f>INDEX('ECOMMERS SALES'!$A:$J,MATCH('index match'!$A20,'ECOMMERS SALES'!$C:$C,0),MATCH('index match'!D$1,ECOMMERS_SALES[#Headers],0))</f>
        <v>Electronics</v>
      </c>
      <c r="E20">
        <f>INDEX('ECOMMERS SALES'!$A:$J,MATCH('index match'!$A20,'ECOMMERS SALES'!$C:$C,0),MATCH('index match'!E$1,ECOMMERS_SALES[#Headers],0))</f>
        <v>1</v>
      </c>
      <c r="F20">
        <f>INDEX('ECOMMERS SALES'!$A:$J,MATCH('index match'!$A20,'ECOMMERS SALES'!$C:$C,0),MATCH('index match'!F$1,ECOMMERS_SALES[#Headers],0))</f>
        <v>8563</v>
      </c>
      <c r="G20">
        <f>INDEX('ECOMMERS SALES'!$A:$J,MATCH('index match'!$A20,'ECOMMERS SALES'!$C:$C,0),MATCH('index match'!G$1,ECOMMERS_SALES[#Headers],0))</f>
        <v>8563</v>
      </c>
      <c r="H20" t="str">
        <f>INDEX('ECOMMERS SALES'!$A:$J,MATCH('index match'!$A20,'ECOMMERS SALES'!$C:$C,0),MATCH('index match'!H$1,ECOMMERS_SALES[#Headers],0))</f>
        <v>Hyderabad</v>
      </c>
      <c r="I20" t="str">
        <f>INDEX('ECOMMERS SALES'!$A:$J,MATCH('index match'!$A20,'ECOMMERS SALES'!$C:$C,0),MATCH('index match'!I$1,ECOMMERS_SALES[#Headers],0))</f>
        <v>Returning</v>
      </c>
      <c r="J20" t="str">
        <f>INDEX('ECOMMERS SALES'!$A:$J,MATCH('index match'!$A20,'ECOMMERS SALES'!$C:$C,0),MATCH('index match'!J$1,ECOMMERS_SALES[#Headers],0))</f>
        <v>Card</v>
      </c>
    </row>
    <row r="21" spans="1:10" x14ac:dyDescent="0.35">
      <c r="A21" t="s">
        <v>44</v>
      </c>
      <c r="B21">
        <f>INDEX('ECOMMERS SALES'!$A:$J,MATCH('index match'!$A21,'ECOMMERS SALES'!$C:$C,0),MATCH('index match'!B$1,ECOMMERS_SALES[#Headers],0))</f>
        <v>1010</v>
      </c>
      <c r="C21" t="str">
        <f>INDEX('ECOMMERS SALES'!$A:$J,MATCH('index match'!$A21,'ECOMMERS SALES'!$C:$C,0),MATCH('index match'!C$1,ECOMMERS_SALES[#Headers],0))</f>
        <v>11-01-2025</v>
      </c>
      <c r="D21" t="str">
        <f>INDEX('ECOMMERS SALES'!$A:$J,MATCH('index match'!$A21,'ECOMMERS SALES'!$C:$C,0),MATCH('index match'!D$1,ECOMMERS_SALES[#Headers],0))</f>
        <v>Other</v>
      </c>
      <c r="E21">
        <f>INDEX('ECOMMERS SALES'!$A:$J,MATCH('index match'!$A21,'ECOMMERS SALES'!$C:$C,0),MATCH('index match'!E$1,ECOMMERS_SALES[#Headers],0))</f>
        <v>1</v>
      </c>
      <c r="F21">
        <f>INDEX('ECOMMERS SALES'!$A:$J,MATCH('index match'!$A21,'ECOMMERS SALES'!$C:$C,0),MATCH('index match'!F$1,ECOMMERS_SALES[#Headers],0))</f>
        <v>268</v>
      </c>
      <c r="G21">
        <f>INDEX('ECOMMERS SALES'!$A:$J,MATCH('index match'!$A21,'ECOMMERS SALES'!$C:$C,0),MATCH('index match'!G$1,ECOMMERS_SALES[#Headers],0))</f>
        <v>268</v>
      </c>
      <c r="H21" t="str">
        <f>INDEX('ECOMMERS SALES'!$A:$J,MATCH('index match'!$A21,'ECOMMERS SALES'!$C:$C,0),MATCH('index match'!H$1,ECOMMERS_SALES[#Headers],0))</f>
        <v>Chennai</v>
      </c>
      <c r="I21" t="str">
        <f>INDEX('ECOMMERS SALES'!$A:$J,MATCH('index match'!$A21,'ECOMMERS SALES'!$C:$C,0),MATCH('index match'!I$1,ECOMMERS_SALES[#Headers],0))</f>
        <v>New</v>
      </c>
      <c r="J21" t="str">
        <f>INDEX('ECOMMERS SALES'!$A:$J,MATCH('index match'!$A21,'ECOMMERS SALES'!$C:$C,0),MATCH('index match'!J$1,ECOMMERS_SALES[#Headers],0))</f>
        <v>UPI</v>
      </c>
    </row>
    <row r="22" spans="1:10" x14ac:dyDescent="0.35">
      <c r="A22" t="s">
        <v>11</v>
      </c>
      <c r="B22">
        <f>INDEX('ECOMMERS SALES'!$A:$J,MATCH('index match'!$A22,'ECOMMERS SALES'!$C:$C,0),MATCH('index match'!B$1,ECOMMERS_SALES[#Headers],0))</f>
        <v>1001</v>
      </c>
      <c r="C22" t="str">
        <f>INDEX('ECOMMERS SALES'!$A:$J,MATCH('index match'!$A22,'ECOMMERS SALES'!$C:$C,0),MATCH('index match'!C$1,ECOMMERS_SALES[#Headers],0))</f>
        <v>02-01-2025</v>
      </c>
      <c r="D22" t="str">
        <f>INDEX('ECOMMERS SALES'!$A:$J,MATCH('index match'!$A22,'ECOMMERS SALES'!$C:$C,0),MATCH('index match'!D$1,ECOMMERS_SALES[#Headers],0))</f>
        <v>Electronics</v>
      </c>
      <c r="E22">
        <f>INDEX('ECOMMERS SALES'!$A:$J,MATCH('index match'!$A22,'ECOMMERS SALES'!$C:$C,0),MATCH('index match'!E$1,ECOMMERS_SALES[#Headers],0))</f>
        <v>2</v>
      </c>
      <c r="F22">
        <f>INDEX('ECOMMERS SALES'!$A:$J,MATCH('index match'!$A22,'ECOMMERS SALES'!$C:$C,0),MATCH('index match'!F$1,ECOMMERS_SALES[#Headers],0))</f>
        <v>50353</v>
      </c>
      <c r="G22">
        <f>INDEX('ECOMMERS SALES'!$A:$J,MATCH('index match'!$A22,'ECOMMERS SALES'!$C:$C,0),MATCH('index match'!G$1,ECOMMERS_SALES[#Headers],0))</f>
        <v>100706</v>
      </c>
      <c r="H22" t="str">
        <f>INDEX('ECOMMERS SALES'!$A:$J,MATCH('index match'!$A22,'ECOMMERS SALES'!$C:$C,0),MATCH('index match'!H$1,ECOMMERS_SALES[#Headers],0))</f>
        <v>Chennai</v>
      </c>
      <c r="I22" t="str">
        <f>INDEX('ECOMMERS SALES'!$A:$J,MATCH('index match'!$A22,'ECOMMERS SALES'!$C:$C,0),MATCH('index match'!I$1,ECOMMERS_SALES[#Headers],0))</f>
        <v>Premimum</v>
      </c>
      <c r="J22" t="str">
        <f>INDEX('ECOMMERS SALES'!$A:$J,MATCH('index match'!$A22,'ECOMMERS SALES'!$C:$C,0),MATCH('index match'!J$1,ECOMMERS_SALES[#Headers],0))</f>
        <v>Card</v>
      </c>
    </row>
    <row r="23" spans="1:10" x14ac:dyDescent="0.35">
      <c r="A23" t="s">
        <v>17</v>
      </c>
      <c r="B23">
        <f>INDEX('ECOMMERS SALES'!$A:$J,MATCH('index match'!$A23,'ECOMMERS SALES'!$C:$C,0),MATCH('index match'!B$1,ECOMMERS_SALES[#Headers],0))</f>
        <v>1002</v>
      </c>
      <c r="C23" t="str">
        <f>INDEX('ECOMMERS SALES'!$A:$J,MATCH('index match'!$A23,'ECOMMERS SALES'!$C:$C,0),MATCH('index match'!C$1,ECOMMERS_SALES[#Headers],0))</f>
        <v>03-01-2025</v>
      </c>
      <c r="D23" t="str">
        <f>INDEX('ECOMMERS SALES'!$A:$J,MATCH('index match'!$A23,'ECOMMERS SALES'!$C:$C,0),MATCH('index match'!D$1,ECOMMERS_SALES[#Headers],0))</f>
        <v>Electronics</v>
      </c>
      <c r="E23">
        <f>INDEX('ECOMMERS SALES'!$A:$J,MATCH('index match'!$A23,'ECOMMERS SALES'!$C:$C,0),MATCH('index match'!E$1,ECOMMERS_SALES[#Headers],0))</f>
        <v>2</v>
      </c>
      <c r="F23">
        <f>INDEX('ECOMMERS SALES'!$A:$J,MATCH('index match'!$A23,'ECOMMERS SALES'!$C:$C,0),MATCH('index match'!F$1,ECOMMERS_SALES[#Headers],0))</f>
        <v>2008</v>
      </c>
      <c r="G23">
        <f>INDEX('ECOMMERS SALES'!$A:$J,MATCH('index match'!$A23,'ECOMMERS SALES'!$C:$C,0),MATCH('index match'!G$1,ECOMMERS_SALES[#Headers],0))</f>
        <v>4016</v>
      </c>
      <c r="H23" t="str">
        <f>INDEX('ECOMMERS SALES'!$A:$J,MATCH('index match'!$A23,'ECOMMERS SALES'!$C:$C,0),MATCH('index match'!H$1,ECOMMERS_SALES[#Headers],0))</f>
        <v>Delhi</v>
      </c>
      <c r="I23" t="str">
        <f>INDEX('ECOMMERS SALES'!$A:$J,MATCH('index match'!$A23,'ECOMMERS SALES'!$C:$C,0),MATCH('index match'!I$1,ECOMMERS_SALES[#Headers],0))</f>
        <v>New</v>
      </c>
      <c r="J23" t="str">
        <f>INDEX('ECOMMERS SALES'!$A:$J,MATCH('index match'!$A23,'ECOMMERS SALES'!$C:$C,0),MATCH('index match'!J$1,ECOMMERS_SALES[#Headers],0))</f>
        <v>UPI</v>
      </c>
    </row>
    <row r="24" spans="1:10" x14ac:dyDescent="0.35">
      <c r="A24" t="s">
        <v>22</v>
      </c>
      <c r="B24">
        <f>INDEX('ECOMMERS SALES'!$A:$J,MATCH('index match'!$A24,'ECOMMERS SALES'!$C:$C,0),MATCH('index match'!B$1,ECOMMERS_SALES[#Headers],0))</f>
        <v>1003</v>
      </c>
      <c r="C24" t="str">
        <f>INDEX('ECOMMERS SALES'!$A:$J,MATCH('index match'!$A24,'ECOMMERS SALES'!$C:$C,0),MATCH('index match'!C$1,ECOMMERS_SALES[#Headers],0))</f>
        <v>04-01-2025</v>
      </c>
      <c r="D24" t="str">
        <f>INDEX('ECOMMERS SALES'!$A:$J,MATCH('index match'!$A24,'ECOMMERS SALES'!$C:$C,0),MATCH('index match'!D$1,ECOMMERS_SALES[#Headers],0))</f>
        <v>Fashion</v>
      </c>
      <c r="E24">
        <f>INDEX('ECOMMERS SALES'!$A:$J,MATCH('index match'!$A24,'ECOMMERS SALES'!$C:$C,0),MATCH('index match'!E$1,ECOMMERS_SALES[#Headers],0))</f>
        <v>1</v>
      </c>
      <c r="F24">
        <f>INDEX('ECOMMERS SALES'!$A:$J,MATCH('index match'!$A24,'ECOMMERS SALES'!$C:$C,0),MATCH('index match'!F$1,ECOMMERS_SALES[#Headers],0))</f>
        <v>4736</v>
      </c>
      <c r="G24">
        <f>INDEX('ECOMMERS SALES'!$A:$J,MATCH('index match'!$A24,'ECOMMERS SALES'!$C:$C,0),MATCH('index match'!G$1,ECOMMERS_SALES[#Headers],0))</f>
        <v>4736</v>
      </c>
      <c r="H24" t="str">
        <f>INDEX('ECOMMERS SALES'!$A:$J,MATCH('index match'!$A24,'ECOMMERS SALES'!$C:$C,0),MATCH('index match'!H$1,ECOMMERS_SALES[#Headers],0))</f>
        <v>Chennai</v>
      </c>
      <c r="I24" t="str">
        <f>INDEX('ECOMMERS SALES'!$A:$J,MATCH('index match'!$A24,'ECOMMERS SALES'!$C:$C,0),MATCH('index match'!I$1,ECOMMERS_SALES[#Headers],0))</f>
        <v>New</v>
      </c>
      <c r="J24" t="str">
        <f>INDEX('ECOMMERS SALES'!$A:$J,MATCH('index match'!$A24,'ECOMMERS SALES'!$C:$C,0),MATCH('index match'!J$1,ECOMMERS_SALES[#Headers],0))</f>
        <v>UPI</v>
      </c>
    </row>
    <row r="25" spans="1:10" x14ac:dyDescent="0.35">
      <c r="A25" t="s">
        <v>25</v>
      </c>
      <c r="B25">
        <f>INDEX('ECOMMERS SALES'!$A:$J,MATCH('index match'!$A25,'ECOMMERS SALES'!$C:$C,0),MATCH('index match'!B$1,ECOMMERS_SALES[#Headers],0))</f>
        <v>1004</v>
      </c>
      <c r="C25" t="str">
        <f>INDEX('ECOMMERS SALES'!$A:$J,MATCH('index match'!$A25,'ECOMMERS SALES'!$C:$C,0),MATCH('index match'!C$1,ECOMMERS_SALES[#Headers],0))</f>
        <v>05-01-2025</v>
      </c>
      <c r="D25" t="str">
        <f>INDEX('ECOMMERS SALES'!$A:$J,MATCH('index match'!$A25,'ECOMMERS SALES'!$C:$C,0),MATCH('index match'!D$1,ECOMMERS_SALES[#Headers],0))</f>
        <v>Other</v>
      </c>
      <c r="E25">
        <f>INDEX('ECOMMERS SALES'!$A:$J,MATCH('index match'!$A25,'ECOMMERS SALES'!$C:$C,0),MATCH('index match'!E$1,ECOMMERS_SALES[#Headers],0))</f>
        <v>2</v>
      </c>
      <c r="F25">
        <f>INDEX('ECOMMERS SALES'!$A:$J,MATCH('index match'!$A25,'ECOMMERS SALES'!$C:$C,0),MATCH('index match'!F$1,ECOMMERS_SALES[#Headers],0))</f>
        <v>10072</v>
      </c>
      <c r="G25">
        <f>INDEX('ECOMMERS SALES'!$A:$J,MATCH('index match'!$A25,'ECOMMERS SALES'!$C:$C,0),MATCH('index match'!G$1,ECOMMERS_SALES[#Headers],0))</f>
        <v>20144</v>
      </c>
      <c r="H25" t="str">
        <f>INDEX('ECOMMERS SALES'!$A:$J,MATCH('index match'!$A25,'ECOMMERS SALES'!$C:$C,0),MATCH('index match'!H$1,ECOMMERS_SALES[#Headers],0))</f>
        <v>Pune</v>
      </c>
      <c r="I25" t="str">
        <f>INDEX('ECOMMERS SALES'!$A:$J,MATCH('index match'!$A25,'ECOMMERS SALES'!$C:$C,0),MATCH('index match'!I$1,ECOMMERS_SALES[#Headers],0))</f>
        <v>Premimum</v>
      </c>
      <c r="J25" t="str">
        <f>INDEX('ECOMMERS SALES'!$A:$J,MATCH('index match'!$A25,'ECOMMERS SALES'!$C:$C,0),MATCH('index match'!J$1,ECOMMERS_SALES[#Headers],0))</f>
        <v>Card</v>
      </c>
    </row>
    <row r="26" spans="1:10" x14ac:dyDescent="0.35">
      <c r="A26" t="s">
        <v>29</v>
      </c>
      <c r="B26">
        <f>INDEX('ECOMMERS SALES'!$A:$J,MATCH('index match'!$A26,'ECOMMERS SALES'!$C:$C,0),MATCH('index match'!B$1,ECOMMERS_SALES[#Headers],0))</f>
        <v>1005</v>
      </c>
      <c r="C26" t="str">
        <f>INDEX('ECOMMERS SALES'!$A:$J,MATCH('index match'!$A26,'ECOMMERS SALES'!$C:$C,0),MATCH('index match'!C$1,ECOMMERS_SALES[#Headers],0))</f>
        <v>06-01-2025</v>
      </c>
      <c r="D26" t="str">
        <f>INDEX('ECOMMERS SALES'!$A:$J,MATCH('index match'!$A26,'ECOMMERS SALES'!$C:$C,0),MATCH('index match'!D$1,ECOMMERS_SALES[#Headers],0))</f>
        <v>Other</v>
      </c>
      <c r="E26">
        <f>INDEX('ECOMMERS SALES'!$A:$J,MATCH('index match'!$A26,'ECOMMERS SALES'!$C:$C,0),MATCH('index match'!E$1,ECOMMERS_SALES[#Headers],0))</f>
        <v>2</v>
      </c>
      <c r="F26">
        <f>INDEX('ECOMMERS SALES'!$A:$J,MATCH('index match'!$A26,'ECOMMERS SALES'!$C:$C,0),MATCH('index match'!F$1,ECOMMERS_SALES[#Headers],0))</f>
        <v>920</v>
      </c>
      <c r="G26">
        <f>INDEX('ECOMMERS SALES'!$A:$J,MATCH('index match'!$A26,'ECOMMERS SALES'!$C:$C,0),MATCH('index match'!G$1,ECOMMERS_SALES[#Headers],0))</f>
        <v>1840</v>
      </c>
      <c r="H26" t="str">
        <f>INDEX('ECOMMERS SALES'!$A:$J,MATCH('index match'!$A26,'ECOMMERS SALES'!$C:$C,0),MATCH('index match'!H$1,ECOMMERS_SALES[#Headers],0))</f>
        <v>Pune</v>
      </c>
      <c r="I26" t="str">
        <f>INDEX('ECOMMERS SALES'!$A:$J,MATCH('index match'!$A26,'ECOMMERS SALES'!$C:$C,0),MATCH('index match'!I$1,ECOMMERS_SALES[#Headers],0))</f>
        <v>New</v>
      </c>
      <c r="J26" t="str">
        <f>INDEX('ECOMMERS SALES'!$A:$J,MATCH('index match'!$A26,'ECOMMERS SALES'!$C:$C,0),MATCH('index match'!J$1,ECOMMERS_SALES[#Headers],0))</f>
        <v>UPI</v>
      </c>
    </row>
    <row r="27" spans="1:10" x14ac:dyDescent="0.35">
      <c r="A27" t="s">
        <v>31</v>
      </c>
      <c r="B27">
        <f>INDEX('ECOMMERS SALES'!$A:$J,MATCH('index match'!$A27,'ECOMMERS SALES'!$C:$C,0),MATCH('index match'!B$1,ECOMMERS_SALES[#Headers],0))</f>
        <v>1006</v>
      </c>
      <c r="C27" t="str">
        <f>INDEX('ECOMMERS SALES'!$A:$J,MATCH('index match'!$A27,'ECOMMERS SALES'!$C:$C,0),MATCH('index match'!C$1,ECOMMERS_SALES[#Headers],0))</f>
        <v>07-01-2025</v>
      </c>
      <c r="D27" t="str">
        <f>INDEX('ECOMMERS SALES'!$A:$J,MATCH('index match'!$A27,'ECOMMERS SALES'!$C:$C,0),MATCH('index match'!D$1,ECOMMERS_SALES[#Headers],0))</f>
        <v>Electronics</v>
      </c>
      <c r="E27">
        <f>INDEX('ECOMMERS SALES'!$A:$J,MATCH('index match'!$A27,'ECOMMERS SALES'!$C:$C,0),MATCH('index match'!E$1,ECOMMERS_SALES[#Headers],0))</f>
        <v>1</v>
      </c>
      <c r="F27">
        <f>INDEX('ECOMMERS SALES'!$A:$J,MATCH('index match'!$A27,'ECOMMERS SALES'!$C:$C,0),MATCH('index match'!F$1,ECOMMERS_SALES[#Headers],0))</f>
        <v>13225</v>
      </c>
      <c r="G27">
        <f>INDEX('ECOMMERS SALES'!$A:$J,MATCH('index match'!$A27,'ECOMMERS SALES'!$C:$C,0),MATCH('index match'!G$1,ECOMMERS_SALES[#Headers],0))</f>
        <v>13225</v>
      </c>
      <c r="H27" t="str">
        <f>INDEX('ECOMMERS SALES'!$A:$J,MATCH('index match'!$A27,'ECOMMERS SALES'!$C:$C,0),MATCH('index match'!H$1,ECOMMERS_SALES[#Headers],0))</f>
        <v>Delhi</v>
      </c>
      <c r="I27" t="str">
        <f>INDEX('ECOMMERS SALES'!$A:$J,MATCH('index match'!$A27,'ECOMMERS SALES'!$C:$C,0),MATCH('index match'!I$1,ECOMMERS_SALES[#Headers],0))</f>
        <v>Returning</v>
      </c>
      <c r="J27" t="str">
        <f>INDEX('ECOMMERS SALES'!$A:$J,MATCH('index match'!$A27,'ECOMMERS SALES'!$C:$C,0),MATCH('index match'!J$1,ECOMMERS_SALES[#Headers],0))</f>
        <v>COD</v>
      </c>
    </row>
    <row r="28" spans="1:10" x14ac:dyDescent="0.35">
      <c r="A28" t="s">
        <v>35</v>
      </c>
      <c r="B28">
        <f>INDEX('ECOMMERS SALES'!$A:$J,MATCH('index match'!$A28,'ECOMMERS SALES'!$C:$C,0),MATCH('index match'!B$1,ECOMMERS_SALES[#Headers],0))</f>
        <v>1007</v>
      </c>
      <c r="C28" t="str">
        <f>INDEX('ECOMMERS SALES'!$A:$J,MATCH('index match'!$A28,'ECOMMERS SALES'!$C:$C,0),MATCH('index match'!C$1,ECOMMERS_SALES[#Headers],0))</f>
        <v>08-01-2025</v>
      </c>
      <c r="D28" t="str">
        <f>INDEX('ECOMMERS SALES'!$A:$J,MATCH('index match'!$A28,'ECOMMERS SALES'!$C:$C,0),MATCH('index match'!D$1,ECOMMERS_SALES[#Headers],0))</f>
        <v>Books</v>
      </c>
      <c r="E28">
        <f>INDEX('ECOMMERS SALES'!$A:$J,MATCH('index match'!$A28,'ECOMMERS SALES'!$C:$C,0),MATCH('index match'!E$1,ECOMMERS_SALES[#Headers],0))</f>
        <v>3</v>
      </c>
      <c r="F28">
        <f>INDEX('ECOMMERS SALES'!$A:$J,MATCH('index match'!$A28,'ECOMMERS SALES'!$C:$C,0),MATCH('index match'!F$1,ECOMMERS_SALES[#Headers],0))</f>
        <v>621</v>
      </c>
      <c r="G28">
        <f>INDEX('ECOMMERS SALES'!$A:$J,MATCH('index match'!$A28,'ECOMMERS SALES'!$C:$C,0),MATCH('index match'!G$1,ECOMMERS_SALES[#Headers],0))</f>
        <v>1863</v>
      </c>
      <c r="H28" t="str">
        <f>INDEX('ECOMMERS SALES'!$A:$J,MATCH('index match'!$A28,'ECOMMERS SALES'!$C:$C,0),MATCH('index match'!H$1,ECOMMERS_SALES[#Headers],0))</f>
        <v>Hyderabad</v>
      </c>
      <c r="I28" t="str">
        <f>INDEX('ECOMMERS SALES'!$A:$J,MATCH('index match'!$A28,'ECOMMERS SALES'!$C:$C,0),MATCH('index match'!I$1,ECOMMERS_SALES[#Headers],0))</f>
        <v>Premimum</v>
      </c>
      <c r="J28" t="str">
        <f>INDEX('ECOMMERS SALES'!$A:$J,MATCH('index match'!$A28,'ECOMMERS SALES'!$C:$C,0),MATCH('index match'!J$1,ECOMMERS_SALES[#Headers],0))</f>
        <v>UPI</v>
      </c>
    </row>
    <row r="29" spans="1:10" x14ac:dyDescent="0.35">
      <c r="A29" t="s">
        <v>39</v>
      </c>
      <c r="B29">
        <f>INDEX('ECOMMERS SALES'!$A:$J,MATCH('index match'!$A29,'ECOMMERS SALES'!$C:$C,0),MATCH('index match'!B$1,ECOMMERS_SALES[#Headers],0))</f>
        <v>1008</v>
      </c>
      <c r="C29" t="str">
        <f>INDEX('ECOMMERS SALES'!$A:$J,MATCH('index match'!$A29,'ECOMMERS SALES'!$C:$C,0),MATCH('index match'!C$1,ECOMMERS_SALES[#Headers],0))</f>
        <v>09-01-2025</v>
      </c>
      <c r="D29" t="str">
        <f>INDEX('ECOMMERS SALES'!$A:$J,MATCH('index match'!$A29,'ECOMMERS SALES'!$C:$C,0),MATCH('index match'!D$1,ECOMMERS_SALES[#Headers],0))</f>
        <v>Fashion</v>
      </c>
      <c r="E29">
        <f>INDEX('ECOMMERS SALES'!$A:$J,MATCH('index match'!$A29,'ECOMMERS SALES'!$C:$C,0),MATCH('index match'!E$1,ECOMMERS_SALES[#Headers],0))</f>
        <v>2</v>
      </c>
      <c r="F29">
        <f>INDEX('ECOMMERS SALES'!$A:$J,MATCH('index match'!$A29,'ECOMMERS SALES'!$C:$C,0),MATCH('index match'!F$1,ECOMMERS_SALES[#Headers],0))</f>
        <v>905</v>
      </c>
      <c r="G29">
        <f>INDEX('ECOMMERS SALES'!$A:$J,MATCH('index match'!$A29,'ECOMMERS SALES'!$C:$C,0),MATCH('index match'!G$1,ECOMMERS_SALES[#Headers],0))</f>
        <v>1810</v>
      </c>
      <c r="H29" t="str">
        <f>INDEX('ECOMMERS SALES'!$A:$J,MATCH('index match'!$A29,'ECOMMERS SALES'!$C:$C,0),MATCH('index match'!H$1,ECOMMERS_SALES[#Headers],0))</f>
        <v>Bangalore</v>
      </c>
      <c r="I29" t="str">
        <f>INDEX('ECOMMERS SALES'!$A:$J,MATCH('index match'!$A29,'ECOMMERS SALES'!$C:$C,0),MATCH('index match'!I$1,ECOMMERS_SALES[#Headers],0))</f>
        <v>New</v>
      </c>
      <c r="J29" t="str">
        <f>INDEX('ECOMMERS SALES'!$A:$J,MATCH('index match'!$A29,'ECOMMERS SALES'!$C:$C,0),MATCH('index match'!J$1,ECOMMERS_SALES[#Headers],0))</f>
        <v>COD</v>
      </c>
    </row>
    <row r="30" spans="1:10" x14ac:dyDescent="0.35">
      <c r="A30" t="s">
        <v>42</v>
      </c>
      <c r="B30">
        <f>INDEX('ECOMMERS SALES'!$A:$J,MATCH('index match'!$A30,'ECOMMERS SALES'!$C:$C,0),MATCH('index match'!B$1,ECOMMERS_SALES[#Headers],0))</f>
        <v>1009</v>
      </c>
      <c r="C30" t="str">
        <f>INDEX('ECOMMERS SALES'!$A:$J,MATCH('index match'!$A30,'ECOMMERS SALES'!$C:$C,0),MATCH('index match'!C$1,ECOMMERS_SALES[#Headers],0))</f>
        <v>10-01-2025</v>
      </c>
      <c r="D30" t="str">
        <f>INDEX('ECOMMERS SALES'!$A:$J,MATCH('index match'!$A30,'ECOMMERS SALES'!$C:$C,0),MATCH('index match'!D$1,ECOMMERS_SALES[#Headers],0))</f>
        <v>Electronics</v>
      </c>
      <c r="E30">
        <f>INDEX('ECOMMERS SALES'!$A:$J,MATCH('index match'!$A30,'ECOMMERS SALES'!$C:$C,0),MATCH('index match'!E$1,ECOMMERS_SALES[#Headers],0))</f>
        <v>1</v>
      </c>
      <c r="F30">
        <f>INDEX('ECOMMERS SALES'!$A:$J,MATCH('index match'!$A30,'ECOMMERS SALES'!$C:$C,0),MATCH('index match'!F$1,ECOMMERS_SALES[#Headers],0))</f>
        <v>8563</v>
      </c>
      <c r="G30">
        <f>INDEX('ECOMMERS SALES'!$A:$J,MATCH('index match'!$A30,'ECOMMERS SALES'!$C:$C,0),MATCH('index match'!G$1,ECOMMERS_SALES[#Headers],0))</f>
        <v>8563</v>
      </c>
      <c r="H30" t="str">
        <f>INDEX('ECOMMERS SALES'!$A:$J,MATCH('index match'!$A30,'ECOMMERS SALES'!$C:$C,0),MATCH('index match'!H$1,ECOMMERS_SALES[#Headers],0))</f>
        <v>Hyderabad</v>
      </c>
      <c r="I30" t="str">
        <f>INDEX('ECOMMERS SALES'!$A:$J,MATCH('index match'!$A30,'ECOMMERS SALES'!$C:$C,0),MATCH('index match'!I$1,ECOMMERS_SALES[#Headers],0))</f>
        <v>Returning</v>
      </c>
      <c r="J30" t="str">
        <f>INDEX('ECOMMERS SALES'!$A:$J,MATCH('index match'!$A30,'ECOMMERS SALES'!$C:$C,0),MATCH('index match'!J$1,ECOMMERS_SALES[#Headers],0))</f>
        <v>Card</v>
      </c>
    </row>
    <row r="31" spans="1:10" x14ac:dyDescent="0.35">
      <c r="A31" t="s">
        <v>44</v>
      </c>
      <c r="B31">
        <f>INDEX('ECOMMERS SALES'!$A:$J,MATCH('index match'!$A31,'ECOMMERS SALES'!$C:$C,0),MATCH('index match'!B$1,ECOMMERS_SALES[#Headers],0))</f>
        <v>1010</v>
      </c>
      <c r="C31" t="str">
        <f>INDEX('ECOMMERS SALES'!$A:$J,MATCH('index match'!$A31,'ECOMMERS SALES'!$C:$C,0),MATCH('index match'!C$1,ECOMMERS_SALES[#Headers],0))</f>
        <v>11-01-2025</v>
      </c>
      <c r="D31" t="str">
        <f>INDEX('ECOMMERS SALES'!$A:$J,MATCH('index match'!$A31,'ECOMMERS SALES'!$C:$C,0),MATCH('index match'!D$1,ECOMMERS_SALES[#Headers],0))</f>
        <v>Other</v>
      </c>
      <c r="E31">
        <f>INDEX('ECOMMERS SALES'!$A:$J,MATCH('index match'!$A31,'ECOMMERS SALES'!$C:$C,0),MATCH('index match'!E$1,ECOMMERS_SALES[#Headers],0))</f>
        <v>1</v>
      </c>
      <c r="F31">
        <f>INDEX('ECOMMERS SALES'!$A:$J,MATCH('index match'!$A31,'ECOMMERS SALES'!$C:$C,0),MATCH('index match'!F$1,ECOMMERS_SALES[#Headers],0))</f>
        <v>268</v>
      </c>
      <c r="G31">
        <f>INDEX('ECOMMERS SALES'!$A:$J,MATCH('index match'!$A31,'ECOMMERS SALES'!$C:$C,0),MATCH('index match'!G$1,ECOMMERS_SALES[#Headers],0))</f>
        <v>268</v>
      </c>
      <c r="H31" t="str">
        <f>INDEX('ECOMMERS SALES'!$A:$J,MATCH('index match'!$A31,'ECOMMERS SALES'!$C:$C,0),MATCH('index match'!H$1,ECOMMERS_SALES[#Headers],0))</f>
        <v>Chennai</v>
      </c>
      <c r="I31" t="str">
        <f>INDEX('ECOMMERS SALES'!$A:$J,MATCH('index match'!$A31,'ECOMMERS SALES'!$C:$C,0),MATCH('index match'!I$1,ECOMMERS_SALES[#Headers],0))</f>
        <v>New</v>
      </c>
      <c r="J31" t="str">
        <f>INDEX('ECOMMERS SALES'!$A:$J,MATCH('index match'!$A31,'ECOMMERS SALES'!$C:$C,0),MATCH('index match'!J$1,ECOMMERS_SALES[#Headers],0))</f>
        <v>UPI</v>
      </c>
    </row>
    <row r="32" spans="1:10" x14ac:dyDescent="0.35">
      <c r="A32" t="s">
        <v>11</v>
      </c>
      <c r="B32">
        <f>INDEX('ECOMMERS SALES'!$A:$J,MATCH('index match'!$A32,'ECOMMERS SALES'!$C:$C,0),MATCH('index match'!B$1,ECOMMERS_SALES[#Headers],0))</f>
        <v>1001</v>
      </c>
      <c r="C32" t="str">
        <f>INDEX('ECOMMERS SALES'!$A:$J,MATCH('index match'!$A32,'ECOMMERS SALES'!$C:$C,0),MATCH('index match'!C$1,ECOMMERS_SALES[#Headers],0))</f>
        <v>02-01-2025</v>
      </c>
      <c r="D32" t="str">
        <f>INDEX('ECOMMERS SALES'!$A:$J,MATCH('index match'!$A32,'ECOMMERS SALES'!$C:$C,0),MATCH('index match'!D$1,ECOMMERS_SALES[#Headers],0))</f>
        <v>Electronics</v>
      </c>
      <c r="E32">
        <f>INDEX('ECOMMERS SALES'!$A:$J,MATCH('index match'!$A32,'ECOMMERS SALES'!$C:$C,0),MATCH('index match'!E$1,ECOMMERS_SALES[#Headers],0))</f>
        <v>2</v>
      </c>
      <c r="F32">
        <f>INDEX('ECOMMERS SALES'!$A:$J,MATCH('index match'!$A32,'ECOMMERS SALES'!$C:$C,0),MATCH('index match'!F$1,ECOMMERS_SALES[#Headers],0))</f>
        <v>50353</v>
      </c>
      <c r="G32">
        <f>INDEX('ECOMMERS SALES'!$A:$J,MATCH('index match'!$A32,'ECOMMERS SALES'!$C:$C,0),MATCH('index match'!G$1,ECOMMERS_SALES[#Headers],0))</f>
        <v>100706</v>
      </c>
      <c r="H32" t="str">
        <f>INDEX('ECOMMERS SALES'!$A:$J,MATCH('index match'!$A32,'ECOMMERS SALES'!$C:$C,0),MATCH('index match'!H$1,ECOMMERS_SALES[#Headers],0))</f>
        <v>Chennai</v>
      </c>
      <c r="I32" t="str">
        <f>INDEX('ECOMMERS SALES'!$A:$J,MATCH('index match'!$A32,'ECOMMERS SALES'!$C:$C,0),MATCH('index match'!I$1,ECOMMERS_SALES[#Headers],0))</f>
        <v>Premimum</v>
      </c>
      <c r="J32" t="str">
        <f>INDEX('ECOMMERS SALES'!$A:$J,MATCH('index match'!$A32,'ECOMMERS SALES'!$C:$C,0),MATCH('index match'!J$1,ECOMMERS_SALES[#Headers],0))</f>
        <v>Card</v>
      </c>
    </row>
    <row r="33" spans="1:10" x14ac:dyDescent="0.35">
      <c r="A33" t="s">
        <v>17</v>
      </c>
      <c r="B33">
        <f>INDEX('ECOMMERS SALES'!$A:$J,MATCH('index match'!$A33,'ECOMMERS SALES'!$C:$C,0),MATCH('index match'!B$1,ECOMMERS_SALES[#Headers],0))</f>
        <v>1002</v>
      </c>
      <c r="C33" t="str">
        <f>INDEX('ECOMMERS SALES'!$A:$J,MATCH('index match'!$A33,'ECOMMERS SALES'!$C:$C,0),MATCH('index match'!C$1,ECOMMERS_SALES[#Headers],0))</f>
        <v>03-01-2025</v>
      </c>
      <c r="D33" t="str">
        <f>INDEX('ECOMMERS SALES'!$A:$J,MATCH('index match'!$A33,'ECOMMERS SALES'!$C:$C,0),MATCH('index match'!D$1,ECOMMERS_SALES[#Headers],0))</f>
        <v>Electronics</v>
      </c>
      <c r="E33">
        <f>INDEX('ECOMMERS SALES'!$A:$J,MATCH('index match'!$A33,'ECOMMERS SALES'!$C:$C,0),MATCH('index match'!E$1,ECOMMERS_SALES[#Headers],0))</f>
        <v>2</v>
      </c>
      <c r="F33">
        <f>INDEX('ECOMMERS SALES'!$A:$J,MATCH('index match'!$A33,'ECOMMERS SALES'!$C:$C,0),MATCH('index match'!F$1,ECOMMERS_SALES[#Headers],0))</f>
        <v>2008</v>
      </c>
      <c r="G33">
        <f>INDEX('ECOMMERS SALES'!$A:$J,MATCH('index match'!$A33,'ECOMMERS SALES'!$C:$C,0),MATCH('index match'!G$1,ECOMMERS_SALES[#Headers],0))</f>
        <v>4016</v>
      </c>
      <c r="H33" t="str">
        <f>INDEX('ECOMMERS SALES'!$A:$J,MATCH('index match'!$A33,'ECOMMERS SALES'!$C:$C,0),MATCH('index match'!H$1,ECOMMERS_SALES[#Headers],0))</f>
        <v>Delhi</v>
      </c>
      <c r="I33" t="str">
        <f>INDEX('ECOMMERS SALES'!$A:$J,MATCH('index match'!$A33,'ECOMMERS SALES'!$C:$C,0),MATCH('index match'!I$1,ECOMMERS_SALES[#Headers],0))</f>
        <v>New</v>
      </c>
      <c r="J33" t="str">
        <f>INDEX('ECOMMERS SALES'!$A:$J,MATCH('index match'!$A33,'ECOMMERS SALES'!$C:$C,0),MATCH('index match'!J$1,ECOMMERS_SALES[#Headers],0))</f>
        <v>UPI</v>
      </c>
    </row>
    <row r="34" spans="1:10" x14ac:dyDescent="0.35">
      <c r="A34" t="s">
        <v>22</v>
      </c>
      <c r="B34">
        <f>INDEX('ECOMMERS SALES'!$A:$J,MATCH('index match'!$A34,'ECOMMERS SALES'!$C:$C,0),MATCH('index match'!B$1,ECOMMERS_SALES[#Headers],0))</f>
        <v>1003</v>
      </c>
      <c r="C34" t="str">
        <f>INDEX('ECOMMERS SALES'!$A:$J,MATCH('index match'!$A34,'ECOMMERS SALES'!$C:$C,0),MATCH('index match'!C$1,ECOMMERS_SALES[#Headers],0))</f>
        <v>04-01-2025</v>
      </c>
      <c r="D34" t="str">
        <f>INDEX('ECOMMERS SALES'!$A:$J,MATCH('index match'!$A34,'ECOMMERS SALES'!$C:$C,0),MATCH('index match'!D$1,ECOMMERS_SALES[#Headers],0))</f>
        <v>Fashion</v>
      </c>
      <c r="E34">
        <f>INDEX('ECOMMERS SALES'!$A:$J,MATCH('index match'!$A34,'ECOMMERS SALES'!$C:$C,0),MATCH('index match'!E$1,ECOMMERS_SALES[#Headers],0))</f>
        <v>1</v>
      </c>
      <c r="F34">
        <f>INDEX('ECOMMERS SALES'!$A:$J,MATCH('index match'!$A34,'ECOMMERS SALES'!$C:$C,0),MATCH('index match'!F$1,ECOMMERS_SALES[#Headers],0))</f>
        <v>4736</v>
      </c>
      <c r="G34">
        <f>INDEX('ECOMMERS SALES'!$A:$J,MATCH('index match'!$A34,'ECOMMERS SALES'!$C:$C,0),MATCH('index match'!G$1,ECOMMERS_SALES[#Headers],0))</f>
        <v>4736</v>
      </c>
      <c r="H34" t="str">
        <f>INDEX('ECOMMERS SALES'!$A:$J,MATCH('index match'!$A34,'ECOMMERS SALES'!$C:$C,0),MATCH('index match'!H$1,ECOMMERS_SALES[#Headers],0))</f>
        <v>Chennai</v>
      </c>
      <c r="I34" t="str">
        <f>INDEX('ECOMMERS SALES'!$A:$J,MATCH('index match'!$A34,'ECOMMERS SALES'!$C:$C,0),MATCH('index match'!I$1,ECOMMERS_SALES[#Headers],0))</f>
        <v>New</v>
      </c>
      <c r="J34" t="str">
        <f>INDEX('ECOMMERS SALES'!$A:$J,MATCH('index match'!$A34,'ECOMMERS SALES'!$C:$C,0),MATCH('index match'!J$1,ECOMMERS_SALES[#Headers],0))</f>
        <v>UPI</v>
      </c>
    </row>
    <row r="35" spans="1:10" x14ac:dyDescent="0.35">
      <c r="A35" t="s">
        <v>25</v>
      </c>
      <c r="B35">
        <f>INDEX('ECOMMERS SALES'!$A:$J,MATCH('index match'!$A35,'ECOMMERS SALES'!$C:$C,0),MATCH('index match'!B$1,ECOMMERS_SALES[#Headers],0))</f>
        <v>1004</v>
      </c>
      <c r="C35" t="str">
        <f>INDEX('ECOMMERS SALES'!$A:$J,MATCH('index match'!$A35,'ECOMMERS SALES'!$C:$C,0),MATCH('index match'!C$1,ECOMMERS_SALES[#Headers],0))</f>
        <v>05-01-2025</v>
      </c>
      <c r="D35" t="str">
        <f>INDEX('ECOMMERS SALES'!$A:$J,MATCH('index match'!$A35,'ECOMMERS SALES'!$C:$C,0),MATCH('index match'!D$1,ECOMMERS_SALES[#Headers],0))</f>
        <v>Other</v>
      </c>
      <c r="E35">
        <f>INDEX('ECOMMERS SALES'!$A:$J,MATCH('index match'!$A35,'ECOMMERS SALES'!$C:$C,0),MATCH('index match'!E$1,ECOMMERS_SALES[#Headers],0))</f>
        <v>2</v>
      </c>
      <c r="F35">
        <f>INDEX('ECOMMERS SALES'!$A:$J,MATCH('index match'!$A35,'ECOMMERS SALES'!$C:$C,0),MATCH('index match'!F$1,ECOMMERS_SALES[#Headers],0))</f>
        <v>10072</v>
      </c>
      <c r="G35">
        <f>INDEX('ECOMMERS SALES'!$A:$J,MATCH('index match'!$A35,'ECOMMERS SALES'!$C:$C,0),MATCH('index match'!G$1,ECOMMERS_SALES[#Headers],0))</f>
        <v>20144</v>
      </c>
      <c r="H35" t="str">
        <f>INDEX('ECOMMERS SALES'!$A:$J,MATCH('index match'!$A35,'ECOMMERS SALES'!$C:$C,0),MATCH('index match'!H$1,ECOMMERS_SALES[#Headers],0))</f>
        <v>Pune</v>
      </c>
      <c r="I35" t="str">
        <f>INDEX('ECOMMERS SALES'!$A:$J,MATCH('index match'!$A35,'ECOMMERS SALES'!$C:$C,0),MATCH('index match'!I$1,ECOMMERS_SALES[#Headers],0))</f>
        <v>Premimum</v>
      </c>
      <c r="J35" t="str">
        <f>INDEX('ECOMMERS SALES'!$A:$J,MATCH('index match'!$A35,'ECOMMERS SALES'!$C:$C,0),MATCH('index match'!J$1,ECOMMERS_SALES[#Headers],0))</f>
        <v>Card</v>
      </c>
    </row>
    <row r="36" spans="1:10" x14ac:dyDescent="0.35">
      <c r="A36" t="s">
        <v>29</v>
      </c>
      <c r="B36">
        <f>INDEX('ECOMMERS SALES'!$A:$J,MATCH('index match'!$A36,'ECOMMERS SALES'!$C:$C,0),MATCH('index match'!B$1,ECOMMERS_SALES[#Headers],0))</f>
        <v>1005</v>
      </c>
      <c r="C36" t="str">
        <f>INDEX('ECOMMERS SALES'!$A:$J,MATCH('index match'!$A36,'ECOMMERS SALES'!$C:$C,0),MATCH('index match'!C$1,ECOMMERS_SALES[#Headers],0))</f>
        <v>06-01-2025</v>
      </c>
      <c r="D36" t="str">
        <f>INDEX('ECOMMERS SALES'!$A:$J,MATCH('index match'!$A36,'ECOMMERS SALES'!$C:$C,0),MATCH('index match'!D$1,ECOMMERS_SALES[#Headers],0))</f>
        <v>Other</v>
      </c>
      <c r="E36">
        <f>INDEX('ECOMMERS SALES'!$A:$J,MATCH('index match'!$A36,'ECOMMERS SALES'!$C:$C,0),MATCH('index match'!E$1,ECOMMERS_SALES[#Headers],0))</f>
        <v>2</v>
      </c>
      <c r="F36">
        <f>INDEX('ECOMMERS SALES'!$A:$J,MATCH('index match'!$A36,'ECOMMERS SALES'!$C:$C,0),MATCH('index match'!F$1,ECOMMERS_SALES[#Headers],0))</f>
        <v>920</v>
      </c>
      <c r="G36">
        <f>INDEX('ECOMMERS SALES'!$A:$J,MATCH('index match'!$A36,'ECOMMERS SALES'!$C:$C,0),MATCH('index match'!G$1,ECOMMERS_SALES[#Headers],0))</f>
        <v>1840</v>
      </c>
      <c r="H36" t="str">
        <f>INDEX('ECOMMERS SALES'!$A:$J,MATCH('index match'!$A36,'ECOMMERS SALES'!$C:$C,0),MATCH('index match'!H$1,ECOMMERS_SALES[#Headers],0))</f>
        <v>Pune</v>
      </c>
      <c r="I36" t="str">
        <f>INDEX('ECOMMERS SALES'!$A:$J,MATCH('index match'!$A36,'ECOMMERS SALES'!$C:$C,0),MATCH('index match'!I$1,ECOMMERS_SALES[#Headers],0))</f>
        <v>New</v>
      </c>
      <c r="J36" t="str">
        <f>INDEX('ECOMMERS SALES'!$A:$J,MATCH('index match'!$A36,'ECOMMERS SALES'!$C:$C,0),MATCH('index match'!J$1,ECOMMERS_SALES[#Headers],0))</f>
        <v>UPI</v>
      </c>
    </row>
    <row r="37" spans="1:10" x14ac:dyDescent="0.35">
      <c r="A37" t="s">
        <v>31</v>
      </c>
      <c r="B37">
        <f>INDEX('ECOMMERS SALES'!$A:$J,MATCH('index match'!$A37,'ECOMMERS SALES'!$C:$C,0),MATCH('index match'!B$1,ECOMMERS_SALES[#Headers],0))</f>
        <v>1006</v>
      </c>
      <c r="C37" t="str">
        <f>INDEX('ECOMMERS SALES'!$A:$J,MATCH('index match'!$A37,'ECOMMERS SALES'!$C:$C,0),MATCH('index match'!C$1,ECOMMERS_SALES[#Headers],0))</f>
        <v>07-01-2025</v>
      </c>
      <c r="D37" t="str">
        <f>INDEX('ECOMMERS SALES'!$A:$J,MATCH('index match'!$A37,'ECOMMERS SALES'!$C:$C,0),MATCH('index match'!D$1,ECOMMERS_SALES[#Headers],0))</f>
        <v>Electronics</v>
      </c>
      <c r="E37">
        <f>INDEX('ECOMMERS SALES'!$A:$J,MATCH('index match'!$A37,'ECOMMERS SALES'!$C:$C,0),MATCH('index match'!E$1,ECOMMERS_SALES[#Headers],0))</f>
        <v>1</v>
      </c>
      <c r="F37">
        <f>INDEX('ECOMMERS SALES'!$A:$J,MATCH('index match'!$A37,'ECOMMERS SALES'!$C:$C,0),MATCH('index match'!F$1,ECOMMERS_SALES[#Headers],0))</f>
        <v>13225</v>
      </c>
      <c r="G37">
        <f>INDEX('ECOMMERS SALES'!$A:$J,MATCH('index match'!$A37,'ECOMMERS SALES'!$C:$C,0),MATCH('index match'!G$1,ECOMMERS_SALES[#Headers],0))</f>
        <v>13225</v>
      </c>
      <c r="H37" t="str">
        <f>INDEX('ECOMMERS SALES'!$A:$J,MATCH('index match'!$A37,'ECOMMERS SALES'!$C:$C,0),MATCH('index match'!H$1,ECOMMERS_SALES[#Headers],0))</f>
        <v>Delhi</v>
      </c>
      <c r="I37" t="str">
        <f>INDEX('ECOMMERS SALES'!$A:$J,MATCH('index match'!$A37,'ECOMMERS SALES'!$C:$C,0),MATCH('index match'!I$1,ECOMMERS_SALES[#Headers],0))</f>
        <v>Returning</v>
      </c>
      <c r="J37" t="str">
        <f>INDEX('ECOMMERS SALES'!$A:$J,MATCH('index match'!$A37,'ECOMMERS SALES'!$C:$C,0),MATCH('index match'!J$1,ECOMMERS_SALES[#Headers],0))</f>
        <v>COD</v>
      </c>
    </row>
    <row r="38" spans="1:10" x14ac:dyDescent="0.35">
      <c r="A38" t="s">
        <v>35</v>
      </c>
      <c r="B38">
        <f>INDEX('ECOMMERS SALES'!$A:$J,MATCH('index match'!$A38,'ECOMMERS SALES'!$C:$C,0),MATCH('index match'!B$1,ECOMMERS_SALES[#Headers],0))</f>
        <v>1007</v>
      </c>
      <c r="C38" t="str">
        <f>INDEX('ECOMMERS SALES'!$A:$J,MATCH('index match'!$A38,'ECOMMERS SALES'!$C:$C,0),MATCH('index match'!C$1,ECOMMERS_SALES[#Headers],0))</f>
        <v>08-01-2025</v>
      </c>
      <c r="D38" t="str">
        <f>INDEX('ECOMMERS SALES'!$A:$J,MATCH('index match'!$A38,'ECOMMERS SALES'!$C:$C,0),MATCH('index match'!D$1,ECOMMERS_SALES[#Headers],0))</f>
        <v>Books</v>
      </c>
      <c r="E38">
        <f>INDEX('ECOMMERS SALES'!$A:$J,MATCH('index match'!$A38,'ECOMMERS SALES'!$C:$C,0),MATCH('index match'!E$1,ECOMMERS_SALES[#Headers],0))</f>
        <v>3</v>
      </c>
      <c r="F38">
        <f>INDEX('ECOMMERS SALES'!$A:$J,MATCH('index match'!$A38,'ECOMMERS SALES'!$C:$C,0),MATCH('index match'!F$1,ECOMMERS_SALES[#Headers],0))</f>
        <v>621</v>
      </c>
      <c r="G38">
        <f>INDEX('ECOMMERS SALES'!$A:$J,MATCH('index match'!$A38,'ECOMMERS SALES'!$C:$C,0),MATCH('index match'!G$1,ECOMMERS_SALES[#Headers],0))</f>
        <v>1863</v>
      </c>
      <c r="H38" t="str">
        <f>INDEX('ECOMMERS SALES'!$A:$J,MATCH('index match'!$A38,'ECOMMERS SALES'!$C:$C,0),MATCH('index match'!H$1,ECOMMERS_SALES[#Headers],0))</f>
        <v>Hyderabad</v>
      </c>
      <c r="I38" t="str">
        <f>INDEX('ECOMMERS SALES'!$A:$J,MATCH('index match'!$A38,'ECOMMERS SALES'!$C:$C,0),MATCH('index match'!I$1,ECOMMERS_SALES[#Headers],0))</f>
        <v>Premimum</v>
      </c>
      <c r="J38" t="str">
        <f>INDEX('ECOMMERS SALES'!$A:$J,MATCH('index match'!$A38,'ECOMMERS SALES'!$C:$C,0),MATCH('index match'!J$1,ECOMMERS_SALES[#Headers],0))</f>
        <v>UPI</v>
      </c>
    </row>
    <row r="39" spans="1:10" x14ac:dyDescent="0.35">
      <c r="A39" t="s">
        <v>39</v>
      </c>
      <c r="B39">
        <f>INDEX('ECOMMERS SALES'!$A:$J,MATCH('index match'!$A39,'ECOMMERS SALES'!$C:$C,0),MATCH('index match'!B$1,ECOMMERS_SALES[#Headers],0))</f>
        <v>1008</v>
      </c>
      <c r="C39" t="str">
        <f>INDEX('ECOMMERS SALES'!$A:$J,MATCH('index match'!$A39,'ECOMMERS SALES'!$C:$C,0),MATCH('index match'!C$1,ECOMMERS_SALES[#Headers],0))</f>
        <v>09-01-2025</v>
      </c>
      <c r="D39" t="str">
        <f>INDEX('ECOMMERS SALES'!$A:$J,MATCH('index match'!$A39,'ECOMMERS SALES'!$C:$C,0),MATCH('index match'!D$1,ECOMMERS_SALES[#Headers],0))</f>
        <v>Fashion</v>
      </c>
      <c r="E39">
        <f>INDEX('ECOMMERS SALES'!$A:$J,MATCH('index match'!$A39,'ECOMMERS SALES'!$C:$C,0),MATCH('index match'!E$1,ECOMMERS_SALES[#Headers],0))</f>
        <v>2</v>
      </c>
      <c r="F39">
        <f>INDEX('ECOMMERS SALES'!$A:$J,MATCH('index match'!$A39,'ECOMMERS SALES'!$C:$C,0),MATCH('index match'!F$1,ECOMMERS_SALES[#Headers],0))</f>
        <v>905</v>
      </c>
      <c r="G39">
        <f>INDEX('ECOMMERS SALES'!$A:$J,MATCH('index match'!$A39,'ECOMMERS SALES'!$C:$C,0),MATCH('index match'!G$1,ECOMMERS_SALES[#Headers],0))</f>
        <v>1810</v>
      </c>
      <c r="H39" t="str">
        <f>INDEX('ECOMMERS SALES'!$A:$J,MATCH('index match'!$A39,'ECOMMERS SALES'!$C:$C,0),MATCH('index match'!H$1,ECOMMERS_SALES[#Headers],0))</f>
        <v>Bangalore</v>
      </c>
      <c r="I39" t="str">
        <f>INDEX('ECOMMERS SALES'!$A:$J,MATCH('index match'!$A39,'ECOMMERS SALES'!$C:$C,0),MATCH('index match'!I$1,ECOMMERS_SALES[#Headers],0))</f>
        <v>New</v>
      </c>
      <c r="J39" t="str">
        <f>INDEX('ECOMMERS SALES'!$A:$J,MATCH('index match'!$A39,'ECOMMERS SALES'!$C:$C,0),MATCH('index match'!J$1,ECOMMERS_SALES[#Headers],0))</f>
        <v>COD</v>
      </c>
    </row>
    <row r="40" spans="1:10" x14ac:dyDescent="0.35">
      <c r="A40" t="s">
        <v>42</v>
      </c>
      <c r="B40">
        <f>INDEX('ECOMMERS SALES'!$A:$J,MATCH('index match'!$A40,'ECOMMERS SALES'!$C:$C,0),MATCH('index match'!B$1,ECOMMERS_SALES[#Headers],0))</f>
        <v>1009</v>
      </c>
      <c r="C40" t="str">
        <f>INDEX('ECOMMERS SALES'!$A:$J,MATCH('index match'!$A40,'ECOMMERS SALES'!$C:$C,0),MATCH('index match'!C$1,ECOMMERS_SALES[#Headers],0))</f>
        <v>10-01-2025</v>
      </c>
      <c r="D40" t="str">
        <f>INDEX('ECOMMERS SALES'!$A:$J,MATCH('index match'!$A40,'ECOMMERS SALES'!$C:$C,0),MATCH('index match'!D$1,ECOMMERS_SALES[#Headers],0))</f>
        <v>Electronics</v>
      </c>
      <c r="E40">
        <f>INDEX('ECOMMERS SALES'!$A:$J,MATCH('index match'!$A40,'ECOMMERS SALES'!$C:$C,0),MATCH('index match'!E$1,ECOMMERS_SALES[#Headers],0))</f>
        <v>1</v>
      </c>
      <c r="F40">
        <f>INDEX('ECOMMERS SALES'!$A:$J,MATCH('index match'!$A40,'ECOMMERS SALES'!$C:$C,0),MATCH('index match'!F$1,ECOMMERS_SALES[#Headers],0))</f>
        <v>8563</v>
      </c>
      <c r="G40">
        <f>INDEX('ECOMMERS SALES'!$A:$J,MATCH('index match'!$A40,'ECOMMERS SALES'!$C:$C,0),MATCH('index match'!G$1,ECOMMERS_SALES[#Headers],0))</f>
        <v>8563</v>
      </c>
      <c r="H40" t="str">
        <f>INDEX('ECOMMERS SALES'!$A:$J,MATCH('index match'!$A40,'ECOMMERS SALES'!$C:$C,0),MATCH('index match'!H$1,ECOMMERS_SALES[#Headers],0))</f>
        <v>Hyderabad</v>
      </c>
      <c r="I40" t="str">
        <f>INDEX('ECOMMERS SALES'!$A:$J,MATCH('index match'!$A40,'ECOMMERS SALES'!$C:$C,0),MATCH('index match'!I$1,ECOMMERS_SALES[#Headers],0))</f>
        <v>Returning</v>
      </c>
      <c r="J40" t="str">
        <f>INDEX('ECOMMERS SALES'!$A:$J,MATCH('index match'!$A40,'ECOMMERS SALES'!$C:$C,0),MATCH('index match'!J$1,ECOMMERS_SALES[#Headers],0))</f>
        <v>Card</v>
      </c>
    </row>
    <row r="41" spans="1:10" x14ac:dyDescent="0.35">
      <c r="A41" t="s">
        <v>44</v>
      </c>
      <c r="B41">
        <f>INDEX('ECOMMERS SALES'!$A:$J,MATCH('index match'!$A41,'ECOMMERS SALES'!$C:$C,0),MATCH('index match'!B$1,ECOMMERS_SALES[#Headers],0))</f>
        <v>1010</v>
      </c>
      <c r="C41" t="str">
        <f>INDEX('ECOMMERS SALES'!$A:$J,MATCH('index match'!$A41,'ECOMMERS SALES'!$C:$C,0),MATCH('index match'!C$1,ECOMMERS_SALES[#Headers],0))</f>
        <v>11-01-2025</v>
      </c>
      <c r="D41" t="str">
        <f>INDEX('ECOMMERS SALES'!$A:$J,MATCH('index match'!$A41,'ECOMMERS SALES'!$C:$C,0),MATCH('index match'!D$1,ECOMMERS_SALES[#Headers],0))</f>
        <v>Other</v>
      </c>
      <c r="E41">
        <f>INDEX('ECOMMERS SALES'!$A:$J,MATCH('index match'!$A41,'ECOMMERS SALES'!$C:$C,0),MATCH('index match'!E$1,ECOMMERS_SALES[#Headers],0))</f>
        <v>1</v>
      </c>
      <c r="F41">
        <f>INDEX('ECOMMERS SALES'!$A:$J,MATCH('index match'!$A41,'ECOMMERS SALES'!$C:$C,0),MATCH('index match'!F$1,ECOMMERS_SALES[#Headers],0))</f>
        <v>268</v>
      </c>
      <c r="G41">
        <f>INDEX('ECOMMERS SALES'!$A:$J,MATCH('index match'!$A41,'ECOMMERS SALES'!$C:$C,0),MATCH('index match'!G$1,ECOMMERS_SALES[#Headers],0))</f>
        <v>268</v>
      </c>
      <c r="H41" t="str">
        <f>INDEX('ECOMMERS SALES'!$A:$J,MATCH('index match'!$A41,'ECOMMERS SALES'!$C:$C,0),MATCH('index match'!H$1,ECOMMERS_SALES[#Headers],0))</f>
        <v>Chennai</v>
      </c>
      <c r="I41" t="str">
        <f>INDEX('ECOMMERS SALES'!$A:$J,MATCH('index match'!$A41,'ECOMMERS SALES'!$C:$C,0),MATCH('index match'!I$1,ECOMMERS_SALES[#Headers],0))</f>
        <v>New</v>
      </c>
      <c r="J41" t="str">
        <f>INDEX('ECOMMERS SALES'!$A:$J,MATCH('index match'!$A41,'ECOMMERS SALES'!$C:$C,0),MATCH('index match'!J$1,ECOMMERS_SALES[#Headers],0))</f>
        <v>UPI</v>
      </c>
    </row>
    <row r="42" spans="1:10" x14ac:dyDescent="0.35">
      <c r="A42" t="s">
        <v>11</v>
      </c>
      <c r="B42">
        <f>INDEX('ECOMMERS SALES'!$A:$J,MATCH('index match'!$A42,'ECOMMERS SALES'!$C:$C,0),MATCH('index match'!B$1,ECOMMERS_SALES[#Headers],0))</f>
        <v>1001</v>
      </c>
      <c r="C42" t="str">
        <f>INDEX('ECOMMERS SALES'!$A:$J,MATCH('index match'!$A42,'ECOMMERS SALES'!$C:$C,0),MATCH('index match'!C$1,ECOMMERS_SALES[#Headers],0))</f>
        <v>02-01-2025</v>
      </c>
      <c r="D42" t="str">
        <f>INDEX('ECOMMERS SALES'!$A:$J,MATCH('index match'!$A42,'ECOMMERS SALES'!$C:$C,0),MATCH('index match'!D$1,ECOMMERS_SALES[#Headers],0))</f>
        <v>Electronics</v>
      </c>
      <c r="E42">
        <f>INDEX('ECOMMERS SALES'!$A:$J,MATCH('index match'!$A42,'ECOMMERS SALES'!$C:$C,0),MATCH('index match'!E$1,ECOMMERS_SALES[#Headers],0))</f>
        <v>2</v>
      </c>
      <c r="F42">
        <f>INDEX('ECOMMERS SALES'!$A:$J,MATCH('index match'!$A42,'ECOMMERS SALES'!$C:$C,0),MATCH('index match'!F$1,ECOMMERS_SALES[#Headers],0))</f>
        <v>50353</v>
      </c>
      <c r="G42">
        <f>INDEX('ECOMMERS SALES'!$A:$J,MATCH('index match'!$A42,'ECOMMERS SALES'!$C:$C,0),MATCH('index match'!G$1,ECOMMERS_SALES[#Headers],0))</f>
        <v>100706</v>
      </c>
      <c r="H42" t="str">
        <f>INDEX('ECOMMERS SALES'!$A:$J,MATCH('index match'!$A42,'ECOMMERS SALES'!$C:$C,0),MATCH('index match'!H$1,ECOMMERS_SALES[#Headers],0))</f>
        <v>Chennai</v>
      </c>
      <c r="I42" t="str">
        <f>INDEX('ECOMMERS SALES'!$A:$J,MATCH('index match'!$A42,'ECOMMERS SALES'!$C:$C,0),MATCH('index match'!I$1,ECOMMERS_SALES[#Headers],0))</f>
        <v>Premimum</v>
      </c>
      <c r="J42" t="str">
        <f>INDEX('ECOMMERS SALES'!$A:$J,MATCH('index match'!$A42,'ECOMMERS SALES'!$C:$C,0),MATCH('index match'!J$1,ECOMMERS_SALES[#Headers],0))</f>
        <v>Card</v>
      </c>
    </row>
    <row r="43" spans="1:10" x14ac:dyDescent="0.35">
      <c r="A43" t="s">
        <v>17</v>
      </c>
      <c r="B43">
        <f>INDEX('ECOMMERS SALES'!$A:$J,MATCH('index match'!$A43,'ECOMMERS SALES'!$C:$C,0),MATCH('index match'!B$1,ECOMMERS_SALES[#Headers],0))</f>
        <v>1002</v>
      </c>
      <c r="C43" t="str">
        <f>INDEX('ECOMMERS SALES'!$A:$J,MATCH('index match'!$A43,'ECOMMERS SALES'!$C:$C,0),MATCH('index match'!C$1,ECOMMERS_SALES[#Headers],0))</f>
        <v>03-01-2025</v>
      </c>
      <c r="D43" t="str">
        <f>INDEX('ECOMMERS SALES'!$A:$J,MATCH('index match'!$A43,'ECOMMERS SALES'!$C:$C,0),MATCH('index match'!D$1,ECOMMERS_SALES[#Headers],0))</f>
        <v>Electronics</v>
      </c>
      <c r="E43">
        <f>INDEX('ECOMMERS SALES'!$A:$J,MATCH('index match'!$A43,'ECOMMERS SALES'!$C:$C,0),MATCH('index match'!E$1,ECOMMERS_SALES[#Headers],0))</f>
        <v>2</v>
      </c>
      <c r="F43">
        <f>INDEX('ECOMMERS SALES'!$A:$J,MATCH('index match'!$A43,'ECOMMERS SALES'!$C:$C,0),MATCH('index match'!F$1,ECOMMERS_SALES[#Headers],0))</f>
        <v>2008</v>
      </c>
      <c r="G43">
        <f>INDEX('ECOMMERS SALES'!$A:$J,MATCH('index match'!$A43,'ECOMMERS SALES'!$C:$C,0),MATCH('index match'!G$1,ECOMMERS_SALES[#Headers],0))</f>
        <v>4016</v>
      </c>
      <c r="H43" t="str">
        <f>INDEX('ECOMMERS SALES'!$A:$J,MATCH('index match'!$A43,'ECOMMERS SALES'!$C:$C,0),MATCH('index match'!H$1,ECOMMERS_SALES[#Headers],0))</f>
        <v>Delhi</v>
      </c>
      <c r="I43" t="str">
        <f>INDEX('ECOMMERS SALES'!$A:$J,MATCH('index match'!$A43,'ECOMMERS SALES'!$C:$C,0),MATCH('index match'!I$1,ECOMMERS_SALES[#Headers],0))</f>
        <v>New</v>
      </c>
      <c r="J43" t="str">
        <f>INDEX('ECOMMERS SALES'!$A:$J,MATCH('index match'!$A43,'ECOMMERS SALES'!$C:$C,0),MATCH('index match'!J$1,ECOMMERS_SALES[#Headers],0))</f>
        <v>UPI</v>
      </c>
    </row>
    <row r="44" spans="1:10" x14ac:dyDescent="0.35">
      <c r="A44" t="s">
        <v>22</v>
      </c>
      <c r="B44">
        <f>INDEX('ECOMMERS SALES'!$A:$J,MATCH('index match'!$A44,'ECOMMERS SALES'!$C:$C,0),MATCH('index match'!B$1,ECOMMERS_SALES[#Headers],0))</f>
        <v>1003</v>
      </c>
      <c r="C44" t="str">
        <f>INDEX('ECOMMERS SALES'!$A:$J,MATCH('index match'!$A44,'ECOMMERS SALES'!$C:$C,0),MATCH('index match'!C$1,ECOMMERS_SALES[#Headers],0))</f>
        <v>04-01-2025</v>
      </c>
      <c r="D44" t="str">
        <f>INDEX('ECOMMERS SALES'!$A:$J,MATCH('index match'!$A44,'ECOMMERS SALES'!$C:$C,0),MATCH('index match'!D$1,ECOMMERS_SALES[#Headers],0))</f>
        <v>Fashion</v>
      </c>
      <c r="E44">
        <f>INDEX('ECOMMERS SALES'!$A:$J,MATCH('index match'!$A44,'ECOMMERS SALES'!$C:$C,0),MATCH('index match'!E$1,ECOMMERS_SALES[#Headers],0))</f>
        <v>1</v>
      </c>
      <c r="F44">
        <f>INDEX('ECOMMERS SALES'!$A:$J,MATCH('index match'!$A44,'ECOMMERS SALES'!$C:$C,0),MATCH('index match'!F$1,ECOMMERS_SALES[#Headers],0))</f>
        <v>4736</v>
      </c>
      <c r="G44">
        <f>INDEX('ECOMMERS SALES'!$A:$J,MATCH('index match'!$A44,'ECOMMERS SALES'!$C:$C,0),MATCH('index match'!G$1,ECOMMERS_SALES[#Headers],0))</f>
        <v>4736</v>
      </c>
      <c r="H44" t="str">
        <f>INDEX('ECOMMERS SALES'!$A:$J,MATCH('index match'!$A44,'ECOMMERS SALES'!$C:$C,0),MATCH('index match'!H$1,ECOMMERS_SALES[#Headers],0))</f>
        <v>Chennai</v>
      </c>
      <c r="I44" t="str">
        <f>INDEX('ECOMMERS SALES'!$A:$J,MATCH('index match'!$A44,'ECOMMERS SALES'!$C:$C,0),MATCH('index match'!I$1,ECOMMERS_SALES[#Headers],0))</f>
        <v>New</v>
      </c>
      <c r="J44" t="str">
        <f>INDEX('ECOMMERS SALES'!$A:$J,MATCH('index match'!$A44,'ECOMMERS SALES'!$C:$C,0),MATCH('index match'!J$1,ECOMMERS_SALES[#Headers],0))</f>
        <v>UPI</v>
      </c>
    </row>
    <row r="45" spans="1:10" x14ac:dyDescent="0.35">
      <c r="A45" t="s">
        <v>25</v>
      </c>
      <c r="B45">
        <f>INDEX('ECOMMERS SALES'!$A:$J,MATCH('index match'!$A45,'ECOMMERS SALES'!$C:$C,0),MATCH('index match'!B$1,ECOMMERS_SALES[#Headers],0))</f>
        <v>1004</v>
      </c>
      <c r="C45" t="str">
        <f>INDEX('ECOMMERS SALES'!$A:$J,MATCH('index match'!$A45,'ECOMMERS SALES'!$C:$C,0),MATCH('index match'!C$1,ECOMMERS_SALES[#Headers],0))</f>
        <v>05-01-2025</v>
      </c>
      <c r="D45" t="str">
        <f>INDEX('ECOMMERS SALES'!$A:$J,MATCH('index match'!$A45,'ECOMMERS SALES'!$C:$C,0),MATCH('index match'!D$1,ECOMMERS_SALES[#Headers],0))</f>
        <v>Other</v>
      </c>
      <c r="E45">
        <f>INDEX('ECOMMERS SALES'!$A:$J,MATCH('index match'!$A45,'ECOMMERS SALES'!$C:$C,0),MATCH('index match'!E$1,ECOMMERS_SALES[#Headers],0))</f>
        <v>2</v>
      </c>
      <c r="F45">
        <f>INDEX('ECOMMERS SALES'!$A:$J,MATCH('index match'!$A45,'ECOMMERS SALES'!$C:$C,0),MATCH('index match'!F$1,ECOMMERS_SALES[#Headers],0))</f>
        <v>10072</v>
      </c>
      <c r="G45">
        <f>INDEX('ECOMMERS SALES'!$A:$J,MATCH('index match'!$A45,'ECOMMERS SALES'!$C:$C,0),MATCH('index match'!G$1,ECOMMERS_SALES[#Headers],0))</f>
        <v>20144</v>
      </c>
      <c r="H45" t="str">
        <f>INDEX('ECOMMERS SALES'!$A:$J,MATCH('index match'!$A45,'ECOMMERS SALES'!$C:$C,0),MATCH('index match'!H$1,ECOMMERS_SALES[#Headers],0))</f>
        <v>Pune</v>
      </c>
      <c r="I45" t="str">
        <f>INDEX('ECOMMERS SALES'!$A:$J,MATCH('index match'!$A45,'ECOMMERS SALES'!$C:$C,0),MATCH('index match'!I$1,ECOMMERS_SALES[#Headers],0))</f>
        <v>Premimum</v>
      </c>
      <c r="J45" t="str">
        <f>INDEX('ECOMMERS SALES'!$A:$J,MATCH('index match'!$A45,'ECOMMERS SALES'!$C:$C,0),MATCH('index match'!J$1,ECOMMERS_SALES[#Headers],0))</f>
        <v>Card</v>
      </c>
    </row>
    <row r="46" spans="1:10" x14ac:dyDescent="0.35">
      <c r="A46" t="s">
        <v>29</v>
      </c>
      <c r="B46">
        <f>INDEX('ECOMMERS SALES'!$A:$J,MATCH('index match'!$A46,'ECOMMERS SALES'!$C:$C,0),MATCH('index match'!B$1,ECOMMERS_SALES[#Headers],0))</f>
        <v>1005</v>
      </c>
      <c r="C46" t="str">
        <f>INDEX('ECOMMERS SALES'!$A:$J,MATCH('index match'!$A46,'ECOMMERS SALES'!$C:$C,0),MATCH('index match'!C$1,ECOMMERS_SALES[#Headers],0))</f>
        <v>06-01-2025</v>
      </c>
      <c r="D46" t="str">
        <f>INDEX('ECOMMERS SALES'!$A:$J,MATCH('index match'!$A46,'ECOMMERS SALES'!$C:$C,0),MATCH('index match'!D$1,ECOMMERS_SALES[#Headers],0))</f>
        <v>Other</v>
      </c>
      <c r="E46">
        <f>INDEX('ECOMMERS SALES'!$A:$J,MATCH('index match'!$A46,'ECOMMERS SALES'!$C:$C,0),MATCH('index match'!E$1,ECOMMERS_SALES[#Headers],0))</f>
        <v>2</v>
      </c>
      <c r="F46">
        <f>INDEX('ECOMMERS SALES'!$A:$J,MATCH('index match'!$A46,'ECOMMERS SALES'!$C:$C,0),MATCH('index match'!F$1,ECOMMERS_SALES[#Headers],0))</f>
        <v>920</v>
      </c>
      <c r="G46">
        <f>INDEX('ECOMMERS SALES'!$A:$J,MATCH('index match'!$A46,'ECOMMERS SALES'!$C:$C,0),MATCH('index match'!G$1,ECOMMERS_SALES[#Headers],0))</f>
        <v>1840</v>
      </c>
      <c r="H46" t="str">
        <f>INDEX('ECOMMERS SALES'!$A:$J,MATCH('index match'!$A46,'ECOMMERS SALES'!$C:$C,0),MATCH('index match'!H$1,ECOMMERS_SALES[#Headers],0))</f>
        <v>Pune</v>
      </c>
      <c r="I46" t="str">
        <f>INDEX('ECOMMERS SALES'!$A:$J,MATCH('index match'!$A46,'ECOMMERS SALES'!$C:$C,0),MATCH('index match'!I$1,ECOMMERS_SALES[#Headers],0))</f>
        <v>New</v>
      </c>
      <c r="J46" t="str">
        <f>INDEX('ECOMMERS SALES'!$A:$J,MATCH('index match'!$A46,'ECOMMERS SALES'!$C:$C,0),MATCH('index match'!J$1,ECOMMERS_SALES[#Headers],0))</f>
        <v>UPI</v>
      </c>
    </row>
    <row r="47" spans="1:10" x14ac:dyDescent="0.35">
      <c r="A47" t="s">
        <v>31</v>
      </c>
      <c r="B47">
        <f>INDEX('ECOMMERS SALES'!$A:$J,MATCH('index match'!$A47,'ECOMMERS SALES'!$C:$C,0),MATCH('index match'!B$1,ECOMMERS_SALES[#Headers],0))</f>
        <v>1006</v>
      </c>
      <c r="C47" t="str">
        <f>INDEX('ECOMMERS SALES'!$A:$J,MATCH('index match'!$A47,'ECOMMERS SALES'!$C:$C,0),MATCH('index match'!C$1,ECOMMERS_SALES[#Headers],0))</f>
        <v>07-01-2025</v>
      </c>
      <c r="D47" t="str">
        <f>INDEX('ECOMMERS SALES'!$A:$J,MATCH('index match'!$A47,'ECOMMERS SALES'!$C:$C,0),MATCH('index match'!D$1,ECOMMERS_SALES[#Headers],0))</f>
        <v>Electronics</v>
      </c>
      <c r="E47">
        <f>INDEX('ECOMMERS SALES'!$A:$J,MATCH('index match'!$A47,'ECOMMERS SALES'!$C:$C,0),MATCH('index match'!E$1,ECOMMERS_SALES[#Headers],0))</f>
        <v>1</v>
      </c>
      <c r="F47">
        <f>INDEX('ECOMMERS SALES'!$A:$J,MATCH('index match'!$A47,'ECOMMERS SALES'!$C:$C,0),MATCH('index match'!F$1,ECOMMERS_SALES[#Headers],0))</f>
        <v>13225</v>
      </c>
      <c r="G47">
        <f>INDEX('ECOMMERS SALES'!$A:$J,MATCH('index match'!$A47,'ECOMMERS SALES'!$C:$C,0),MATCH('index match'!G$1,ECOMMERS_SALES[#Headers],0))</f>
        <v>13225</v>
      </c>
      <c r="H47" t="str">
        <f>INDEX('ECOMMERS SALES'!$A:$J,MATCH('index match'!$A47,'ECOMMERS SALES'!$C:$C,0),MATCH('index match'!H$1,ECOMMERS_SALES[#Headers],0))</f>
        <v>Delhi</v>
      </c>
      <c r="I47" t="str">
        <f>INDEX('ECOMMERS SALES'!$A:$J,MATCH('index match'!$A47,'ECOMMERS SALES'!$C:$C,0),MATCH('index match'!I$1,ECOMMERS_SALES[#Headers],0))</f>
        <v>Returning</v>
      </c>
      <c r="J47" t="str">
        <f>INDEX('ECOMMERS SALES'!$A:$J,MATCH('index match'!$A47,'ECOMMERS SALES'!$C:$C,0),MATCH('index match'!J$1,ECOMMERS_SALES[#Headers],0))</f>
        <v>COD</v>
      </c>
    </row>
    <row r="48" spans="1:10" x14ac:dyDescent="0.35">
      <c r="A48" t="s">
        <v>35</v>
      </c>
      <c r="B48">
        <f>INDEX('ECOMMERS SALES'!$A:$J,MATCH('index match'!$A48,'ECOMMERS SALES'!$C:$C,0),MATCH('index match'!B$1,ECOMMERS_SALES[#Headers],0))</f>
        <v>1007</v>
      </c>
      <c r="C48" t="str">
        <f>INDEX('ECOMMERS SALES'!$A:$J,MATCH('index match'!$A48,'ECOMMERS SALES'!$C:$C,0),MATCH('index match'!C$1,ECOMMERS_SALES[#Headers],0))</f>
        <v>08-01-2025</v>
      </c>
      <c r="D48" t="str">
        <f>INDEX('ECOMMERS SALES'!$A:$J,MATCH('index match'!$A48,'ECOMMERS SALES'!$C:$C,0),MATCH('index match'!D$1,ECOMMERS_SALES[#Headers],0))</f>
        <v>Books</v>
      </c>
      <c r="E48">
        <f>INDEX('ECOMMERS SALES'!$A:$J,MATCH('index match'!$A48,'ECOMMERS SALES'!$C:$C,0),MATCH('index match'!E$1,ECOMMERS_SALES[#Headers],0))</f>
        <v>3</v>
      </c>
      <c r="F48">
        <f>INDEX('ECOMMERS SALES'!$A:$J,MATCH('index match'!$A48,'ECOMMERS SALES'!$C:$C,0),MATCH('index match'!F$1,ECOMMERS_SALES[#Headers],0))</f>
        <v>621</v>
      </c>
      <c r="G48">
        <f>INDEX('ECOMMERS SALES'!$A:$J,MATCH('index match'!$A48,'ECOMMERS SALES'!$C:$C,0),MATCH('index match'!G$1,ECOMMERS_SALES[#Headers],0))</f>
        <v>1863</v>
      </c>
      <c r="H48" t="str">
        <f>INDEX('ECOMMERS SALES'!$A:$J,MATCH('index match'!$A48,'ECOMMERS SALES'!$C:$C,0),MATCH('index match'!H$1,ECOMMERS_SALES[#Headers],0))</f>
        <v>Hyderabad</v>
      </c>
      <c r="I48" t="str">
        <f>INDEX('ECOMMERS SALES'!$A:$J,MATCH('index match'!$A48,'ECOMMERS SALES'!$C:$C,0),MATCH('index match'!I$1,ECOMMERS_SALES[#Headers],0))</f>
        <v>Premimum</v>
      </c>
      <c r="J48" t="str">
        <f>INDEX('ECOMMERS SALES'!$A:$J,MATCH('index match'!$A48,'ECOMMERS SALES'!$C:$C,0),MATCH('index match'!J$1,ECOMMERS_SALES[#Headers],0))</f>
        <v>UPI</v>
      </c>
    </row>
    <row r="49" spans="1:10" x14ac:dyDescent="0.35">
      <c r="A49" t="s">
        <v>39</v>
      </c>
      <c r="B49">
        <f>INDEX('ECOMMERS SALES'!$A:$J,MATCH('index match'!$A49,'ECOMMERS SALES'!$C:$C,0),MATCH('index match'!B$1,ECOMMERS_SALES[#Headers],0))</f>
        <v>1008</v>
      </c>
      <c r="C49" t="str">
        <f>INDEX('ECOMMERS SALES'!$A:$J,MATCH('index match'!$A49,'ECOMMERS SALES'!$C:$C,0),MATCH('index match'!C$1,ECOMMERS_SALES[#Headers],0))</f>
        <v>09-01-2025</v>
      </c>
      <c r="D49" t="str">
        <f>INDEX('ECOMMERS SALES'!$A:$J,MATCH('index match'!$A49,'ECOMMERS SALES'!$C:$C,0),MATCH('index match'!D$1,ECOMMERS_SALES[#Headers],0))</f>
        <v>Fashion</v>
      </c>
      <c r="E49">
        <f>INDEX('ECOMMERS SALES'!$A:$J,MATCH('index match'!$A49,'ECOMMERS SALES'!$C:$C,0),MATCH('index match'!E$1,ECOMMERS_SALES[#Headers],0))</f>
        <v>2</v>
      </c>
      <c r="F49">
        <f>INDEX('ECOMMERS SALES'!$A:$J,MATCH('index match'!$A49,'ECOMMERS SALES'!$C:$C,0),MATCH('index match'!F$1,ECOMMERS_SALES[#Headers],0))</f>
        <v>905</v>
      </c>
      <c r="G49">
        <f>INDEX('ECOMMERS SALES'!$A:$J,MATCH('index match'!$A49,'ECOMMERS SALES'!$C:$C,0),MATCH('index match'!G$1,ECOMMERS_SALES[#Headers],0))</f>
        <v>1810</v>
      </c>
      <c r="H49" t="str">
        <f>INDEX('ECOMMERS SALES'!$A:$J,MATCH('index match'!$A49,'ECOMMERS SALES'!$C:$C,0),MATCH('index match'!H$1,ECOMMERS_SALES[#Headers],0))</f>
        <v>Bangalore</v>
      </c>
      <c r="I49" t="str">
        <f>INDEX('ECOMMERS SALES'!$A:$J,MATCH('index match'!$A49,'ECOMMERS SALES'!$C:$C,0),MATCH('index match'!I$1,ECOMMERS_SALES[#Headers],0))</f>
        <v>New</v>
      </c>
      <c r="J49" t="str">
        <f>INDEX('ECOMMERS SALES'!$A:$J,MATCH('index match'!$A49,'ECOMMERS SALES'!$C:$C,0),MATCH('index match'!J$1,ECOMMERS_SALES[#Headers],0))</f>
        <v>COD</v>
      </c>
    </row>
    <row r="50" spans="1:10" x14ac:dyDescent="0.35">
      <c r="A50" t="s">
        <v>42</v>
      </c>
      <c r="B50">
        <f>INDEX('ECOMMERS SALES'!$A:$J,MATCH('index match'!$A50,'ECOMMERS SALES'!$C:$C,0),MATCH('index match'!B$1,ECOMMERS_SALES[#Headers],0))</f>
        <v>1009</v>
      </c>
      <c r="C50" t="str">
        <f>INDEX('ECOMMERS SALES'!$A:$J,MATCH('index match'!$A50,'ECOMMERS SALES'!$C:$C,0),MATCH('index match'!C$1,ECOMMERS_SALES[#Headers],0))</f>
        <v>10-01-2025</v>
      </c>
      <c r="D50" t="str">
        <f>INDEX('ECOMMERS SALES'!$A:$J,MATCH('index match'!$A50,'ECOMMERS SALES'!$C:$C,0),MATCH('index match'!D$1,ECOMMERS_SALES[#Headers],0))</f>
        <v>Electronics</v>
      </c>
      <c r="E50">
        <f>INDEX('ECOMMERS SALES'!$A:$J,MATCH('index match'!$A50,'ECOMMERS SALES'!$C:$C,0),MATCH('index match'!E$1,ECOMMERS_SALES[#Headers],0))</f>
        <v>1</v>
      </c>
      <c r="F50">
        <f>INDEX('ECOMMERS SALES'!$A:$J,MATCH('index match'!$A50,'ECOMMERS SALES'!$C:$C,0),MATCH('index match'!F$1,ECOMMERS_SALES[#Headers],0))</f>
        <v>8563</v>
      </c>
      <c r="G50">
        <f>INDEX('ECOMMERS SALES'!$A:$J,MATCH('index match'!$A50,'ECOMMERS SALES'!$C:$C,0),MATCH('index match'!G$1,ECOMMERS_SALES[#Headers],0))</f>
        <v>8563</v>
      </c>
      <c r="H50" t="str">
        <f>INDEX('ECOMMERS SALES'!$A:$J,MATCH('index match'!$A50,'ECOMMERS SALES'!$C:$C,0),MATCH('index match'!H$1,ECOMMERS_SALES[#Headers],0))</f>
        <v>Hyderabad</v>
      </c>
      <c r="I50" t="str">
        <f>INDEX('ECOMMERS SALES'!$A:$J,MATCH('index match'!$A50,'ECOMMERS SALES'!$C:$C,0),MATCH('index match'!I$1,ECOMMERS_SALES[#Headers],0))</f>
        <v>Returning</v>
      </c>
      <c r="J50" t="str">
        <f>INDEX('ECOMMERS SALES'!$A:$J,MATCH('index match'!$A50,'ECOMMERS SALES'!$C:$C,0),MATCH('index match'!J$1,ECOMMERS_SALES[#Headers],0))</f>
        <v>Card</v>
      </c>
    </row>
    <row r="51" spans="1:10" x14ac:dyDescent="0.35">
      <c r="A51" t="s">
        <v>44</v>
      </c>
      <c r="B51">
        <f>INDEX('ECOMMERS SALES'!$A:$J,MATCH('index match'!$A51,'ECOMMERS SALES'!$C:$C,0),MATCH('index match'!B$1,ECOMMERS_SALES[#Headers],0))</f>
        <v>1010</v>
      </c>
      <c r="C51" t="str">
        <f>INDEX('ECOMMERS SALES'!$A:$J,MATCH('index match'!$A51,'ECOMMERS SALES'!$C:$C,0),MATCH('index match'!C$1,ECOMMERS_SALES[#Headers],0))</f>
        <v>11-01-2025</v>
      </c>
      <c r="D51" t="str">
        <f>INDEX('ECOMMERS SALES'!$A:$J,MATCH('index match'!$A51,'ECOMMERS SALES'!$C:$C,0),MATCH('index match'!D$1,ECOMMERS_SALES[#Headers],0))</f>
        <v>Other</v>
      </c>
      <c r="E51">
        <f>INDEX('ECOMMERS SALES'!$A:$J,MATCH('index match'!$A51,'ECOMMERS SALES'!$C:$C,0),MATCH('index match'!E$1,ECOMMERS_SALES[#Headers],0))</f>
        <v>1</v>
      </c>
      <c r="F51">
        <f>INDEX('ECOMMERS SALES'!$A:$J,MATCH('index match'!$A51,'ECOMMERS SALES'!$C:$C,0),MATCH('index match'!F$1,ECOMMERS_SALES[#Headers],0))</f>
        <v>268</v>
      </c>
      <c r="G51">
        <f>INDEX('ECOMMERS SALES'!$A:$J,MATCH('index match'!$A51,'ECOMMERS SALES'!$C:$C,0),MATCH('index match'!G$1,ECOMMERS_SALES[#Headers],0))</f>
        <v>268</v>
      </c>
      <c r="H51" t="str">
        <f>INDEX('ECOMMERS SALES'!$A:$J,MATCH('index match'!$A51,'ECOMMERS SALES'!$C:$C,0),MATCH('index match'!H$1,ECOMMERS_SALES[#Headers],0))</f>
        <v>Chennai</v>
      </c>
      <c r="I51" t="str">
        <f>INDEX('ECOMMERS SALES'!$A:$J,MATCH('index match'!$A51,'ECOMMERS SALES'!$C:$C,0),MATCH('index match'!I$1,ECOMMERS_SALES[#Headers],0))</f>
        <v>New</v>
      </c>
      <c r="J51" t="str">
        <f>INDEX('ECOMMERS SALES'!$A:$J,MATCH('index match'!$A51,'ECOMMERS SALES'!$C:$C,0),MATCH('index match'!J$1,ECOMMERS_SALES[#Headers],0))</f>
        <v>UPI</v>
      </c>
    </row>
    <row r="52" spans="1:10" x14ac:dyDescent="0.35">
      <c r="A52" t="s">
        <v>11</v>
      </c>
      <c r="B52">
        <f>INDEX('ECOMMERS SALES'!$A:$J,MATCH('index match'!$A52,'ECOMMERS SALES'!$C:$C,0),MATCH('index match'!B$1,ECOMMERS_SALES[#Headers],0))</f>
        <v>1001</v>
      </c>
      <c r="C52" t="str">
        <f>INDEX('ECOMMERS SALES'!$A:$J,MATCH('index match'!$A52,'ECOMMERS SALES'!$C:$C,0),MATCH('index match'!C$1,ECOMMERS_SALES[#Headers],0))</f>
        <v>02-01-2025</v>
      </c>
      <c r="D52" t="str">
        <f>INDEX('ECOMMERS SALES'!$A:$J,MATCH('index match'!$A52,'ECOMMERS SALES'!$C:$C,0),MATCH('index match'!D$1,ECOMMERS_SALES[#Headers],0))</f>
        <v>Electronics</v>
      </c>
      <c r="E52">
        <f>INDEX('ECOMMERS SALES'!$A:$J,MATCH('index match'!$A52,'ECOMMERS SALES'!$C:$C,0),MATCH('index match'!E$1,ECOMMERS_SALES[#Headers],0))</f>
        <v>2</v>
      </c>
      <c r="F52">
        <f>INDEX('ECOMMERS SALES'!$A:$J,MATCH('index match'!$A52,'ECOMMERS SALES'!$C:$C,0),MATCH('index match'!F$1,ECOMMERS_SALES[#Headers],0))</f>
        <v>50353</v>
      </c>
      <c r="G52">
        <f>INDEX('ECOMMERS SALES'!$A:$J,MATCH('index match'!$A52,'ECOMMERS SALES'!$C:$C,0),MATCH('index match'!G$1,ECOMMERS_SALES[#Headers],0))</f>
        <v>100706</v>
      </c>
      <c r="H52" t="str">
        <f>INDEX('ECOMMERS SALES'!$A:$J,MATCH('index match'!$A52,'ECOMMERS SALES'!$C:$C,0),MATCH('index match'!H$1,ECOMMERS_SALES[#Headers],0))</f>
        <v>Chennai</v>
      </c>
      <c r="I52" t="str">
        <f>INDEX('ECOMMERS SALES'!$A:$J,MATCH('index match'!$A52,'ECOMMERS SALES'!$C:$C,0),MATCH('index match'!I$1,ECOMMERS_SALES[#Headers],0))</f>
        <v>Premimum</v>
      </c>
      <c r="J52" t="str">
        <f>INDEX('ECOMMERS SALES'!$A:$J,MATCH('index match'!$A52,'ECOMMERS SALES'!$C:$C,0),MATCH('index match'!J$1,ECOMMERS_SALES[#Headers],0))</f>
        <v>Card</v>
      </c>
    </row>
    <row r="53" spans="1:10" x14ac:dyDescent="0.35">
      <c r="A53" t="s">
        <v>17</v>
      </c>
      <c r="B53">
        <f>INDEX('ECOMMERS SALES'!$A:$J,MATCH('index match'!$A53,'ECOMMERS SALES'!$C:$C,0),MATCH('index match'!B$1,ECOMMERS_SALES[#Headers],0))</f>
        <v>1002</v>
      </c>
      <c r="C53" t="str">
        <f>INDEX('ECOMMERS SALES'!$A:$J,MATCH('index match'!$A53,'ECOMMERS SALES'!$C:$C,0),MATCH('index match'!C$1,ECOMMERS_SALES[#Headers],0))</f>
        <v>03-01-2025</v>
      </c>
      <c r="D53" t="str">
        <f>INDEX('ECOMMERS SALES'!$A:$J,MATCH('index match'!$A53,'ECOMMERS SALES'!$C:$C,0),MATCH('index match'!D$1,ECOMMERS_SALES[#Headers],0))</f>
        <v>Electronics</v>
      </c>
      <c r="E53">
        <f>INDEX('ECOMMERS SALES'!$A:$J,MATCH('index match'!$A53,'ECOMMERS SALES'!$C:$C,0),MATCH('index match'!E$1,ECOMMERS_SALES[#Headers],0))</f>
        <v>2</v>
      </c>
      <c r="F53">
        <f>INDEX('ECOMMERS SALES'!$A:$J,MATCH('index match'!$A53,'ECOMMERS SALES'!$C:$C,0),MATCH('index match'!F$1,ECOMMERS_SALES[#Headers],0))</f>
        <v>2008</v>
      </c>
      <c r="G53">
        <f>INDEX('ECOMMERS SALES'!$A:$J,MATCH('index match'!$A53,'ECOMMERS SALES'!$C:$C,0),MATCH('index match'!G$1,ECOMMERS_SALES[#Headers],0))</f>
        <v>4016</v>
      </c>
      <c r="H53" t="str">
        <f>INDEX('ECOMMERS SALES'!$A:$J,MATCH('index match'!$A53,'ECOMMERS SALES'!$C:$C,0),MATCH('index match'!H$1,ECOMMERS_SALES[#Headers],0))</f>
        <v>Delhi</v>
      </c>
      <c r="I53" t="str">
        <f>INDEX('ECOMMERS SALES'!$A:$J,MATCH('index match'!$A53,'ECOMMERS SALES'!$C:$C,0),MATCH('index match'!I$1,ECOMMERS_SALES[#Headers],0))</f>
        <v>New</v>
      </c>
      <c r="J53" t="str">
        <f>INDEX('ECOMMERS SALES'!$A:$J,MATCH('index match'!$A53,'ECOMMERS SALES'!$C:$C,0),MATCH('index match'!J$1,ECOMMERS_SALES[#Headers],0))</f>
        <v>UPI</v>
      </c>
    </row>
    <row r="54" spans="1:10" x14ac:dyDescent="0.35">
      <c r="A54" t="s">
        <v>22</v>
      </c>
      <c r="B54">
        <f>INDEX('ECOMMERS SALES'!$A:$J,MATCH('index match'!$A54,'ECOMMERS SALES'!$C:$C,0),MATCH('index match'!B$1,ECOMMERS_SALES[#Headers],0))</f>
        <v>1003</v>
      </c>
      <c r="C54" t="str">
        <f>INDEX('ECOMMERS SALES'!$A:$J,MATCH('index match'!$A54,'ECOMMERS SALES'!$C:$C,0),MATCH('index match'!C$1,ECOMMERS_SALES[#Headers],0))</f>
        <v>04-01-2025</v>
      </c>
      <c r="D54" t="str">
        <f>INDEX('ECOMMERS SALES'!$A:$J,MATCH('index match'!$A54,'ECOMMERS SALES'!$C:$C,0),MATCH('index match'!D$1,ECOMMERS_SALES[#Headers],0))</f>
        <v>Fashion</v>
      </c>
      <c r="E54">
        <f>INDEX('ECOMMERS SALES'!$A:$J,MATCH('index match'!$A54,'ECOMMERS SALES'!$C:$C,0),MATCH('index match'!E$1,ECOMMERS_SALES[#Headers],0))</f>
        <v>1</v>
      </c>
      <c r="F54">
        <f>INDEX('ECOMMERS SALES'!$A:$J,MATCH('index match'!$A54,'ECOMMERS SALES'!$C:$C,0),MATCH('index match'!F$1,ECOMMERS_SALES[#Headers],0))</f>
        <v>4736</v>
      </c>
      <c r="G54">
        <f>INDEX('ECOMMERS SALES'!$A:$J,MATCH('index match'!$A54,'ECOMMERS SALES'!$C:$C,0),MATCH('index match'!G$1,ECOMMERS_SALES[#Headers],0))</f>
        <v>4736</v>
      </c>
      <c r="H54" t="str">
        <f>INDEX('ECOMMERS SALES'!$A:$J,MATCH('index match'!$A54,'ECOMMERS SALES'!$C:$C,0),MATCH('index match'!H$1,ECOMMERS_SALES[#Headers],0))</f>
        <v>Chennai</v>
      </c>
      <c r="I54" t="str">
        <f>INDEX('ECOMMERS SALES'!$A:$J,MATCH('index match'!$A54,'ECOMMERS SALES'!$C:$C,0),MATCH('index match'!I$1,ECOMMERS_SALES[#Headers],0))</f>
        <v>New</v>
      </c>
      <c r="J54" t="str">
        <f>INDEX('ECOMMERS SALES'!$A:$J,MATCH('index match'!$A54,'ECOMMERS SALES'!$C:$C,0),MATCH('index match'!J$1,ECOMMERS_SALES[#Headers],0))</f>
        <v>UPI</v>
      </c>
    </row>
    <row r="55" spans="1:10" x14ac:dyDescent="0.35">
      <c r="A55" t="s">
        <v>25</v>
      </c>
      <c r="B55">
        <f>INDEX('ECOMMERS SALES'!$A:$J,MATCH('index match'!$A55,'ECOMMERS SALES'!$C:$C,0),MATCH('index match'!B$1,ECOMMERS_SALES[#Headers],0))</f>
        <v>1004</v>
      </c>
      <c r="C55" t="str">
        <f>INDEX('ECOMMERS SALES'!$A:$J,MATCH('index match'!$A55,'ECOMMERS SALES'!$C:$C,0),MATCH('index match'!C$1,ECOMMERS_SALES[#Headers],0))</f>
        <v>05-01-2025</v>
      </c>
      <c r="D55" t="str">
        <f>INDEX('ECOMMERS SALES'!$A:$J,MATCH('index match'!$A55,'ECOMMERS SALES'!$C:$C,0),MATCH('index match'!D$1,ECOMMERS_SALES[#Headers],0))</f>
        <v>Other</v>
      </c>
      <c r="E55">
        <f>INDEX('ECOMMERS SALES'!$A:$J,MATCH('index match'!$A55,'ECOMMERS SALES'!$C:$C,0),MATCH('index match'!E$1,ECOMMERS_SALES[#Headers],0))</f>
        <v>2</v>
      </c>
      <c r="F55">
        <f>INDEX('ECOMMERS SALES'!$A:$J,MATCH('index match'!$A55,'ECOMMERS SALES'!$C:$C,0),MATCH('index match'!F$1,ECOMMERS_SALES[#Headers],0))</f>
        <v>10072</v>
      </c>
      <c r="G55">
        <f>INDEX('ECOMMERS SALES'!$A:$J,MATCH('index match'!$A55,'ECOMMERS SALES'!$C:$C,0),MATCH('index match'!G$1,ECOMMERS_SALES[#Headers],0))</f>
        <v>20144</v>
      </c>
      <c r="H55" t="str">
        <f>INDEX('ECOMMERS SALES'!$A:$J,MATCH('index match'!$A55,'ECOMMERS SALES'!$C:$C,0),MATCH('index match'!H$1,ECOMMERS_SALES[#Headers],0))</f>
        <v>Pune</v>
      </c>
      <c r="I55" t="str">
        <f>INDEX('ECOMMERS SALES'!$A:$J,MATCH('index match'!$A55,'ECOMMERS SALES'!$C:$C,0),MATCH('index match'!I$1,ECOMMERS_SALES[#Headers],0))</f>
        <v>Premimum</v>
      </c>
      <c r="J55" t="str">
        <f>INDEX('ECOMMERS SALES'!$A:$J,MATCH('index match'!$A55,'ECOMMERS SALES'!$C:$C,0),MATCH('index match'!J$1,ECOMMERS_SALES[#Headers],0))</f>
        <v>Card</v>
      </c>
    </row>
    <row r="56" spans="1:10" x14ac:dyDescent="0.35">
      <c r="A56" t="s">
        <v>29</v>
      </c>
      <c r="B56">
        <f>INDEX('ECOMMERS SALES'!$A:$J,MATCH('index match'!$A56,'ECOMMERS SALES'!$C:$C,0),MATCH('index match'!B$1,ECOMMERS_SALES[#Headers],0))</f>
        <v>1005</v>
      </c>
      <c r="C56" t="str">
        <f>INDEX('ECOMMERS SALES'!$A:$J,MATCH('index match'!$A56,'ECOMMERS SALES'!$C:$C,0),MATCH('index match'!C$1,ECOMMERS_SALES[#Headers],0))</f>
        <v>06-01-2025</v>
      </c>
      <c r="D56" t="str">
        <f>INDEX('ECOMMERS SALES'!$A:$J,MATCH('index match'!$A56,'ECOMMERS SALES'!$C:$C,0),MATCH('index match'!D$1,ECOMMERS_SALES[#Headers],0))</f>
        <v>Other</v>
      </c>
      <c r="E56">
        <f>INDEX('ECOMMERS SALES'!$A:$J,MATCH('index match'!$A56,'ECOMMERS SALES'!$C:$C,0),MATCH('index match'!E$1,ECOMMERS_SALES[#Headers],0))</f>
        <v>2</v>
      </c>
      <c r="F56">
        <f>INDEX('ECOMMERS SALES'!$A:$J,MATCH('index match'!$A56,'ECOMMERS SALES'!$C:$C,0),MATCH('index match'!F$1,ECOMMERS_SALES[#Headers],0))</f>
        <v>920</v>
      </c>
      <c r="G56">
        <f>INDEX('ECOMMERS SALES'!$A:$J,MATCH('index match'!$A56,'ECOMMERS SALES'!$C:$C,0),MATCH('index match'!G$1,ECOMMERS_SALES[#Headers],0))</f>
        <v>1840</v>
      </c>
      <c r="H56" t="str">
        <f>INDEX('ECOMMERS SALES'!$A:$J,MATCH('index match'!$A56,'ECOMMERS SALES'!$C:$C,0),MATCH('index match'!H$1,ECOMMERS_SALES[#Headers],0))</f>
        <v>Pune</v>
      </c>
      <c r="I56" t="str">
        <f>INDEX('ECOMMERS SALES'!$A:$J,MATCH('index match'!$A56,'ECOMMERS SALES'!$C:$C,0),MATCH('index match'!I$1,ECOMMERS_SALES[#Headers],0))</f>
        <v>New</v>
      </c>
      <c r="J56" t="str">
        <f>INDEX('ECOMMERS SALES'!$A:$J,MATCH('index match'!$A56,'ECOMMERS SALES'!$C:$C,0),MATCH('index match'!J$1,ECOMMERS_SALES[#Headers],0))</f>
        <v>UPI</v>
      </c>
    </row>
    <row r="57" spans="1:10" x14ac:dyDescent="0.35">
      <c r="A57" t="s">
        <v>31</v>
      </c>
      <c r="B57">
        <f>INDEX('ECOMMERS SALES'!$A:$J,MATCH('index match'!$A57,'ECOMMERS SALES'!$C:$C,0),MATCH('index match'!B$1,ECOMMERS_SALES[#Headers],0))</f>
        <v>1006</v>
      </c>
      <c r="C57" t="str">
        <f>INDEX('ECOMMERS SALES'!$A:$J,MATCH('index match'!$A57,'ECOMMERS SALES'!$C:$C,0),MATCH('index match'!C$1,ECOMMERS_SALES[#Headers],0))</f>
        <v>07-01-2025</v>
      </c>
      <c r="D57" t="str">
        <f>INDEX('ECOMMERS SALES'!$A:$J,MATCH('index match'!$A57,'ECOMMERS SALES'!$C:$C,0),MATCH('index match'!D$1,ECOMMERS_SALES[#Headers],0))</f>
        <v>Electronics</v>
      </c>
      <c r="E57">
        <f>INDEX('ECOMMERS SALES'!$A:$J,MATCH('index match'!$A57,'ECOMMERS SALES'!$C:$C,0),MATCH('index match'!E$1,ECOMMERS_SALES[#Headers],0))</f>
        <v>1</v>
      </c>
      <c r="F57">
        <f>INDEX('ECOMMERS SALES'!$A:$J,MATCH('index match'!$A57,'ECOMMERS SALES'!$C:$C,0),MATCH('index match'!F$1,ECOMMERS_SALES[#Headers],0))</f>
        <v>13225</v>
      </c>
      <c r="G57">
        <f>INDEX('ECOMMERS SALES'!$A:$J,MATCH('index match'!$A57,'ECOMMERS SALES'!$C:$C,0),MATCH('index match'!G$1,ECOMMERS_SALES[#Headers],0))</f>
        <v>13225</v>
      </c>
      <c r="H57" t="str">
        <f>INDEX('ECOMMERS SALES'!$A:$J,MATCH('index match'!$A57,'ECOMMERS SALES'!$C:$C,0),MATCH('index match'!H$1,ECOMMERS_SALES[#Headers],0))</f>
        <v>Delhi</v>
      </c>
      <c r="I57" t="str">
        <f>INDEX('ECOMMERS SALES'!$A:$J,MATCH('index match'!$A57,'ECOMMERS SALES'!$C:$C,0),MATCH('index match'!I$1,ECOMMERS_SALES[#Headers],0))</f>
        <v>Returning</v>
      </c>
      <c r="J57" t="str">
        <f>INDEX('ECOMMERS SALES'!$A:$J,MATCH('index match'!$A57,'ECOMMERS SALES'!$C:$C,0),MATCH('index match'!J$1,ECOMMERS_SALES[#Headers],0))</f>
        <v>COD</v>
      </c>
    </row>
    <row r="58" spans="1:10" x14ac:dyDescent="0.35">
      <c r="A58" t="s">
        <v>35</v>
      </c>
      <c r="B58">
        <f>INDEX('ECOMMERS SALES'!$A:$J,MATCH('index match'!$A58,'ECOMMERS SALES'!$C:$C,0),MATCH('index match'!B$1,ECOMMERS_SALES[#Headers],0))</f>
        <v>1007</v>
      </c>
      <c r="C58" t="str">
        <f>INDEX('ECOMMERS SALES'!$A:$J,MATCH('index match'!$A58,'ECOMMERS SALES'!$C:$C,0),MATCH('index match'!C$1,ECOMMERS_SALES[#Headers],0))</f>
        <v>08-01-2025</v>
      </c>
      <c r="D58" t="str">
        <f>INDEX('ECOMMERS SALES'!$A:$J,MATCH('index match'!$A58,'ECOMMERS SALES'!$C:$C,0),MATCH('index match'!D$1,ECOMMERS_SALES[#Headers],0))</f>
        <v>Books</v>
      </c>
      <c r="E58">
        <f>INDEX('ECOMMERS SALES'!$A:$J,MATCH('index match'!$A58,'ECOMMERS SALES'!$C:$C,0),MATCH('index match'!E$1,ECOMMERS_SALES[#Headers],0))</f>
        <v>3</v>
      </c>
      <c r="F58">
        <f>INDEX('ECOMMERS SALES'!$A:$J,MATCH('index match'!$A58,'ECOMMERS SALES'!$C:$C,0),MATCH('index match'!F$1,ECOMMERS_SALES[#Headers],0))</f>
        <v>621</v>
      </c>
      <c r="G58">
        <f>INDEX('ECOMMERS SALES'!$A:$J,MATCH('index match'!$A58,'ECOMMERS SALES'!$C:$C,0),MATCH('index match'!G$1,ECOMMERS_SALES[#Headers],0))</f>
        <v>1863</v>
      </c>
      <c r="H58" t="str">
        <f>INDEX('ECOMMERS SALES'!$A:$J,MATCH('index match'!$A58,'ECOMMERS SALES'!$C:$C,0),MATCH('index match'!H$1,ECOMMERS_SALES[#Headers],0))</f>
        <v>Hyderabad</v>
      </c>
      <c r="I58" t="str">
        <f>INDEX('ECOMMERS SALES'!$A:$J,MATCH('index match'!$A58,'ECOMMERS SALES'!$C:$C,0),MATCH('index match'!I$1,ECOMMERS_SALES[#Headers],0))</f>
        <v>Premimum</v>
      </c>
      <c r="J58" t="str">
        <f>INDEX('ECOMMERS SALES'!$A:$J,MATCH('index match'!$A58,'ECOMMERS SALES'!$C:$C,0),MATCH('index match'!J$1,ECOMMERS_SALES[#Headers],0))</f>
        <v>UPI</v>
      </c>
    </row>
    <row r="59" spans="1:10" x14ac:dyDescent="0.35">
      <c r="A59" t="s">
        <v>39</v>
      </c>
      <c r="B59">
        <f>INDEX('ECOMMERS SALES'!$A:$J,MATCH('index match'!$A59,'ECOMMERS SALES'!$C:$C,0),MATCH('index match'!B$1,ECOMMERS_SALES[#Headers],0))</f>
        <v>1008</v>
      </c>
      <c r="C59" t="str">
        <f>INDEX('ECOMMERS SALES'!$A:$J,MATCH('index match'!$A59,'ECOMMERS SALES'!$C:$C,0),MATCH('index match'!C$1,ECOMMERS_SALES[#Headers],0))</f>
        <v>09-01-2025</v>
      </c>
      <c r="D59" t="str">
        <f>INDEX('ECOMMERS SALES'!$A:$J,MATCH('index match'!$A59,'ECOMMERS SALES'!$C:$C,0),MATCH('index match'!D$1,ECOMMERS_SALES[#Headers],0))</f>
        <v>Fashion</v>
      </c>
      <c r="E59">
        <f>INDEX('ECOMMERS SALES'!$A:$J,MATCH('index match'!$A59,'ECOMMERS SALES'!$C:$C,0),MATCH('index match'!E$1,ECOMMERS_SALES[#Headers],0))</f>
        <v>2</v>
      </c>
      <c r="F59">
        <f>INDEX('ECOMMERS SALES'!$A:$J,MATCH('index match'!$A59,'ECOMMERS SALES'!$C:$C,0),MATCH('index match'!F$1,ECOMMERS_SALES[#Headers],0))</f>
        <v>905</v>
      </c>
      <c r="G59">
        <f>INDEX('ECOMMERS SALES'!$A:$J,MATCH('index match'!$A59,'ECOMMERS SALES'!$C:$C,0),MATCH('index match'!G$1,ECOMMERS_SALES[#Headers],0))</f>
        <v>1810</v>
      </c>
      <c r="H59" t="str">
        <f>INDEX('ECOMMERS SALES'!$A:$J,MATCH('index match'!$A59,'ECOMMERS SALES'!$C:$C,0),MATCH('index match'!H$1,ECOMMERS_SALES[#Headers],0))</f>
        <v>Bangalore</v>
      </c>
      <c r="I59" t="str">
        <f>INDEX('ECOMMERS SALES'!$A:$J,MATCH('index match'!$A59,'ECOMMERS SALES'!$C:$C,0),MATCH('index match'!I$1,ECOMMERS_SALES[#Headers],0))</f>
        <v>New</v>
      </c>
      <c r="J59" t="str">
        <f>INDEX('ECOMMERS SALES'!$A:$J,MATCH('index match'!$A59,'ECOMMERS SALES'!$C:$C,0),MATCH('index match'!J$1,ECOMMERS_SALES[#Headers],0))</f>
        <v>COD</v>
      </c>
    </row>
    <row r="60" spans="1:10" x14ac:dyDescent="0.35">
      <c r="A60" t="s">
        <v>42</v>
      </c>
      <c r="B60">
        <f>INDEX('ECOMMERS SALES'!$A:$J,MATCH('index match'!$A60,'ECOMMERS SALES'!$C:$C,0),MATCH('index match'!B$1,ECOMMERS_SALES[#Headers],0))</f>
        <v>1009</v>
      </c>
      <c r="C60" t="str">
        <f>INDEX('ECOMMERS SALES'!$A:$J,MATCH('index match'!$A60,'ECOMMERS SALES'!$C:$C,0),MATCH('index match'!C$1,ECOMMERS_SALES[#Headers],0))</f>
        <v>10-01-2025</v>
      </c>
      <c r="D60" t="str">
        <f>INDEX('ECOMMERS SALES'!$A:$J,MATCH('index match'!$A60,'ECOMMERS SALES'!$C:$C,0),MATCH('index match'!D$1,ECOMMERS_SALES[#Headers],0))</f>
        <v>Electronics</v>
      </c>
      <c r="E60">
        <f>INDEX('ECOMMERS SALES'!$A:$J,MATCH('index match'!$A60,'ECOMMERS SALES'!$C:$C,0),MATCH('index match'!E$1,ECOMMERS_SALES[#Headers],0))</f>
        <v>1</v>
      </c>
      <c r="F60">
        <f>INDEX('ECOMMERS SALES'!$A:$J,MATCH('index match'!$A60,'ECOMMERS SALES'!$C:$C,0),MATCH('index match'!F$1,ECOMMERS_SALES[#Headers],0))</f>
        <v>8563</v>
      </c>
      <c r="G60">
        <f>INDEX('ECOMMERS SALES'!$A:$J,MATCH('index match'!$A60,'ECOMMERS SALES'!$C:$C,0),MATCH('index match'!G$1,ECOMMERS_SALES[#Headers],0))</f>
        <v>8563</v>
      </c>
      <c r="H60" t="str">
        <f>INDEX('ECOMMERS SALES'!$A:$J,MATCH('index match'!$A60,'ECOMMERS SALES'!$C:$C,0),MATCH('index match'!H$1,ECOMMERS_SALES[#Headers],0))</f>
        <v>Hyderabad</v>
      </c>
      <c r="I60" t="str">
        <f>INDEX('ECOMMERS SALES'!$A:$J,MATCH('index match'!$A60,'ECOMMERS SALES'!$C:$C,0),MATCH('index match'!I$1,ECOMMERS_SALES[#Headers],0))</f>
        <v>Returning</v>
      </c>
      <c r="J60" t="str">
        <f>INDEX('ECOMMERS SALES'!$A:$J,MATCH('index match'!$A60,'ECOMMERS SALES'!$C:$C,0),MATCH('index match'!J$1,ECOMMERS_SALES[#Headers],0))</f>
        <v>Card</v>
      </c>
    </row>
    <row r="61" spans="1:10" x14ac:dyDescent="0.35">
      <c r="A61" t="s">
        <v>44</v>
      </c>
      <c r="B61">
        <f>INDEX('ECOMMERS SALES'!$A:$J,MATCH('index match'!$A61,'ECOMMERS SALES'!$C:$C,0),MATCH('index match'!B$1,ECOMMERS_SALES[#Headers],0))</f>
        <v>1010</v>
      </c>
      <c r="C61" t="str">
        <f>INDEX('ECOMMERS SALES'!$A:$J,MATCH('index match'!$A61,'ECOMMERS SALES'!$C:$C,0),MATCH('index match'!C$1,ECOMMERS_SALES[#Headers],0))</f>
        <v>11-01-2025</v>
      </c>
      <c r="D61" t="str">
        <f>INDEX('ECOMMERS SALES'!$A:$J,MATCH('index match'!$A61,'ECOMMERS SALES'!$C:$C,0),MATCH('index match'!D$1,ECOMMERS_SALES[#Headers],0))</f>
        <v>Other</v>
      </c>
      <c r="E61">
        <f>INDEX('ECOMMERS SALES'!$A:$J,MATCH('index match'!$A61,'ECOMMERS SALES'!$C:$C,0),MATCH('index match'!E$1,ECOMMERS_SALES[#Headers],0))</f>
        <v>1</v>
      </c>
      <c r="F61">
        <f>INDEX('ECOMMERS SALES'!$A:$J,MATCH('index match'!$A61,'ECOMMERS SALES'!$C:$C,0),MATCH('index match'!F$1,ECOMMERS_SALES[#Headers],0))</f>
        <v>268</v>
      </c>
      <c r="G61">
        <f>INDEX('ECOMMERS SALES'!$A:$J,MATCH('index match'!$A61,'ECOMMERS SALES'!$C:$C,0),MATCH('index match'!G$1,ECOMMERS_SALES[#Headers],0))</f>
        <v>268</v>
      </c>
      <c r="H61" t="str">
        <f>INDEX('ECOMMERS SALES'!$A:$J,MATCH('index match'!$A61,'ECOMMERS SALES'!$C:$C,0),MATCH('index match'!H$1,ECOMMERS_SALES[#Headers],0))</f>
        <v>Chennai</v>
      </c>
      <c r="I61" t="str">
        <f>INDEX('ECOMMERS SALES'!$A:$J,MATCH('index match'!$A61,'ECOMMERS SALES'!$C:$C,0),MATCH('index match'!I$1,ECOMMERS_SALES[#Headers],0))</f>
        <v>New</v>
      </c>
      <c r="J61" t="str">
        <f>INDEX('ECOMMERS SALES'!$A:$J,MATCH('index match'!$A61,'ECOMMERS SALES'!$C:$C,0),MATCH('index match'!J$1,ECOMMERS_SALES[#Headers],0))</f>
        <v>UPI</v>
      </c>
    </row>
    <row r="62" spans="1:10" x14ac:dyDescent="0.35">
      <c r="A62" t="s">
        <v>11</v>
      </c>
      <c r="B62">
        <f>INDEX('ECOMMERS SALES'!$A:$J,MATCH('index match'!$A62,'ECOMMERS SALES'!$C:$C,0),MATCH('index match'!B$1,ECOMMERS_SALES[#Headers],0))</f>
        <v>1001</v>
      </c>
      <c r="C62" t="str">
        <f>INDEX('ECOMMERS SALES'!$A:$J,MATCH('index match'!$A62,'ECOMMERS SALES'!$C:$C,0),MATCH('index match'!C$1,ECOMMERS_SALES[#Headers],0))</f>
        <v>02-01-2025</v>
      </c>
      <c r="D62" t="str">
        <f>INDEX('ECOMMERS SALES'!$A:$J,MATCH('index match'!$A62,'ECOMMERS SALES'!$C:$C,0),MATCH('index match'!D$1,ECOMMERS_SALES[#Headers],0))</f>
        <v>Electronics</v>
      </c>
      <c r="E62">
        <f>INDEX('ECOMMERS SALES'!$A:$J,MATCH('index match'!$A62,'ECOMMERS SALES'!$C:$C,0),MATCH('index match'!E$1,ECOMMERS_SALES[#Headers],0))</f>
        <v>2</v>
      </c>
      <c r="F62">
        <f>INDEX('ECOMMERS SALES'!$A:$J,MATCH('index match'!$A62,'ECOMMERS SALES'!$C:$C,0),MATCH('index match'!F$1,ECOMMERS_SALES[#Headers],0))</f>
        <v>50353</v>
      </c>
      <c r="G62">
        <f>INDEX('ECOMMERS SALES'!$A:$J,MATCH('index match'!$A62,'ECOMMERS SALES'!$C:$C,0),MATCH('index match'!G$1,ECOMMERS_SALES[#Headers],0))</f>
        <v>100706</v>
      </c>
      <c r="H62" t="str">
        <f>INDEX('ECOMMERS SALES'!$A:$J,MATCH('index match'!$A62,'ECOMMERS SALES'!$C:$C,0),MATCH('index match'!H$1,ECOMMERS_SALES[#Headers],0))</f>
        <v>Chennai</v>
      </c>
      <c r="I62" t="str">
        <f>INDEX('ECOMMERS SALES'!$A:$J,MATCH('index match'!$A62,'ECOMMERS SALES'!$C:$C,0),MATCH('index match'!I$1,ECOMMERS_SALES[#Headers],0))</f>
        <v>Premimum</v>
      </c>
      <c r="J62" t="str">
        <f>INDEX('ECOMMERS SALES'!$A:$J,MATCH('index match'!$A62,'ECOMMERS SALES'!$C:$C,0),MATCH('index match'!J$1,ECOMMERS_SALES[#Headers],0))</f>
        <v>Card</v>
      </c>
    </row>
    <row r="63" spans="1:10" x14ac:dyDescent="0.35">
      <c r="A63" t="s">
        <v>17</v>
      </c>
      <c r="B63">
        <f>INDEX('ECOMMERS SALES'!$A:$J,MATCH('index match'!$A63,'ECOMMERS SALES'!$C:$C,0),MATCH('index match'!B$1,ECOMMERS_SALES[#Headers],0))</f>
        <v>1002</v>
      </c>
      <c r="C63" t="str">
        <f>INDEX('ECOMMERS SALES'!$A:$J,MATCH('index match'!$A63,'ECOMMERS SALES'!$C:$C,0),MATCH('index match'!C$1,ECOMMERS_SALES[#Headers],0))</f>
        <v>03-01-2025</v>
      </c>
      <c r="D63" t="str">
        <f>INDEX('ECOMMERS SALES'!$A:$J,MATCH('index match'!$A63,'ECOMMERS SALES'!$C:$C,0),MATCH('index match'!D$1,ECOMMERS_SALES[#Headers],0))</f>
        <v>Electronics</v>
      </c>
      <c r="E63">
        <f>INDEX('ECOMMERS SALES'!$A:$J,MATCH('index match'!$A63,'ECOMMERS SALES'!$C:$C,0),MATCH('index match'!E$1,ECOMMERS_SALES[#Headers],0))</f>
        <v>2</v>
      </c>
      <c r="F63">
        <f>INDEX('ECOMMERS SALES'!$A:$J,MATCH('index match'!$A63,'ECOMMERS SALES'!$C:$C,0),MATCH('index match'!F$1,ECOMMERS_SALES[#Headers],0))</f>
        <v>2008</v>
      </c>
      <c r="G63">
        <f>INDEX('ECOMMERS SALES'!$A:$J,MATCH('index match'!$A63,'ECOMMERS SALES'!$C:$C,0),MATCH('index match'!G$1,ECOMMERS_SALES[#Headers],0))</f>
        <v>4016</v>
      </c>
      <c r="H63" t="str">
        <f>INDEX('ECOMMERS SALES'!$A:$J,MATCH('index match'!$A63,'ECOMMERS SALES'!$C:$C,0),MATCH('index match'!H$1,ECOMMERS_SALES[#Headers],0))</f>
        <v>Delhi</v>
      </c>
      <c r="I63" t="str">
        <f>INDEX('ECOMMERS SALES'!$A:$J,MATCH('index match'!$A63,'ECOMMERS SALES'!$C:$C,0),MATCH('index match'!I$1,ECOMMERS_SALES[#Headers],0))</f>
        <v>New</v>
      </c>
      <c r="J63" t="str">
        <f>INDEX('ECOMMERS SALES'!$A:$J,MATCH('index match'!$A63,'ECOMMERS SALES'!$C:$C,0),MATCH('index match'!J$1,ECOMMERS_SALES[#Headers],0))</f>
        <v>UPI</v>
      </c>
    </row>
    <row r="64" spans="1:10" x14ac:dyDescent="0.35">
      <c r="A64" t="s">
        <v>22</v>
      </c>
      <c r="B64">
        <f>INDEX('ECOMMERS SALES'!$A:$J,MATCH('index match'!$A64,'ECOMMERS SALES'!$C:$C,0),MATCH('index match'!B$1,ECOMMERS_SALES[#Headers],0))</f>
        <v>1003</v>
      </c>
      <c r="C64" t="str">
        <f>INDEX('ECOMMERS SALES'!$A:$J,MATCH('index match'!$A64,'ECOMMERS SALES'!$C:$C,0),MATCH('index match'!C$1,ECOMMERS_SALES[#Headers],0))</f>
        <v>04-01-2025</v>
      </c>
      <c r="D64" t="str">
        <f>INDEX('ECOMMERS SALES'!$A:$J,MATCH('index match'!$A64,'ECOMMERS SALES'!$C:$C,0),MATCH('index match'!D$1,ECOMMERS_SALES[#Headers],0))</f>
        <v>Fashion</v>
      </c>
      <c r="E64">
        <f>INDEX('ECOMMERS SALES'!$A:$J,MATCH('index match'!$A64,'ECOMMERS SALES'!$C:$C,0),MATCH('index match'!E$1,ECOMMERS_SALES[#Headers],0))</f>
        <v>1</v>
      </c>
      <c r="F64">
        <f>INDEX('ECOMMERS SALES'!$A:$J,MATCH('index match'!$A64,'ECOMMERS SALES'!$C:$C,0),MATCH('index match'!F$1,ECOMMERS_SALES[#Headers],0))</f>
        <v>4736</v>
      </c>
      <c r="G64">
        <f>INDEX('ECOMMERS SALES'!$A:$J,MATCH('index match'!$A64,'ECOMMERS SALES'!$C:$C,0),MATCH('index match'!G$1,ECOMMERS_SALES[#Headers],0))</f>
        <v>4736</v>
      </c>
      <c r="H64" t="str">
        <f>INDEX('ECOMMERS SALES'!$A:$J,MATCH('index match'!$A64,'ECOMMERS SALES'!$C:$C,0),MATCH('index match'!H$1,ECOMMERS_SALES[#Headers],0))</f>
        <v>Chennai</v>
      </c>
      <c r="I64" t="str">
        <f>INDEX('ECOMMERS SALES'!$A:$J,MATCH('index match'!$A64,'ECOMMERS SALES'!$C:$C,0),MATCH('index match'!I$1,ECOMMERS_SALES[#Headers],0))</f>
        <v>New</v>
      </c>
      <c r="J64" t="str">
        <f>INDEX('ECOMMERS SALES'!$A:$J,MATCH('index match'!$A64,'ECOMMERS SALES'!$C:$C,0),MATCH('index match'!J$1,ECOMMERS_SALES[#Headers],0))</f>
        <v>UPI</v>
      </c>
    </row>
    <row r="65" spans="1:10" x14ac:dyDescent="0.35">
      <c r="A65" t="s">
        <v>25</v>
      </c>
      <c r="B65">
        <f>INDEX('ECOMMERS SALES'!$A:$J,MATCH('index match'!$A65,'ECOMMERS SALES'!$C:$C,0),MATCH('index match'!B$1,ECOMMERS_SALES[#Headers],0))</f>
        <v>1004</v>
      </c>
      <c r="C65" t="str">
        <f>INDEX('ECOMMERS SALES'!$A:$J,MATCH('index match'!$A65,'ECOMMERS SALES'!$C:$C,0),MATCH('index match'!C$1,ECOMMERS_SALES[#Headers],0))</f>
        <v>05-01-2025</v>
      </c>
      <c r="D65" t="str">
        <f>INDEX('ECOMMERS SALES'!$A:$J,MATCH('index match'!$A65,'ECOMMERS SALES'!$C:$C,0),MATCH('index match'!D$1,ECOMMERS_SALES[#Headers],0))</f>
        <v>Other</v>
      </c>
      <c r="E65">
        <f>INDEX('ECOMMERS SALES'!$A:$J,MATCH('index match'!$A65,'ECOMMERS SALES'!$C:$C,0),MATCH('index match'!E$1,ECOMMERS_SALES[#Headers],0))</f>
        <v>2</v>
      </c>
      <c r="F65">
        <f>INDEX('ECOMMERS SALES'!$A:$J,MATCH('index match'!$A65,'ECOMMERS SALES'!$C:$C,0),MATCH('index match'!F$1,ECOMMERS_SALES[#Headers],0))</f>
        <v>10072</v>
      </c>
      <c r="G65">
        <f>INDEX('ECOMMERS SALES'!$A:$J,MATCH('index match'!$A65,'ECOMMERS SALES'!$C:$C,0),MATCH('index match'!G$1,ECOMMERS_SALES[#Headers],0))</f>
        <v>20144</v>
      </c>
      <c r="H65" t="str">
        <f>INDEX('ECOMMERS SALES'!$A:$J,MATCH('index match'!$A65,'ECOMMERS SALES'!$C:$C,0),MATCH('index match'!H$1,ECOMMERS_SALES[#Headers],0))</f>
        <v>Pune</v>
      </c>
      <c r="I65" t="str">
        <f>INDEX('ECOMMERS SALES'!$A:$J,MATCH('index match'!$A65,'ECOMMERS SALES'!$C:$C,0),MATCH('index match'!I$1,ECOMMERS_SALES[#Headers],0))</f>
        <v>Premimum</v>
      </c>
      <c r="J65" t="str">
        <f>INDEX('ECOMMERS SALES'!$A:$J,MATCH('index match'!$A65,'ECOMMERS SALES'!$C:$C,0),MATCH('index match'!J$1,ECOMMERS_SALES[#Headers],0))</f>
        <v>Card</v>
      </c>
    </row>
    <row r="66" spans="1:10" x14ac:dyDescent="0.35">
      <c r="A66" t="s">
        <v>29</v>
      </c>
      <c r="B66">
        <f>INDEX('ECOMMERS SALES'!$A:$J,MATCH('index match'!$A66,'ECOMMERS SALES'!$C:$C,0),MATCH('index match'!B$1,ECOMMERS_SALES[#Headers],0))</f>
        <v>1005</v>
      </c>
      <c r="C66" t="str">
        <f>INDEX('ECOMMERS SALES'!$A:$J,MATCH('index match'!$A66,'ECOMMERS SALES'!$C:$C,0),MATCH('index match'!C$1,ECOMMERS_SALES[#Headers],0))</f>
        <v>06-01-2025</v>
      </c>
      <c r="D66" t="str">
        <f>INDEX('ECOMMERS SALES'!$A:$J,MATCH('index match'!$A66,'ECOMMERS SALES'!$C:$C,0),MATCH('index match'!D$1,ECOMMERS_SALES[#Headers],0))</f>
        <v>Other</v>
      </c>
      <c r="E66">
        <f>INDEX('ECOMMERS SALES'!$A:$J,MATCH('index match'!$A66,'ECOMMERS SALES'!$C:$C,0),MATCH('index match'!E$1,ECOMMERS_SALES[#Headers],0))</f>
        <v>2</v>
      </c>
      <c r="F66">
        <f>INDEX('ECOMMERS SALES'!$A:$J,MATCH('index match'!$A66,'ECOMMERS SALES'!$C:$C,0),MATCH('index match'!F$1,ECOMMERS_SALES[#Headers],0))</f>
        <v>920</v>
      </c>
      <c r="G66">
        <f>INDEX('ECOMMERS SALES'!$A:$J,MATCH('index match'!$A66,'ECOMMERS SALES'!$C:$C,0),MATCH('index match'!G$1,ECOMMERS_SALES[#Headers],0))</f>
        <v>1840</v>
      </c>
      <c r="H66" t="str">
        <f>INDEX('ECOMMERS SALES'!$A:$J,MATCH('index match'!$A66,'ECOMMERS SALES'!$C:$C,0),MATCH('index match'!H$1,ECOMMERS_SALES[#Headers],0))</f>
        <v>Pune</v>
      </c>
      <c r="I66" t="str">
        <f>INDEX('ECOMMERS SALES'!$A:$J,MATCH('index match'!$A66,'ECOMMERS SALES'!$C:$C,0),MATCH('index match'!I$1,ECOMMERS_SALES[#Headers],0))</f>
        <v>New</v>
      </c>
      <c r="J66" t="str">
        <f>INDEX('ECOMMERS SALES'!$A:$J,MATCH('index match'!$A66,'ECOMMERS SALES'!$C:$C,0),MATCH('index match'!J$1,ECOMMERS_SALES[#Headers],0))</f>
        <v>UPI</v>
      </c>
    </row>
    <row r="67" spans="1:10" x14ac:dyDescent="0.35">
      <c r="A67" t="s">
        <v>31</v>
      </c>
      <c r="B67">
        <f>INDEX('ECOMMERS SALES'!$A:$J,MATCH('index match'!$A67,'ECOMMERS SALES'!$C:$C,0),MATCH('index match'!B$1,ECOMMERS_SALES[#Headers],0))</f>
        <v>1006</v>
      </c>
      <c r="C67" t="str">
        <f>INDEX('ECOMMERS SALES'!$A:$J,MATCH('index match'!$A67,'ECOMMERS SALES'!$C:$C,0),MATCH('index match'!C$1,ECOMMERS_SALES[#Headers],0))</f>
        <v>07-01-2025</v>
      </c>
      <c r="D67" t="str">
        <f>INDEX('ECOMMERS SALES'!$A:$J,MATCH('index match'!$A67,'ECOMMERS SALES'!$C:$C,0),MATCH('index match'!D$1,ECOMMERS_SALES[#Headers],0))</f>
        <v>Electronics</v>
      </c>
      <c r="E67">
        <f>INDEX('ECOMMERS SALES'!$A:$J,MATCH('index match'!$A67,'ECOMMERS SALES'!$C:$C,0),MATCH('index match'!E$1,ECOMMERS_SALES[#Headers],0))</f>
        <v>1</v>
      </c>
      <c r="F67">
        <f>INDEX('ECOMMERS SALES'!$A:$J,MATCH('index match'!$A67,'ECOMMERS SALES'!$C:$C,0),MATCH('index match'!F$1,ECOMMERS_SALES[#Headers],0))</f>
        <v>13225</v>
      </c>
      <c r="G67">
        <f>INDEX('ECOMMERS SALES'!$A:$J,MATCH('index match'!$A67,'ECOMMERS SALES'!$C:$C,0),MATCH('index match'!G$1,ECOMMERS_SALES[#Headers],0))</f>
        <v>13225</v>
      </c>
      <c r="H67" t="str">
        <f>INDEX('ECOMMERS SALES'!$A:$J,MATCH('index match'!$A67,'ECOMMERS SALES'!$C:$C,0),MATCH('index match'!H$1,ECOMMERS_SALES[#Headers],0))</f>
        <v>Delhi</v>
      </c>
      <c r="I67" t="str">
        <f>INDEX('ECOMMERS SALES'!$A:$J,MATCH('index match'!$A67,'ECOMMERS SALES'!$C:$C,0),MATCH('index match'!I$1,ECOMMERS_SALES[#Headers],0))</f>
        <v>Returning</v>
      </c>
      <c r="J67" t="str">
        <f>INDEX('ECOMMERS SALES'!$A:$J,MATCH('index match'!$A67,'ECOMMERS SALES'!$C:$C,0),MATCH('index match'!J$1,ECOMMERS_SALES[#Headers],0))</f>
        <v>COD</v>
      </c>
    </row>
    <row r="68" spans="1:10" x14ac:dyDescent="0.35">
      <c r="A68" t="s">
        <v>35</v>
      </c>
      <c r="B68">
        <f>INDEX('ECOMMERS SALES'!$A:$J,MATCH('index match'!$A68,'ECOMMERS SALES'!$C:$C,0),MATCH('index match'!B$1,ECOMMERS_SALES[#Headers],0))</f>
        <v>1007</v>
      </c>
      <c r="C68" t="str">
        <f>INDEX('ECOMMERS SALES'!$A:$J,MATCH('index match'!$A68,'ECOMMERS SALES'!$C:$C,0),MATCH('index match'!C$1,ECOMMERS_SALES[#Headers],0))</f>
        <v>08-01-2025</v>
      </c>
      <c r="D68" t="str">
        <f>INDEX('ECOMMERS SALES'!$A:$J,MATCH('index match'!$A68,'ECOMMERS SALES'!$C:$C,0),MATCH('index match'!D$1,ECOMMERS_SALES[#Headers],0))</f>
        <v>Books</v>
      </c>
      <c r="E68">
        <f>INDEX('ECOMMERS SALES'!$A:$J,MATCH('index match'!$A68,'ECOMMERS SALES'!$C:$C,0),MATCH('index match'!E$1,ECOMMERS_SALES[#Headers],0))</f>
        <v>3</v>
      </c>
      <c r="F68">
        <f>INDEX('ECOMMERS SALES'!$A:$J,MATCH('index match'!$A68,'ECOMMERS SALES'!$C:$C,0),MATCH('index match'!F$1,ECOMMERS_SALES[#Headers],0))</f>
        <v>621</v>
      </c>
      <c r="G68">
        <f>INDEX('ECOMMERS SALES'!$A:$J,MATCH('index match'!$A68,'ECOMMERS SALES'!$C:$C,0),MATCH('index match'!G$1,ECOMMERS_SALES[#Headers],0))</f>
        <v>1863</v>
      </c>
      <c r="H68" t="str">
        <f>INDEX('ECOMMERS SALES'!$A:$J,MATCH('index match'!$A68,'ECOMMERS SALES'!$C:$C,0),MATCH('index match'!H$1,ECOMMERS_SALES[#Headers],0))</f>
        <v>Hyderabad</v>
      </c>
      <c r="I68" t="str">
        <f>INDEX('ECOMMERS SALES'!$A:$J,MATCH('index match'!$A68,'ECOMMERS SALES'!$C:$C,0),MATCH('index match'!I$1,ECOMMERS_SALES[#Headers],0))</f>
        <v>Premimum</v>
      </c>
      <c r="J68" t="str">
        <f>INDEX('ECOMMERS SALES'!$A:$J,MATCH('index match'!$A68,'ECOMMERS SALES'!$C:$C,0),MATCH('index match'!J$1,ECOMMERS_SALES[#Headers],0))</f>
        <v>UPI</v>
      </c>
    </row>
    <row r="69" spans="1:10" x14ac:dyDescent="0.35">
      <c r="A69" t="s">
        <v>39</v>
      </c>
      <c r="B69">
        <f>INDEX('ECOMMERS SALES'!$A:$J,MATCH('index match'!$A69,'ECOMMERS SALES'!$C:$C,0),MATCH('index match'!B$1,ECOMMERS_SALES[#Headers],0))</f>
        <v>1008</v>
      </c>
      <c r="C69" t="str">
        <f>INDEX('ECOMMERS SALES'!$A:$J,MATCH('index match'!$A69,'ECOMMERS SALES'!$C:$C,0),MATCH('index match'!C$1,ECOMMERS_SALES[#Headers],0))</f>
        <v>09-01-2025</v>
      </c>
      <c r="D69" t="str">
        <f>INDEX('ECOMMERS SALES'!$A:$J,MATCH('index match'!$A69,'ECOMMERS SALES'!$C:$C,0),MATCH('index match'!D$1,ECOMMERS_SALES[#Headers],0))</f>
        <v>Fashion</v>
      </c>
      <c r="E69">
        <f>INDEX('ECOMMERS SALES'!$A:$J,MATCH('index match'!$A69,'ECOMMERS SALES'!$C:$C,0),MATCH('index match'!E$1,ECOMMERS_SALES[#Headers],0))</f>
        <v>2</v>
      </c>
      <c r="F69">
        <f>INDEX('ECOMMERS SALES'!$A:$J,MATCH('index match'!$A69,'ECOMMERS SALES'!$C:$C,0),MATCH('index match'!F$1,ECOMMERS_SALES[#Headers],0))</f>
        <v>905</v>
      </c>
      <c r="G69">
        <f>INDEX('ECOMMERS SALES'!$A:$J,MATCH('index match'!$A69,'ECOMMERS SALES'!$C:$C,0),MATCH('index match'!G$1,ECOMMERS_SALES[#Headers],0))</f>
        <v>1810</v>
      </c>
      <c r="H69" t="str">
        <f>INDEX('ECOMMERS SALES'!$A:$J,MATCH('index match'!$A69,'ECOMMERS SALES'!$C:$C,0),MATCH('index match'!H$1,ECOMMERS_SALES[#Headers],0))</f>
        <v>Bangalore</v>
      </c>
      <c r="I69" t="str">
        <f>INDEX('ECOMMERS SALES'!$A:$J,MATCH('index match'!$A69,'ECOMMERS SALES'!$C:$C,0),MATCH('index match'!I$1,ECOMMERS_SALES[#Headers],0))</f>
        <v>New</v>
      </c>
      <c r="J69" t="str">
        <f>INDEX('ECOMMERS SALES'!$A:$J,MATCH('index match'!$A69,'ECOMMERS SALES'!$C:$C,0),MATCH('index match'!J$1,ECOMMERS_SALES[#Headers],0))</f>
        <v>COD</v>
      </c>
    </row>
    <row r="70" spans="1:10" x14ac:dyDescent="0.35">
      <c r="A70" t="s">
        <v>42</v>
      </c>
      <c r="B70">
        <f>INDEX('ECOMMERS SALES'!$A:$J,MATCH('index match'!$A70,'ECOMMERS SALES'!$C:$C,0),MATCH('index match'!B$1,ECOMMERS_SALES[#Headers],0))</f>
        <v>1009</v>
      </c>
      <c r="C70" t="str">
        <f>INDEX('ECOMMERS SALES'!$A:$J,MATCH('index match'!$A70,'ECOMMERS SALES'!$C:$C,0),MATCH('index match'!C$1,ECOMMERS_SALES[#Headers],0))</f>
        <v>10-01-2025</v>
      </c>
      <c r="D70" t="str">
        <f>INDEX('ECOMMERS SALES'!$A:$J,MATCH('index match'!$A70,'ECOMMERS SALES'!$C:$C,0),MATCH('index match'!D$1,ECOMMERS_SALES[#Headers],0))</f>
        <v>Electronics</v>
      </c>
      <c r="E70">
        <f>INDEX('ECOMMERS SALES'!$A:$J,MATCH('index match'!$A70,'ECOMMERS SALES'!$C:$C,0),MATCH('index match'!E$1,ECOMMERS_SALES[#Headers],0))</f>
        <v>1</v>
      </c>
      <c r="F70">
        <f>INDEX('ECOMMERS SALES'!$A:$J,MATCH('index match'!$A70,'ECOMMERS SALES'!$C:$C,0),MATCH('index match'!F$1,ECOMMERS_SALES[#Headers],0))</f>
        <v>8563</v>
      </c>
      <c r="G70">
        <f>INDEX('ECOMMERS SALES'!$A:$J,MATCH('index match'!$A70,'ECOMMERS SALES'!$C:$C,0),MATCH('index match'!G$1,ECOMMERS_SALES[#Headers],0))</f>
        <v>8563</v>
      </c>
      <c r="H70" t="str">
        <f>INDEX('ECOMMERS SALES'!$A:$J,MATCH('index match'!$A70,'ECOMMERS SALES'!$C:$C,0),MATCH('index match'!H$1,ECOMMERS_SALES[#Headers],0))</f>
        <v>Hyderabad</v>
      </c>
      <c r="I70" t="str">
        <f>INDEX('ECOMMERS SALES'!$A:$J,MATCH('index match'!$A70,'ECOMMERS SALES'!$C:$C,0),MATCH('index match'!I$1,ECOMMERS_SALES[#Headers],0))</f>
        <v>Returning</v>
      </c>
      <c r="J70" t="str">
        <f>INDEX('ECOMMERS SALES'!$A:$J,MATCH('index match'!$A70,'ECOMMERS SALES'!$C:$C,0),MATCH('index match'!J$1,ECOMMERS_SALES[#Headers],0))</f>
        <v>Card</v>
      </c>
    </row>
    <row r="71" spans="1:10" x14ac:dyDescent="0.35">
      <c r="A71" t="s">
        <v>44</v>
      </c>
      <c r="B71">
        <f>INDEX('ECOMMERS SALES'!$A:$J,MATCH('index match'!$A71,'ECOMMERS SALES'!$C:$C,0),MATCH('index match'!B$1,ECOMMERS_SALES[#Headers],0))</f>
        <v>1010</v>
      </c>
      <c r="C71" t="str">
        <f>INDEX('ECOMMERS SALES'!$A:$J,MATCH('index match'!$A71,'ECOMMERS SALES'!$C:$C,0),MATCH('index match'!C$1,ECOMMERS_SALES[#Headers],0))</f>
        <v>11-01-2025</v>
      </c>
      <c r="D71" t="str">
        <f>INDEX('ECOMMERS SALES'!$A:$J,MATCH('index match'!$A71,'ECOMMERS SALES'!$C:$C,0),MATCH('index match'!D$1,ECOMMERS_SALES[#Headers],0))</f>
        <v>Other</v>
      </c>
      <c r="E71">
        <f>INDEX('ECOMMERS SALES'!$A:$J,MATCH('index match'!$A71,'ECOMMERS SALES'!$C:$C,0),MATCH('index match'!E$1,ECOMMERS_SALES[#Headers],0))</f>
        <v>1</v>
      </c>
      <c r="F71">
        <f>INDEX('ECOMMERS SALES'!$A:$J,MATCH('index match'!$A71,'ECOMMERS SALES'!$C:$C,0),MATCH('index match'!F$1,ECOMMERS_SALES[#Headers],0))</f>
        <v>268</v>
      </c>
      <c r="G71">
        <f>INDEX('ECOMMERS SALES'!$A:$J,MATCH('index match'!$A71,'ECOMMERS SALES'!$C:$C,0),MATCH('index match'!G$1,ECOMMERS_SALES[#Headers],0))</f>
        <v>268</v>
      </c>
      <c r="H71" t="str">
        <f>INDEX('ECOMMERS SALES'!$A:$J,MATCH('index match'!$A71,'ECOMMERS SALES'!$C:$C,0),MATCH('index match'!H$1,ECOMMERS_SALES[#Headers],0))</f>
        <v>Chennai</v>
      </c>
      <c r="I71" t="str">
        <f>INDEX('ECOMMERS SALES'!$A:$J,MATCH('index match'!$A71,'ECOMMERS SALES'!$C:$C,0),MATCH('index match'!I$1,ECOMMERS_SALES[#Headers],0))</f>
        <v>New</v>
      </c>
      <c r="J71" t="str">
        <f>INDEX('ECOMMERS SALES'!$A:$J,MATCH('index match'!$A71,'ECOMMERS SALES'!$C:$C,0),MATCH('index match'!J$1,ECOMMERS_SALES[#Headers],0))</f>
        <v>UPI</v>
      </c>
    </row>
    <row r="72" spans="1:10" x14ac:dyDescent="0.35">
      <c r="A72" t="s">
        <v>11</v>
      </c>
      <c r="B72">
        <f>INDEX('ECOMMERS SALES'!$A:$J,MATCH('index match'!$A72,'ECOMMERS SALES'!$C:$C,0),MATCH('index match'!B$1,ECOMMERS_SALES[#Headers],0))</f>
        <v>1001</v>
      </c>
      <c r="C72" t="str">
        <f>INDEX('ECOMMERS SALES'!$A:$J,MATCH('index match'!$A72,'ECOMMERS SALES'!$C:$C,0),MATCH('index match'!C$1,ECOMMERS_SALES[#Headers],0))</f>
        <v>02-01-2025</v>
      </c>
      <c r="D72" t="str">
        <f>INDEX('ECOMMERS SALES'!$A:$J,MATCH('index match'!$A72,'ECOMMERS SALES'!$C:$C,0),MATCH('index match'!D$1,ECOMMERS_SALES[#Headers],0))</f>
        <v>Electronics</v>
      </c>
      <c r="E72">
        <f>INDEX('ECOMMERS SALES'!$A:$J,MATCH('index match'!$A72,'ECOMMERS SALES'!$C:$C,0),MATCH('index match'!E$1,ECOMMERS_SALES[#Headers],0))</f>
        <v>2</v>
      </c>
      <c r="F72">
        <f>INDEX('ECOMMERS SALES'!$A:$J,MATCH('index match'!$A72,'ECOMMERS SALES'!$C:$C,0),MATCH('index match'!F$1,ECOMMERS_SALES[#Headers],0))</f>
        <v>50353</v>
      </c>
      <c r="G72">
        <f>INDEX('ECOMMERS SALES'!$A:$J,MATCH('index match'!$A72,'ECOMMERS SALES'!$C:$C,0),MATCH('index match'!G$1,ECOMMERS_SALES[#Headers],0))</f>
        <v>100706</v>
      </c>
      <c r="H72" t="str">
        <f>INDEX('ECOMMERS SALES'!$A:$J,MATCH('index match'!$A72,'ECOMMERS SALES'!$C:$C,0),MATCH('index match'!H$1,ECOMMERS_SALES[#Headers],0))</f>
        <v>Chennai</v>
      </c>
      <c r="I72" t="str">
        <f>INDEX('ECOMMERS SALES'!$A:$J,MATCH('index match'!$A72,'ECOMMERS SALES'!$C:$C,0),MATCH('index match'!I$1,ECOMMERS_SALES[#Headers],0))</f>
        <v>Premimum</v>
      </c>
      <c r="J72" t="str">
        <f>INDEX('ECOMMERS SALES'!$A:$J,MATCH('index match'!$A72,'ECOMMERS SALES'!$C:$C,0),MATCH('index match'!J$1,ECOMMERS_SALES[#Headers],0))</f>
        <v>Card</v>
      </c>
    </row>
    <row r="73" spans="1:10" x14ac:dyDescent="0.35">
      <c r="A73" t="s">
        <v>17</v>
      </c>
      <c r="B73">
        <f>INDEX('ECOMMERS SALES'!$A:$J,MATCH('index match'!$A73,'ECOMMERS SALES'!$C:$C,0),MATCH('index match'!B$1,ECOMMERS_SALES[#Headers],0))</f>
        <v>1002</v>
      </c>
      <c r="C73" t="str">
        <f>INDEX('ECOMMERS SALES'!$A:$J,MATCH('index match'!$A73,'ECOMMERS SALES'!$C:$C,0),MATCH('index match'!C$1,ECOMMERS_SALES[#Headers],0))</f>
        <v>03-01-2025</v>
      </c>
      <c r="D73" t="str">
        <f>INDEX('ECOMMERS SALES'!$A:$J,MATCH('index match'!$A73,'ECOMMERS SALES'!$C:$C,0),MATCH('index match'!D$1,ECOMMERS_SALES[#Headers],0))</f>
        <v>Electronics</v>
      </c>
      <c r="E73">
        <f>INDEX('ECOMMERS SALES'!$A:$J,MATCH('index match'!$A73,'ECOMMERS SALES'!$C:$C,0),MATCH('index match'!E$1,ECOMMERS_SALES[#Headers],0))</f>
        <v>2</v>
      </c>
      <c r="F73">
        <f>INDEX('ECOMMERS SALES'!$A:$J,MATCH('index match'!$A73,'ECOMMERS SALES'!$C:$C,0),MATCH('index match'!F$1,ECOMMERS_SALES[#Headers],0))</f>
        <v>2008</v>
      </c>
      <c r="G73">
        <f>INDEX('ECOMMERS SALES'!$A:$J,MATCH('index match'!$A73,'ECOMMERS SALES'!$C:$C,0),MATCH('index match'!G$1,ECOMMERS_SALES[#Headers],0))</f>
        <v>4016</v>
      </c>
      <c r="H73" t="str">
        <f>INDEX('ECOMMERS SALES'!$A:$J,MATCH('index match'!$A73,'ECOMMERS SALES'!$C:$C,0),MATCH('index match'!H$1,ECOMMERS_SALES[#Headers],0))</f>
        <v>Delhi</v>
      </c>
      <c r="I73" t="str">
        <f>INDEX('ECOMMERS SALES'!$A:$J,MATCH('index match'!$A73,'ECOMMERS SALES'!$C:$C,0),MATCH('index match'!I$1,ECOMMERS_SALES[#Headers],0))</f>
        <v>New</v>
      </c>
      <c r="J73" t="str">
        <f>INDEX('ECOMMERS SALES'!$A:$J,MATCH('index match'!$A73,'ECOMMERS SALES'!$C:$C,0),MATCH('index match'!J$1,ECOMMERS_SALES[#Headers],0))</f>
        <v>UPI</v>
      </c>
    </row>
    <row r="74" spans="1:10" x14ac:dyDescent="0.35">
      <c r="A74" t="s">
        <v>22</v>
      </c>
      <c r="B74">
        <f>INDEX('ECOMMERS SALES'!$A:$J,MATCH('index match'!$A74,'ECOMMERS SALES'!$C:$C,0),MATCH('index match'!B$1,ECOMMERS_SALES[#Headers],0))</f>
        <v>1003</v>
      </c>
      <c r="C74" t="str">
        <f>INDEX('ECOMMERS SALES'!$A:$J,MATCH('index match'!$A74,'ECOMMERS SALES'!$C:$C,0),MATCH('index match'!C$1,ECOMMERS_SALES[#Headers],0))</f>
        <v>04-01-2025</v>
      </c>
      <c r="D74" t="str">
        <f>INDEX('ECOMMERS SALES'!$A:$J,MATCH('index match'!$A74,'ECOMMERS SALES'!$C:$C,0),MATCH('index match'!D$1,ECOMMERS_SALES[#Headers],0))</f>
        <v>Fashion</v>
      </c>
      <c r="E74">
        <f>INDEX('ECOMMERS SALES'!$A:$J,MATCH('index match'!$A74,'ECOMMERS SALES'!$C:$C,0),MATCH('index match'!E$1,ECOMMERS_SALES[#Headers],0))</f>
        <v>1</v>
      </c>
      <c r="F74">
        <f>INDEX('ECOMMERS SALES'!$A:$J,MATCH('index match'!$A74,'ECOMMERS SALES'!$C:$C,0),MATCH('index match'!F$1,ECOMMERS_SALES[#Headers],0))</f>
        <v>4736</v>
      </c>
      <c r="G74">
        <f>INDEX('ECOMMERS SALES'!$A:$J,MATCH('index match'!$A74,'ECOMMERS SALES'!$C:$C,0),MATCH('index match'!G$1,ECOMMERS_SALES[#Headers],0))</f>
        <v>4736</v>
      </c>
      <c r="H74" t="str">
        <f>INDEX('ECOMMERS SALES'!$A:$J,MATCH('index match'!$A74,'ECOMMERS SALES'!$C:$C,0),MATCH('index match'!H$1,ECOMMERS_SALES[#Headers],0))</f>
        <v>Chennai</v>
      </c>
      <c r="I74" t="str">
        <f>INDEX('ECOMMERS SALES'!$A:$J,MATCH('index match'!$A74,'ECOMMERS SALES'!$C:$C,0),MATCH('index match'!I$1,ECOMMERS_SALES[#Headers],0))</f>
        <v>New</v>
      </c>
      <c r="J74" t="str">
        <f>INDEX('ECOMMERS SALES'!$A:$J,MATCH('index match'!$A74,'ECOMMERS SALES'!$C:$C,0),MATCH('index match'!J$1,ECOMMERS_SALES[#Headers],0))</f>
        <v>UPI</v>
      </c>
    </row>
    <row r="75" spans="1:10" x14ac:dyDescent="0.35">
      <c r="A75" t="s">
        <v>25</v>
      </c>
      <c r="B75">
        <f>INDEX('ECOMMERS SALES'!$A:$J,MATCH('index match'!$A75,'ECOMMERS SALES'!$C:$C,0),MATCH('index match'!B$1,ECOMMERS_SALES[#Headers],0))</f>
        <v>1004</v>
      </c>
      <c r="C75" t="str">
        <f>INDEX('ECOMMERS SALES'!$A:$J,MATCH('index match'!$A75,'ECOMMERS SALES'!$C:$C,0),MATCH('index match'!C$1,ECOMMERS_SALES[#Headers],0))</f>
        <v>05-01-2025</v>
      </c>
      <c r="D75" t="str">
        <f>INDEX('ECOMMERS SALES'!$A:$J,MATCH('index match'!$A75,'ECOMMERS SALES'!$C:$C,0),MATCH('index match'!D$1,ECOMMERS_SALES[#Headers],0))</f>
        <v>Other</v>
      </c>
      <c r="E75">
        <f>INDEX('ECOMMERS SALES'!$A:$J,MATCH('index match'!$A75,'ECOMMERS SALES'!$C:$C,0),MATCH('index match'!E$1,ECOMMERS_SALES[#Headers],0))</f>
        <v>2</v>
      </c>
      <c r="F75">
        <f>INDEX('ECOMMERS SALES'!$A:$J,MATCH('index match'!$A75,'ECOMMERS SALES'!$C:$C,0),MATCH('index match'!F$1,ECOMMERS_SALES[#Headers],0))</f>
        <v>10072</v>
      </c>
      <c r="G75">
        <f>INDEX('ECOMMERS SALES'!$A:$J,MATCH('index match'!$A75,'ECOMMERS SALES'!$C:$C,0),MATCH('index match'!G$1,ECOMMERS_SALES[#Headers],0))</f>
        <v>20144</v>
      </c>
      <c r="H75" t="str">
        <f>INDEX('ECOMMERS SALES'!$A:$J,MATCH('index match'!$A75,'ECOMMERS SALES'!$C:$C,0),MATCH('index match'!H$1,ECOMMERS_SALES[#Headers],0))</f>
        <v>Pune</v>
      </c>
      <c r="I75" t="str">
        <f>INDEX('ECOMMERS SALES'!$A:$J,MATCH('index match'!$A75,'ECOMMERS SALES'!$C:$C,0),MATCH('index match'!I$1,ECOMMERS_SALES[#Headers],0))</f>
        <v>Premimum</v>
      </c>
      <c r="J75" t="str">
        <f>INDEX('ECOMMERS SALES'!$A:$J,MATCH('index match'!$A75,'ECOMMERS SALES'!$C:$C,0),MATCH('index match'!J$1,ECOMMERS_SALES[#Headers],0))</f>
        <v>Card</v>
      </c>
    </row>
    <row r="76" spans="1:10" x14ac:dyDescent="0.35">
      <c r="A76" t="s">
        <v>29</v>
      </c>
      <c r="B76">
        <f>INDEX('ECOMMERS SALES'!$A:$J,MATCH('index match'!$A76,'ECOMMERS SALES'!$C:$C,0),MATCH('index match'!B$1,ECOMMERS_SALES[#Headers],0))</f>
        <v>1005</v>
      </c>
      <c r="C76" t="str">
        <f>INDEX('ECOMMERS SALES'!$A:$J,MATCH('index match'!$A76,'ECOMMERS SALES'!$C:$C,0),MATCH('index match'!C$1,ECOMMERS_SALES[#Headers],0))</f>
        <v>06-01-2025</v>
      </c>
      <c r="D76" t="str">
        <f>INDEX('ECOMMERS SALES'!$A:$J,MATCH('index match'!$A76,'ECOMMERS SALES'!$C:$C,0),MATCH('index match'!D$1,ECOMMERS_SALES[#Headers],0))</f>
        <v>Other</v>
      </c>
      <c r="E76">
        <f>INDEX('ECOMMERS SALES'!$A:$J,MATCH('index match'!$A76,'ECOMMERS SALES'!$C:$C,0),MATCH('index match'!E$1,ECOMMERS_SALES[#Headers],0))</f>
        <v>2</v>
      </c>
      <c r="F76">
        <f>INDEX('ECOMMERS SALES'!$A:$J,MATCH('index match'!$A76,'ECOMMERS SALES'!$C:$C,0),MATCH('index match'!F$1,ECOMMERS_SALES[#Headers],0))</f>
        <v>920</v>
      </c>
      <c r="G76">
        <f>INDEX('ECOMMERS SALES'!$A:$J,MATCH('index match'!$A76,'ECOMMERS SALES'!$C:$C,0),MATCH('index match'!G$1,ECOMMERS_SALES[#Headers],0))</f>
        <v>1840</v>
      </c>
      <c r="H76" t="str">
        <f>INDEX('ECOMMERS SALES'!$A:$J,MATCH('index match'!$A76,'ECOMMERS SALES'!$C:$C,0),MATCH('index match'!H$1,ECOMMERS_SALES[#Headers],0))</f>
        <v>Pune</v>
      </c>
      <c r="I76" t="str">
        <f>INDEX('ECOMMERS SALES'!$A:$J,MATCH('index match'!$A76,'ECOMMERS SALES'!$C:$C,0),MATCH('index match'!I$1,ECOMMERS_SALES[#Headers],0))</f>
        <v>New</v>
      </c>
      <c r="J76" t="str">
        <f>INDEX('ECOMMERS SALES'!$A:$J,MATCH('index match'!$A76,'ECOMMERS SALES'!$C:$C,0),MATCH('index match'!J$1,ECOMMERS_SALES[#Headers],0))</f>
        <v>UPI</v>
      </c>
    </row>
    <row r="77" spans="1:10" x14ac:dyDescent="0.35">
      <c r="A77" t="s">
        <v>31</v>
      </c>
      <c r="B77">
        <f>INDEX('ECOMMERS SALES'!$A:$J,MATCH('index match'!$A77,'ECOMMERS SALES'!$C:$C,0),MATCH('index match'!B$1,ECOMMERS_SALES[#Headers],0))</f>
        <v>1006</v>
      </c>
      <c r="C77" t="str">
        <f>INDEX('ECOMMERS SALES'!$A:$J,MATCH('index match'!$A77,'ECOMMERS SALES'!$C:$C,0),MATCH('index match'!C$1,ECOMMERS_SALES[#Headers],0))</f>
        <v>07-01-2025</v>
      </c>
      <c r="D77" t="str">
        <f>INDEX('ECOMMERS SALES'!$A:$J,MATCH('index match'!$A77,'ECOMMERS SALES'!$C:$C,0),MATCH('index match'!D$1,ECOMMERS_SALES[#Headers],0))</f>
        <v>Electronics</v>
      </c>
      <c r="E77">
        <f>INDEX('ECOMMERS SALES'!$A:$J,MATCH('index match'!$A77,'ECOMMERS SALES'!$C:$C,0),MATCH('index match'!E$1,ECOMMERS_SALES[#Headers],0))</f>
        <v>1</v>
      </c>
      <c r="F77">
        <f>INDEX('ECOMMERS SALES'!$A:$J,MATCH('index match'!$A77,'ECOMMERS SALES'!$C:$C,0),MATCH('index match'!F$1,ECOMMERS_SALES[#Headers],0))</f>
        <v>13225</v>
      </c>
      <c r="G77">
        <f>INDEX('ECOMMERS SALES'!$A:$J,MATCH('index match'!$A77,'ECOMMERS SALES'!$C:$C,0),MATCH('index match'!G$1,ECOMMERS_SALES[#Headers],0))</f>
        <v>13225</v>
      </c>
      <c r="H77" t="str">
        <f>INDEX('ECOMMERS SALES'!$A:$J,MATCH('index match'!$A77,'ECOMMERS SALES'!$C:$C,0),MATCH('index match'!H$1,ECOMMERS_SALES[#Headers],0))</f>
        <v>Delhi</v>
      </c>
      <c r="I77" t="str">
        <f>INDEX('ECOMMERS SALES'!$A:$J,MATCH('index match'!$A77,'ECOMMERS SALES'!$C:$C,0),MATCH('index match'!I$1,ECOMMERS_SALES[#Headers],0))</f>
        <v>Returning</v>
      </c>
      <c r="J77" t="str">
        <f>INDEX('ECOMMERS SALES'!$A:$J,MATCH('index match'!$A77,'ECOMMERS SALES'!$C:$C,0),MATCH('index match'!J$1,ECOMMERS_SALES[#Headers],0))</f>
        <v>COD</v>
      </c>
    </row>
    <row r="78" spans="1:10" x14ac:dyDescent="0.35">
      <c r="A78" t="s">
        <v>35</v>
      </c>
      <c r="B78">
        <f>INDEX('ECOMMERS SALES'!$A:$J,MATCH('index match'!$A78,'ECOMMERS SALES'!$C:$C,0),MATCH('index match'!B$1,ECOMMERS_SALES[#Headers],0))</f>
        <v>1007</v>
      </c>
      <c r="C78" t="str">
        <f>INDEX('ECOMMERS SALES'!$A:$J,MATCH('index match'!$A78,'ECOMMERS SALES'!$C:$C,0),MATCH('index match'!C$1,ECOMMERS_SALES[#Headers],0))</f>
        <v>08-01-2025</v>
      </c>
      <c r="D78" t="str">
        <f>INDEX('ECOMMERS SALES'!$A:$J,MATCH('index match'!$A78,'ECOMMERS SALES'!$C:$C,0),MATCH('index match'!D$1,ECOMMERS_SALES[#Headers],0))</f>
        <v>Books</v>
      </c>
      <c r="E78">
        <f>INDEX('ECOMMERS SALES'!$A:$J,MATCH('index match'!$A78,'ECOMMERS SALES'!$C:$C,0),MATCH('index match'!E$1,ECOMMERS_SALES[#Headers],0))</f>
        <v>3</v>
      </c>
      <c r="F78">
        <f>INDEX('ECOMMERS SALES'!$A:$J,MATCH('index match'!$A78,'ECOMMERS SALES'!$C:$C,0),MATCH('index match'!F$1,ECOMMERS_SALES[#Headers],0))</f>
        <v>621</v>
      </c>
      <c r="G78">
        <f>INDEX('ECOMMERS SALES'!$A:$J,MATCH('index match'!$A78,'ECOMMERS SALES'!$C:$C,0),MATCH('index match'!G$1,ECOMMERS_SALES[#Headers],0))</f>
        <v>1863</v>
      </c>
      <c r="H78" t="str">
        <f>INDEX('ECOMMERS SALES'!$A:$J,MATCH('index match'!$A78,'ECOMMERS SALES'!$C:$C,0),MATCH('index match'!H$1,ECOMMERS_SALES[#Headers],0))</f>
        <v>Hyderabad</v>
      </c>
      <c r="I78" t="str">
        <f>INDEX('ECOMMERS SALES'!$A:$J,MATCH('index match'!$A78,'ECOMMERS SALES'!$C:$C,0),MATCH('index match'!I$1,ECOMMERS_SALES[#Headers],0))</f>
        <v>Premimum</v>
      </c>
      <c r="J78" t="str">
        <f>INDEX('ECOMMERS SALES'!$A:$J,MATCH('index match'!$A78,'ECOMMERS SALES'!$C:$C,0),MATCH('index match'!J$1,ECOMMERS_SALES[#Headers],0))</f>
        <v>UPI</v>
      </c>
    </row>
    <row r="79" spans="1:10" x14ac:dyDescent="0.35">
      <c r="A79" t="s">
        <v>39</v>
      </c>
      <c r="B79">
        <f>INDEX('ECOMMERS SALES'!$A:$J,MATCH('index match'!$A79,'ECOMMERS SALES'!$C:$C,0),MATCH('index match'!B$1,ECOMMERS_SALES[#Headers],0))</f>
        <v>1008</v>
      </c>
      <c r="C79" t="str">
        <f>INDEX('ECOMMERS SALES'!$A:$J,MATCH('index match'!$A79,'ECOMMERS SALES'!$C:$C,0),MATCH('index match'!C$1,ECOMMERS_SALES[#Headers],0))</f>
        <v>09-01-2025</v>
      </c>
      <c r="D79" t="str">
        <f>INDEX('ECOMMERS SALES'!$A:$J,MATCH('index match'!$A79,'ECOMMERS SALES'!$C:$C,0),MATCH('index match'!D$1,ECOMMERS_SALES[#Headers],0))</f>
        <v>Fashion</v>
      </c>
      <c r="E79">
        <f>INDEX('ECOMMERS SALES'!$A:$J,MATCH('index match'!$A79,'ECOMMERS SALES'!$C:$C,0),MATCH('index match'!E$1,ECOMMERS_SALES[#Headers],0))</f>
        <v>2</v>
      </c>
      <c r="F79">
        <f>INDEX('ECOMMERS SALES'!$A:$J,MATCH('index match'!$A79,'ECOMMERS SALES'!$C:$C,0),MATCH('index match'!F$1,ECOMMERS_SALES[#Headers],0))</f>
        <v>905</v>
      </c>
      <c r="G79">
        <f>INDEX('ECOMMERS SALES'!$A:$J,MATCH('index match'!$A79,'ECOMMERS SALES'!$C:$C,0),MATCH('index match'!G$1,ECOMMERS_SALES[#Headers],0))</f>
        <v>1810</v>
      </c>
      <c r="H79" t="str">
        <f>INDEX('ECOMMERS SALES'!$A:$J,MATCH('index match'!$A79,'ECOMMERS SALES'!$C:$C,0),MATCH('index match'!H$1,ECOMMERS_SALES[#Headers],0))</f>
        <v>Bangalore</v>
      </c>
      <c r="I79" t="str">
        <f>INDEX('ECOMMERS SALES'!$A:$J,MATCH('index match'!$A79,'ECOMMERS SALES'!$C:$C,0),MATCH('index match'!I$1,ECOMMERS_SALES[#Headers],0))</f>
        <v>New</v>
      </c>
      <c r="J79" t="str">
        <f>INDEX('ECOMMERS SALES'!$A:$J,MATCH('index match'!$A79,'ECOMMERS SALES'!$C:$C,0),MATCH('index match'!J$1,ECOMMERS_SALES[#Headers],0))</f>
        <v>COD</v>
      </c>
    </row>
    <row r="80" spans="1:10" x14ac:dyDescent="0.35">
      <c r="A80" t="s">
        <v>42</v>
      </c>
      <c r="B80">
        <f>INDEX('ECOMMERS SALES'!$A:$J,MATCH('index match'!$A80,'ECOMMERS SALES'!$C:$C,0),MATCH('index match'!B$1,ECOMMERS_SALES[#Headers],0))</f>
        <v>1009</v>
      </c>
      <c r="C80" t="str">
        <f>INDEX('ECOMMERS SALES'!$A:$J,MATCH('index match'!$A80,'ECOMMERS SALES'!$C:$C,0),MATCH('index match'!C$1,ECOMMERS_SALES[#Headers],0))</f>
        <v>10-01-2025</v>
      </c>
      <c r="D80" t="str">
        <f>INDEX('ECOMMERS SALES'!$A:$J,MATCH('index match'!$A80,'ECOMMERS SALES'!$C:$C,0),MATCH('index match'!D$1,ECOMMERS_SALES[#Headers],0))</f>
        <v>Electronics</v>
      </c>
      <c r="E80">
        <f>INDEX('ECOMMERS SALES'!$A:$J,MATCH('index match'!$A80,'ECOMMERS SALES'!$C:$C,0),MATCH('index match'!E$1,ECOMMERS_SALES[#Headers],0))</f>
        <v>1</v>
      </c>
      <c r="F80">
        <f>INDEX('ECOMMERS SALES'!$A:$J,MATCH('index match'!$A80,'ECOMMERS SALES'!$C:$C,0),MATCH('index match'!F$1,ECOMMERS_SALES[#Headers],0))</f>
        <v>8563</v>
      </c>
      <c r="G80">
        <f>INDEX('ECOMMERS SALES'!$A:$J,MATCH('index match'!$A80,'ECOMMERS SALES'!$C:$C,0),MATCH('index match'!G$1,ECOMMERS_SALES[#Headers],0))</f>
        <v>8563</v>
      </c>
      <c r="H80" t="str">
        <f>INDEX('ECOMMERS SALES'!$A:$J,MATCH('index match'!$A80,'ECOMMERS SALES'!$C:$C,0),MATCH('index match'!H$1,ECOMMERS_SALES[#Headers],0))</f>
        <v>Hyderabad</v>
      </c>
      <c r="I80" t="str">
        <f>INDEX('ECOMMERS SALES'!$A:$J,MATCH('index match'!$A80,'ECOMMERS SALES'!$C:$C,0),MATCH('index match'!I$1,ECOMMERS_SALES[#Headers],0))</f>
        <v>Returning</v>
      </c>
      <c r="J80" t="str">
        <f>INDEX('ECOMMERS SALES'!$A:$J,MATCH('index match'!$A80,'ECOMMERS SALES'!$C:$C,0),MATCH('index match'!J$1,ECOMMERS_SALES[#Headers],0))</f>
        <v>Card</v>
      </c>
    </row>
    <row r="81" spans="1:10" x14ac:dyDescent="0.35">
      <c r="A81" t="s">
        <v>44</v>
      </c>
      <c r="B81">
        <f>INDEX('ECOMMERS SALES'!$A:$J,MATCH('index match'!$A81,'ECOMMERS SALES'!$C:$C,0),MATCH('index match'!B$1,ECOMMERS_SALES[#Headers],0))</f>
        <v>1010</v>
      </c>
      <c r="C81" t="str">
        <f>INDEX('ECOMMERS SALES'!$A:$J,MATCH('index match'!$A81,'ECOMMERS SALES'!$C:$C,0),MATCH('index match'!C$1,ECOMMERS_SALES[#Headers],0))</f>
        <v>11-01-2025</v>
      </c>
      <c r="D81" t="str">
        <f>INDEX('ECOMMERS SALES'!$A:$J,MATCH('index match'!$A81,'ECOMMERS SALES'!$C:$C,0),MATCH('index match'!D$1,ECOMMERS_SALES[#Headers],0))</f>
        <v>Other</v>
      </c>
      <c r="E81">
        <f>INDEX('ECOMMERS SALES'!$A:$J,MATCH('index match'!$A81,'ECOMMERS SALES'!$C:$C,0),MATCH('index match'!E$1,ECOMMERS_SALES[#Headers],0))</f>
        <v>1</v>
      </c>
      <c r="F81">
        <f>INDEX('ECOMMERS SALES'!$A:$J,MATCH('index match'!$A81,'ECOMMERS SALES'!$C:$C,0),MATCH('index match'!F$1,ECOMMERS_SALES[#Headers],0))</f>
        <v>268</v>
      </c>
      <c r="G81">
        <f>INDEX('ECOMMERS SALES'!$A:$J,MATCH('index match'!$A81,'ECOMMERS SALES'!$C:$C,0),MATCH('index match'!G$1,ECOMMERS_SALES[#Headers],0))</f>
        <v>268</v>
      </c>
      <c r="H81" t="str">
        <f>INDEX('ECOMMERS SALES'!$A:$J,MATCH('index match'!$A81,'ECOMMERS SALES'!$C:$C,0),MATCH('index match'!H$1,ECOMMERS_SALES[#Headers],0))</f>
        <v>Chennai</v>
      </c>
      <c r="I81" t="str">
        <f>INDEX('ECOMMERS SALES'!$A:$J,MATCH('index match'!$A81,'ECOMMERS SALES'!$C:$C,0),MATCH('index match'!I$1,ECOMMERS_SALES[#Headers],0))</f>
        <v>New</v>
      </c>
      <c r="J81" t="str">
        <f>INDEX('ECOMMERS SALES'!$A:$J,MATCH('index match'!$A81,'ECOMMERS SALES'!$C:$C,0),MATCH('index match'!J$1,ECOMMERS_SALES[#Headers],0))</f>
        <v>UPI</v>
      </c>
    </row>
    <row r="82" spans="1:10" x14ac:dyDescent="0.35">
      <c r="A82" t="s">
        <v>11</v>
      </c>
      <c r="B82">
        <f>INDEX('ECOMMERS SALES'!$A:$J,MATCH('index match'!$A82,'ECOMMERS SALES'!$C:$C,0),MATCH('index match'!B$1,ECOMMERS_SALES[#Headers],0))</f>
        <v>1001</v>
      </c>
      <c r="C82" t="str">
        <f>INDEX('ECOMMERS SALES'!$A:$J,MATCH('index match'!$A82,'ECOMMERS SALES'!$C:$C,0),MATCH('index match'!C$1,ECOMMERS_SALES[#Headers],0))</f>
        <v>02-01-2025</v>
      </c>
      <c r="D82" t="str">
        <f>INDEX('ECOMMERS SALES'!$A:$J,MATCH('index match'!$A82,'ECOMMERS SALES'!$C:$C,0),MATCH('index match'!D$1,ECOMMERS_SALES[#Headers],0))</f>
        <v>Electronics</v>
      </c>
      <c r="E82">
        <f>INDEX('ECOMMERS SALES'!$A:$J,MATCH('index match'!$A82,'ECOMMERS SALES'!$C:$C,0),MATCH('index match'!E$1,ECOMMERS_SALES[#Headers],0))</f>
        <v>2</v>
      </c>
      <c r="F82">
        <f>INDEX('ECOMMERS SALES'!$A:$J,MATCH('index match'!$A82,'ECOMMERS SALES'!$C:$C,0),MATCH('index match'!F$1,ECOMMERS_SALES[#Headers],0))</f>
        <v>50353</v>
      </c>
      <c r="G82">
        <f>INDEX('ECOMMERS SALES'!$A:$J,MATCH('index match'!$A82,'ECOMMERS SALES'!$C:$C,0),MATCH('index match'!G$1,ECOMMERS_SALES[#Headers],0))</f>
        <v>100706</v>
      </c>
      <c r="H82" t="str">
        <f>INDEX('ECOMMERS SALES'!$A:$J,MATCH('index match'!$A82,'ECOMMERS SALES'!$C:$C,0),MATCH('index match'!H$1,ECOMMERS_SALES[#Headers],0))</f>
        <v>Chennai</v>
      </c>
      <c r="I82" t="str">
        <f>INDEX('ECOMMERS SALES'!$A:$J,MATCH('index match'!$A82,'ECOMMERS SALES'!$C:$C,0),MATCH('index match'!I$1,ECOMMERS_SALES[#Headers],0))</f>
        <v>Premimum</v>
      </c>
      <c r="J82" t="str">
        <f>INDEX('ECOMMERS SALES'!$A:$J,MATCH('index match'!$A82,'ECOMMERS SALES'!$C:$C,0),MATCH('index match'!J$1,ECOMMERS_SALES[#Headers],0))</f>
        <v>Card</v>
      </c>
    </row>
    <row r="83" spans="1:10" x14ac:dyDescent="0.35">
      <c r="A83" t="s">
        <v>17</v>
      </c>
      <c r="B83">
        <f>INDEX('ECOMMERS SALES'!$A:$J,MATCH('index match'!$A83,'ECOMMERS SALES'!$C:$C,0),MATCH('index match'!B$1,ECOMMERS_SALES[#Headers],0))</f>
        <v>1002</v>
      </c>
      <c r="C83" t="str">
        <f>INDEX('ECOMMERS SALES'!$A:$J,MATCH('index match'!$A83,'ECOMMERS SALES'!$C:$C,0),MATCH('index match'!C$1,ECOMMERS_SALES[#Headers],0))</f>
        <v>03-01-2025</v>
      </c>
      <c r="D83" t="str">
        <f>INDEX('ECOMMERS SALES'!$A:$J,MATCH('index match'!$A83,'ECOMMERS SALES'!$C:$C,0),MATCH('index match'!D$1,ECOMMERS_SALES[#Headers],0))</f>
        <v>Electronics</v>
      </c>
      <c r="E83">
        <f>INDEX('ECOMMERS SALES'!$A:$J,MATCH('index match'!$A83,'ECOMMERS SALES'!$C:$C,0),MATCH('index match'!E$1,ECOMMERS_SALES[#Headers],0))</f>
        <v>2</v>
      </c>
      <c r="F83">
        <f>INDEX('ECOMMERS SALES'!$A:$J,MATCH('index match'!$A83,'ECOMMERS SALES'!$C:$C,0),MATCH('index match'!F$1,ECOMMERS_SALES[#Headers],0))</f>
        <v>2008</v>
      </c>
      <c r="G83">
        <f>INDEX('ECOMMERS SALES'!$A:$J,MATCH('index match'!$A83,'ECOMMERS SALES'!$C:$C,0),MATCH('index match'!G$1,ECOMMERS_SALES[#Headers],0))</f>
        <v>4016</v>
      </c>
      <c r="H83" t="str">
        <f>INDEX('ECOMMERS SALES'!$A:$J,MATCH('index match'!$A83,'ECOMMERS SALES'!$C:$C,0),MATCH('index match'!H$1,ECOMMERS_SALES[#Headers],0))</f>
        <v>Delhi</v>
      </c>
      <c r="I83" t="str">
        <f>INDEX('ECOMMERS SALES'!$A:$J,MATCH('index match'!$A83,'ECOMMERS SALES'!$C:$C,0),MATCH('index match'!I$1,ECOMMERS_SALES[#Headers],0))</f>
        <v>New</v>
      </c>
      <c r="J83" t="str">
        <f>INDEX('ECOMMERS SALES'!$A:$J,MATCH('index match'!$A83,'ECOMMERS SALES'!$C:$C,0),MATCH('index match'!J$1,ECOMMERS_SALES[#Headers],0))</f>
        <v>UPI</v>
      </c>
    </row>
    <row r="84" spans="1:10" x14ac:dyDescent="0.35">
      <c r="A84" t="s">
        <v>22</v>
      </c>
      <c r="B84">
        <f>INDEX('ECOMMERS SALES'!$A:$J,MATCH('index match'!$A84,'ECOMMERS SALES'!$C:$C,0),MATCH('index match'!B$1,ECOMMERS_SALES[#Headers],0))</f>
        <v>1003</v>
      </c>
      <c r="C84" t="str">
        <f>INDEX('ECOMMERS SALES'!$A:$J,MATCH('index match'!$A84,'ECOMMERS SALES'!$C:$C,0),MATCH('index match'!C$1,ECOMMERS_SALES[#Headers],0))</f>
        <v>04-01-2025</v>
      </c>
      <c r="D84" t="str">
        <f>INDEX('ECOMMERS SALES'!$A:$J,MATCH('index match'!$A84,'ECOMMERS SALES'!$C:$C,0),MATCH('index match'!D$1,ECOMMERS_SALES[#Headers],0))</f>
        <v>Fashion</v>
      </c>
      <c r="E84">
        <f>INDEX('ECOMMERS SALES'!$A:$J,MATCH('index match'!$A84,'ECOMMERS SALES'!$C:$C,0),MATCH('index match'!E$1,ECOMMERS_SALES[#Headers],0))</f>
        <v>1</v>
      </c>
      <c r="F84">
        <f>INDEX('ECOMMERS SALES'!$A:$J,MATCH('index match'!$A84,'ECOMMERS SALES'!$C:$C,0),MATCH('index match'!F$1,ECOMMERS_SALES[#Headers],0))</f>
        <v>4736</v>
      </c>
      <c r="G84">
        <f>INDEX('ECOMMERS SALES'!$A:$J,MATCH('index match'!$A84,'ECOMMERS SALES'!$C:$C,0),MATCH('index match'!G$1,ECOMMERS_SALES[#Headers],0))</f>
        <v>4736</v>
      </c>
      <c r="H84" t="str">
        <f>INDEX('ECOMMERS SALES'!$A:$J,MATCH('index match'!$A84,'ECOMMERS SALES'!$C:$C,0),MATCH('index match'!H$1,ECOMMERS_SALES[#Headers],0))</f>
        <v>Chennai</v>
      </c>
      <c r="I84" t="str">
        <f>INDEX('ECOMMERS SALES'!$A:$J,MATCH('index match'!$A84,'ECOMMERS SALES'!$C:$C,0),MATCH('index match'!I$1,ECOMMERS_SALES[#Headers],0))</f>
        <v>New</v>
      </c>
      <c r="J84" t="str">
        <f>INDEX('ECOMMERS SALES'!$A:$J,MATCH('index match'!$A84,'ECOMMERS SALES'!$C:$C,0),MATCH('index match'!J$1,ECOMMERS_SALES[#Headers],0))</f>
        <v>UPI</v>
      </c>
    </row>
    <row r="85" spans="1:10" x14ac:dyDescent="0.35">
      <c r="A85" t="s">
        <v>25</v>
      </c>
      <c r="B85">
        <f>INDEX('ECOMMERS SALES'!$A:$J,MATCH('index match'!$A85,'ECOMMERS SALES'!$C:$C,0),MATCH('index match'!B$1,ECOMMERS_SALES[#Headers],0))</f>
        <v>1004</v>
      </c>
      <c r="C85" t="str">
        <f>INDEX('ECOMMERS SALES'!$A:$J,MATCH('index match'!$A85,'ECOMMERS SALES'!$C:$C,0),MATCH('index match'!C$1,ECOMMERS_SALES[#Headers],0))</f>
        <v>05-01-2025</v>
      </c>
      <c r="D85" t="str">
        <f>INDEX('ECOMMERS SALES'!$A:$J,MATCH('index match'!$A85,'ECOMMERS SALES'!$C:$C,0),MATCH('index match'!D$1,ECOMMERS_SALES[#Headers],0))</f>
        <v>Other</v>
      </c>
      <c r="E85">
        <f>INDEX('ECOMMERS SALES'!$A:$J,MATCH('index match'!$A85,'ECOMMERS SALES'!$C:$C,0),MATCH('index match'!E$1,ECOMMERS_SALES[#Headers],0))</f>
        <v>2</v>
      </c>
      <c r="F85">
        <f>INDEX('ECOMMERS SALES'!$A:$J,MATCH('index match'!$A85,'ECOMMERS SALES'!$C:$C,0),MATCH('index match'!F$1,ECOMMERS_SALES[#Headers],0))</f>
        <v>10072</v>
      </c>
      <c r="G85">
        <f>INDEX('ECOMMERS SALES'!$A:$J,MATCH('index match'!$A85,'ECOMMERS SALES'!$C:$C,0),MATCH('index match'!G$1,ECOMMERS_SALES[#Headers],0))</f>
        <v>20144</v>
      </c>
      <c r="H85" t="str">
        <f>INDEX('ECOMMERS SALES'!$A:$J,MATCH('index match'!$A85,'ECOMMERS SALES'!$C:$C,0),MATCH('index match'!H$1,ECOMMERS_SALES[#Headers],0))</f>
        <v>Pune</v>
      </c>
      <c r="I85" t="str">
        <f>INDEX('ECOMMERS SALES'!$A:$J,MATCH('index match'!$A85,'ECOMMERS SALES'!$C:$C,0),MATCH('index match'!I$1,ECOMMERS_SALES[#Headers],0))</f>
        <v>Premimum</v>
      </c>
      <c r="J85" t="str">
        <f>INDEX('ECOMMERS SALES'!$A:$J,MATCH('index match'!$A85,'ECOMMERS SALES'!$C:$C,0),MATCH('index match'!J$1,ECOMMERS_SALES[#Headers],0))</f>
        <v>Card</v>
      </c>
    </row>
    <row r="86" spans="1:10" x14ac:dyDescent="0.35">
      <c r="A86" t="s">
        <v>29</v>
      </c>
      <c r="B86">
        <f>INDEX('ECOMMERS SALES'!$A:$J,MATCH('index match'!$A86,'ECOMMERS SALES'!$C:$C,0),MATCH('index match'!B$1,ECOMMERS_SALES[#Headers],0))</f>
        <v>1005</v>
      </c>
      <c r="C86" t="str">
        <f>INDEX('ECOMMERS SALES'!$A:$J,MATCH('index match'!$A86,'ECOMMERS SALES'!$C:$C,0),MATCH('index match'!C$1,ECOMMERS_SALES[#Headers],0))</f>
        <v>06-01-2025</v>
      </c>
      <c r="D86" t="str">
        <f>INDEX('ECOMMERS SALES'!$A:$J,MATCH('index match'!$A86,'ECOMMERS SALES'!$C:$C,0),MATCH('index match'!D$1,ECOMMERS_SALES[#Headers],0))</f>
        <v>Other</v>
      </c>
      <c r="E86">
        <f>INDEX('ECOMMERS SALES'!$A:$J,MATCH('index match'!$A86,'ECOMMERS SALES'!$C:$C,0),MATCH('index match'!E$1,ECOMMERS_SALES[#Headers],0))</f>
        <v>2</v>
      </c>
      <c r="F86">
        <f>INDEX('ECOMMERS SALES'!$A:$J,MATCH('index match'!$A86,'ECOMMERS SALES'!$C:$C,0),MATCH('index match'!F$1,ECOMMERS_SALES[#Headers],0))</f>
        <v>920</v>
      </c>
      <c r="G86">
        <f>INDEX('ECOMMERS SALES'!$A:$J,MATCH('index match'!$A86,'ECOMMERS SALES'!$C:$C,0),MATCH('index match'!G$1,ECOMMERS_SALES[#Headers],0))</f>
        <v>1840</v>
      </c>
      <c r="H86" t="str">
        <f>INDEX('ECOMMERS SALES'!$A:$J,MATCH('index match'!$A86,'ECOMMERS SALES'!$C:$C,0),MATCH('index match'!H$1,ECOMMERS_SALES[#Headers],0))</f>
        <v>Pune</v>
      </c>
      <c r="I86" t="str">
        <f>INDEX('ECOMMERS SALES'!$A:$J,MATCH('index match'!$A86,'ECOMMERS SALES'!$C:$C,0),MATCH('index match'!I$1,ECOMMERS_SALES[#Headers],0))</f>
        <v>New</v>
      </c>
      <c r="J86" t="str">
        <f>INDEX('ECOMMERS SALES'!$A:$J,MATCH('index match'!$A86,'ECOMMERS SALES'!$C:$C,0),MATCH('index match'!J$1,ECOMMERS_SALES[#Headers],0))</f>
        <v>UPI</v>
      </c>
    </row>
    <row r="87" spans="1:10" x14ac:dyDescent="0.35">
      <c r="A87" t="s">
        <v>31</v>
      </c>
      <c r="B87">
        <f>INDEX('ECOMMERS SALES'!$A:$J,MATCH('index match'!$A87,'ECOMMERS SALES'!$C:$C,0),MATCH('index match'!B$1,ECOMMERS_SALES[#Headers],0))</f>
        <v>1006</v>
      </c>
      <c r="C87" t="str">
        <f>INDEX('ECOMMERS SALES'!$A:$J,MATCH('index match'!$A87,'ECOMMERS SALES'!$C:$C,0),MATCH('index match'!C$1,ECOMMERS_SALES[#Headers],0))</f>
        <v>07-01-2025</v>
      </c>
      <c r="D87" t="str">
        <f>INDEX('ECOMMERS SALES'!$A:$J,MATCH('index match'!$A87,'ECOMMERS SALES'!$C:$C,0),MATCH('index match'!D$1,ECOMMERS_SALES[#Headers],0))</f>
        <v>Electronics</v>
      </c>
      <c r="E87">
        <f>INDEX('ECOMMERS SALES'!$A:$J,MATCH('index match'!$A87,'ECOMMERS SALES'!$C:$C,0),MATCH('index match'!E$1,ECOMMERS_SALES[#Headers],0))</f>
        <v>1</v>
      </c>
      <c r="F87">
        <f>INDEX('ECOMMERS SALES'!$A:$J,MATCH('index match'!$A87,'ECOMMERS SALES'!$C:$C,0),MATCH('index match'!F$1,ECOMMERS_SALES[#Headers],0))</f>
        <v>13225</v>
      </c>
      <c r="G87">
        <f>INDEX('ECOMMERS SALES'!$A:$J,MATCH('index match'!$A87,'ECOMMERS SALES'!$C:$C,0),MATCH('index match'!G$1,ECOMMERS_SALES[#Headers],0))</f>
        <v>13225</v>
      </c>
      <c r="H87" t="str">
        <f>INDEX('ECOMMERS SALES'!$A:$J,MATCH('index match'!$A87,'ECOMMERS SALES'!$C:$C,0),MATCH('index match'!H$1,ECOMMERS_SALES[#Headers],0))</f>
        <v>Delhi</v>
      </c>
      <c r="I87" t="str">
        <f>INDEX('ECOMMERS SALES'!$A:$J,MATCH('index match'!$A87,'ECOMMERS SALES'!$C:$C,0),MATCH('index match'!I$1,ECOMMERS_SALES[#Headers],0))</f>
        <v>Returning</v>
      </c>
      <c r="J87" t="str">
        <f>INDEX('ECOMMERS SALES'!$A:$J,MATCH('index match'!$A87,'ECOMMERS SALES'!$C:$C,0),MATCH('index match'!J$1,ECOMMERS_SALES[#Headers],0))</f>
        <v>COD</v>
      </c>
    </row>
    <row r="88" spans="1:10" x14ac:dyDescent="0.35">
      <c r="A88" t="s">
        <v>35</v>
      </c>
      <c r="B88">
        <f>INDEX('ECOMMERS SALES'!$A:$J,MATCH('index match'!$A88,'ECOMMERS SALES'!$C:$C,0),MATCH('index match'!B$1,ECOMMERS_SALES[#Headers],0))</f>
        <v>1007</v>
      </c>
      <c r="C88" t="str">
        <f>INDEX('ECOMMERS SALES'!$A:$J,MATCH('index match'!$A88,'ECOMMERS SALES'!$C:$C,0),MATCH('index match'!C$1,ECOMMERS_SALES[#Headers],0))</f>
        <v>08-01-2025</v>
      </c>
      <c r="D88" t="str">
        <f>INDEX('ECOMMERS SALES'!$A:$J,MATCH('index match'!$A88,'ECOMMERS SALES'!$C:$C,0),MATCH('index match'!D$1,ECOMMERS_SALES[#Headers],0))</f>
        <v>Books</v>
      </c>
      <c r="E88">
        <f>INDEX('ECOMMERS SALES'!$A:$J,MATCH('index match'!$A88,'ECOMMERS SALES'!$C:$C,0),MATCH('index match'!E$1,ECOMMERS_SALES[#Headers],0))</f>
        <v>3</v>
      </c>
      <c r="F88">
        <f>INDEX('ECOMMERS SALES'!$A:$J,MATCH('index match'!$A88,'ECOMMERS SALES'!$C:$C,0),MATCH('index match'!F$1,ECOMMERS_SALES[#Headers],0))</f>
        <v>621</v>
      </c>
      <c r="G88">
        <f>INDEX('ECOMMERS SALES'!$A:$J,MATCH('index match'!$A88,'ECOMMERS SALES'!$C:$C,0),MATCH('index match'!G$1,ECOMMERS_SALES[#Headers],0))</f>
        <v>1863</v>
      </c>
      <c r="H88" t="str">
        <f>INDEX('ECOMMERS SALES'!$A:$J,MATCH('index match'!$A88,'ECOMMERS SALES'!$C:$C,0),MATCH('index match'!H$1,ECOMMERS_SALES[#Headers],0))</f>
        <v>Hyderabad</v>
      </c>
      <c r="I88" t="str">
        <f>INDEX('ECOMMERS SALES'!$A:$J,MATCH('index match'!$A88,'ECOMMERS SALES'!$C:$C,0),MATCH('index match'!I$1,ECOMMERS_SALES[#Headers],0))</f>
        <v>Premimum</v>
      </c>
      <c r="J88" t="str">
        <f>INDEX('ECOMMERS SALES'!$A:$J,MATCH('index match'!$A88,'ECOMMERS SALES'!$C:$C,0),MATCH('index match'!J$1,ECOMMERS_SALES[#Headers],0))</f>
        <v>UPI</v>
      </c>
    </row>
    <row r="89" spans="1:10" x14ac:dyDescent="0.35">
      <c r="A89" t="s">
        <v>39</v>
      </c>
      <c r="B89">
        <f>INDEX('ECOMMERS SALES'!$A:$J,MATCH('index match'!$A89,'ECOMMERS SALES'!$C:$C,0),MATCH('index match'!B$1,ECOMMERS_SALES[#Headers],0))</f>
        <v>1008</v>
      </c>
      <c r="C89" t="str">
        <f>INDEX('ECOMMERS SALES'!$A:$J,MATCH('index match'!$A89,'ECOMMERS SALES'!$C:$C,0),MATCH('index match'!C$1,ECOMMERS_SALES[#Headers],0))</f>
        <v>09-01-2025</v>
      </c>
      <c r="D89" t="str">
        <f>INDEX('ECOMMERS SALES'!$A:$J,MATCH('index match'!$A89,'ECOMMERS SALES'!$C:$C,0),MATCH('index match'!D$1,ECOMMERS_SALES[#Headers],0))</f>
        <v>Fashion</v>
      </c>
      <c r="E89">
        <f>INDEX('ECOMMERS SALES'!$A:$J,MATCH('index match'!$A89,'ECOMMERS SALES'!$C:$C,0),MATCH('index match'!E$1,ECOMMERS_SALES[#Headers],0))</f>
        <v>2</v>
      </c>
      <c r="F89">
        <f>INDEX('ECOMMERS SALES'!$A:$J,MATCH('index match'!$A89,'ECOMMERS SALES'!$C:$C,0),MATCH('index match'!F$1,ECOMMERS_SALES[#Headers],0))</f>
        <v>905</v>
      </c>
      <c r="G89">
        <f>INDEX('ECOMMERS SALES'!$A:$J,MATCH('index match'!$A89,'ECOMMERS SALES'!$C:$C,0),MATCH('index match'!G$1,ECOMMERS_SALES[#Headers],0))</f>
        <v>1810</v>
      </c>
      <c r="H89" t="str">
        <f>INDEX('ECOMMERS SALES'!$A:$J,MATCH('index match'!$A89,'ECOMMERS SALES'!$C:$C,0),MATCH('index match'!H$1,ECOMMERS_SALES[#Headers],0))</f>
        <v>Bangalore</v>
      </c>
      <c r="I89" t="str">
        <f>INDEX('ECOMMERS SALES'!$A:$J,MATCH('index match'!$A89,'ECOMMERS SALES'!$C:$C,0),MATCH('index match'!I$1,ECOMMERS_SALES[#Headers],0))</f>
        <v>New</v>
      </c>
      <c r="J89" t="str">
        <f>INDEX('ECOMMERS SALES'!$A:$J,MATCH('index match'!$A89,'ECOMMERS SALES'!$C:$C,0),MATCH('index match'!J$1,ECOMMERS_SALES[#Headers],0))</f>
        <v>COD</v>
      </c>
    </row>
    <row r="90" spans="1:10" x14ac:dyDescent="0.35">
      <c r="A90" t="s">
        <v>42</v>
      </c>
      <c r="B90">
        <f>INDEX('ECOMMERS SALES'!$A:$J,MATCH('index match'!$A90,'ECOMMERS SALES'!$C:$C,0),MATCH('index match'!B$1,ECOMMERS_SALES[#Headers],0))</f>
        <v>1009</v>
      </c>
      <c r="C90" t="str">
        <f>INDEX('ECOMMERS SALES'!$A:$J,MATCH('index match'!$A90,'ECOMMERS SALES'!$C:$C,0),MATCH('index match'!C$1,ECOMMERS_SALES[#Headers],0))</f>
        <v>10-01-2025</v>
      </c>
      <c r="D90" t="str">
        <f>INDEX('ECOMMERS SALES'!$A:$J,MATCH('index match'!$A90,'ECOMMERS SALES'!$C:$C,0),MATCH('index match'!D$1,ECOMMERS_SALES[#Headers],0))</f>
        <v>Electronics</v>
      </c>
      <c r="E90">
        <f>INDEX('ECOMMERS SALES'!$A:$J,MATCH('index match'!$A90,'ECOMMERS SALES'!$C:$C,0),MATCH('index match'!E$1,ECOMMERS_SALES[#Headers],0))</f>
        <v>1</v>
      </c>
      <c r="F90">
        <f>INDEX('ECOMMERS SALES'!$A:$J,MATCH('index match'!$A90,'ECOMMERS SALES'!$C:$C,0),MATCH('index match'!F$1,ECOMMERS_SALES[#Headers],0))</f>
        <v>8563</v>
      </c>
      <c r="G90">
        <f>INDEX('ECOMMERS SALES'!$A:$J,MATCH('index match'!$A90,'ECOMMERS SALES'!$C:$C,0),MATCH('index match'!G$1,ECOMMERS_SALES[#Headers],0))</f>
        <v>8563</v>
      </c>
      <c r="H90" t="str">
        <f>INDEX('ECOMMERS SALES'!$A:$J,MATCH('index match'!$A90,'ECOMMERS SALES'!$C:$C,0),MATCH('index match'!H$1,ECOMMERS_SALES[#Headers],0))</f>
        <v>Hyderabad</v>
      </c>
      <c r="I90" t="str">
        <f>INDEX('ECOMMERS SALES'!$A:$J,MATCH('index match'!$A90,'ECOMMERS SALES'!$C:$C,0),MATCH('index match'!I$1,ECOMMERS_SALES[#Headers],0))</f>
        <v>Returning</v>
      </c>
      <c r="J90" t="str">
        <f>INDEX('ECOMMERS SALES'!$A:$J,MATCH('index match'!$A90,'ECOMMERS SALES'!$C:$C,0),MATCH('index match'!J$1,ECOMMERS_SALES[#Headers],0))</f>
        <v>Card</v>
      </c>
    </row>
    <row r="91" spans="1:10" x14ac:dyDescent="0.35">
      <c r="A91" t="s">
        <v>44</v>
      </c>
      <c r="B91">
        <f>INDEX('ECOMMERS SALES'!$A:$J,MATCH('index match'!$A91,'ECOMMERS SALES'!$C:$C,0),MATCH('index match'!B$1,ECOMMERS_SALES[#Headers],0))</f>
        <v>1010</v>
      </c>
      <c r="C91" t="str">
        <f>INDEX('ECOMMERS SALES'!$A:$J,MATCH('index match'!$A91,'ECOMMERS SALES'!$C:$C,0),MATCH('index match'!C$1,ECOMMERS_SALES[#Headers],0))</f>
        <v>11-01-2025</v>
      </c>
      <c r="D91" t="str">
        <f>INDEX('ECOMMERS SALES'!$A:$J,MATCH('index match'!$A91,'ECOMMERS SALES'!$C:$C,0),MATCH('index match'!D$1,ECOMMERS_SALES[#Headers],0))</f>
        <v>Other</v>
      </c>
      <c r="E91">
        <f>INDEX('ECOMMERS SALES'!$A:$J,MATCH('index match'!$A91,'ECOMMERS SALES'!$C:$C,0),MATCH('index match'!E$1,ECOMMERS_SALES[#Headers],0))</f>
        <v>1</v>
      </c>
      <c r="F91">
        <f>INDEX('ECOMMERS SALES'!$A:$J,MATCH('index match'!$A91,'ECOMMERS SALES'!$C:$C,0),MATCH('index match'!F$1,ECOMMERS_SALES[#Headers],0))</f>
        <v>268</v>
      </c>
      <c r="G91">
        <f>INDEX('ECOMMERS SALES'!$A:$J,MATCH('index match'!$A91,'ECOMMERS SALES'!$C:$C,0),MATCH('index match'!G$1,ECOMMERS_SALES[#Headers],0))</f>
        <v>268</v>
      </c>
      <c r="H91" t="str">
        <f>INDEX('ECOMMERS SALES'!$A:$J,MATCH('index match'!$A91,'ECOMMERS SALES'!$C:$C,0),MATCH('index match'!H$1,ECOMMERS_SALES[#Headers],0))</f>
        <v>Chennai</v>
      </c>
      <c r="I91" t="str">
        <f>INDEX('ECOMMERS SALES'!$A:$J,MATCH('index match'!$A91,'ECOMMERS SALES'!$C:$C,0),MATCH('index match'!I$1,ECOMMERS_SALES[#Headers],0))</f>
        <v>New</v>
      </c>
      <c r="J91" t="str">
        <f>INDEX('ECOMMERS SALES'!$A:$J,MATCH('index match'!$A91,'ECOMMERS SALES'!$C:$C,0),MATCH('index match'!J$1,ECOMMERS_SALES[#Headers],0))</f>
        <v>UPI</v>
      </c>
    </row>
    <row r="92" spans="1:10" x14ac:dyDescent="0.35">
      <c r="A92" t="s">
        <v>11</v>
      </c>
      <c r="B92">
        <f>INDEX('ECOMMERS SALES'!$A:$J,MATCH('index match'!$A92,'ECOMMERS SALES'!$C:$C,0),MATCH('index match'!B$1,ECOMMERS_SALES[#Headers],0))</f>
        <v>1001</v>
      </c>
      <c r="C92" t="str">
        <f>INDEX('ECOMMERS SALES'!$A:$J,MATCH('index match'!$A92,'ECOMMERS SALES'!$C:$C,0),MATCH('index match'!C$1,ECOMMERS_SALES[#Headers],0))</f>
        <v>02-01-2025</v>
      </c>
      <c r="D92" t="str">
        <f>INDEX('ECOMMERS SALES'!$A:$J,MATCH('index match'!$A92,'ECOMMERS SALES'!$C:$C,0),MATCH('index match'!D$1,ECOMMERS_SALES[#Headers],0))</f>
        <v>Electronics</v>
      </c>
      <c r="E92">
        <f>INDEX('ECOMMERS SALES'!$A:$J,MATCH('index match'!$A92,'ECOMMERS SALES'!$C:$C,0),MATCH('index match'!E$1,ECOMMERS_SALES[#Headers],0))</f>
        <v>2</v>
      </c>
      <c r="F92">
        <f>INDEX('ECOMMERS SALES'!$A:$J,MATCH('index match'!$A92,'ECOMMERS SALES'!$C:$C,0),MATCH('index match'!F$1,ECOMMERS_SALES[#Headers],0))</f>
        <v>50353</v>
      </c>
      <c r="G92">
        <f>INDEX('ECOMMERS SALES'!$A:$J,MATCH('index match'!$A92,'ECOMMERS SALES'!$C:$C,0),MATCH('index match'!G$1,ECOMMERS_SALES[#Headers],0))</f>
        <v>100706</v>
      </c>
      <c r="H92" t="str">
        <f>INDEX('ECOMMERS SALES'!$A:$J,MATCH('index match'!$A92,'ECOMMERS SALES'!$C:$C,0),MATCH('index match'!H$1,ECOMMERS_SALES[#Headers],0))</f>
        <v>Chennai</v>
      </c>
      <c r="I92" t="str">
        <f>INDEX('ECOMMERS SALES'!$A:$J,MATCH('index match'!$A92,'ECOMMERS SALES'!$C:$C,0),MATCH('index match'!I$1,ECOMMERS_SALES[#Headers],0))</f>
        <v>Premimum</v>
      </c>
      <c r="J92" t="str">
        <f>INDEX('ECOMMERS SALES'!$A:$J,MATCH('index match'!$A92,'ECOMMERS SALES'!$C:$C,0),MATCH('index match'!J$1,ECOMMERS_SALES[#Headers],0))</f>
        <v>Card</v>
      </c>
    </row>
    <row r="93" spans="1:10" x14ac:dyDescent="0.35">
      <c r="A93" t="s">
        <v>17</v>
      </c>
      <c r="B93">
        <f>INDEX('ECOMMERS SALES'!$A:$J,MATCH('index match'!$A93,'ECOMMERS SALES'!$C:$C,0),MATCH('index match'!B$1,ECOMMERS_SALES[#Headers],0))</f>
        <v>1002</v>
      </c>
      <c r="C93" t="str">
        <f>INDEX('ECOMMERS SALES'!$A:$J,MATCH('index match'!$A93,'ECOMMERS SALES'!$C:$C,0),MATCH('index match'!C$1,ECOMMERS_SALES[#Headers],0))</f>
        <v>03-01-2025</v>
      </c>
      <c r="D93" t="str">
        <f>INDEX('ECOMMERS SALES'!$A:$J,MATCH('index match'!$A93,'ECOMMERS SALES'!$C:$C,0),MATCH('index match'!D$1,ECOMMERS_SALES[#Headers],0))</f>
        <v>Electronics</v>
      </c>
      <c r="E93">
        <f>INDEX('ECOMMERS SALES'!$A:$J,MATCH('index match'!$A93,'ECOMMERS SALES'!$C:$C,0),MATCH('index match'!E$1,ECOMMERS_SALES[#Headers],0))</f>
        <v>2</v>
      </c>
      <c r="F93">
        <f>INDEX('ECOMMERS SALES'!$A:$J,MATCH('index match'!$A93,'ECOMMERS SALES'!$C:$C,0),MATCH('index match'!F$1,ECOMMERS_SALES[#Headers],0))</f>
        <v>2008</v>
      </c>
      <c r="G93">
        <f>INDEX('ECOMMERS SALES'!$A:$J,MATCH('index match'!$A93,'ECOMMERS SALES'!$C:$C,0),MATCH('index match'!G$1,ECOMMERS_SALES[#Headers],0))</f>
        <v>4016</v>
      </c>
      <c r="H93" t="str">
        <f>INDEX('ECOMMERS SALES'!$A:$J,MATCH('index match'!$A93,'ECOMMERS SALES'!$C:$C,0),MATCH('index match'!H$1,ECOMMERS_SALES[#Headers],0))</f>
        <v>Delhi</v>
      </c>
      <c r="I93" t="str">
        <f>INDEX('ECOMMERS SALES'!$A:$J,MATCH('index match'!$A93,'ECOMMERS SALES'!$C:$C,0),MATCH('index match'!I$1,ECOMMERS_SALES[#Headers],0))</f>
        <v>New</v>
      </c>
      <c r="J93" t="str">
        <f>INDEX('ECOMMERS SALES'!$A:$J,MATCH('index match'!$A93,'ECOMMERS SALES'!$C:$C,0),MATCH('index match'!J$1,ECOMMERS_SALES[#Headers],0))</f>
        <v>UPI</v>
      </c>
    </row>
    <row r="94" spans="1:10" x14ac:dyDescent="0.35">
      <c r="A94" t="s">
        <v>22</v>
      </c>
      <c r="B94">
        <f>INDEX('ECOMMERS SALES'!$A:$J,MATCH('index match'!$A94,'ECOMMERS SALES'!$C:$C,0),MATCH('index match'!B$1,ECOMMERS_SALES[#Headers],0))</f>
        <v>1003</v>
      </c>
      <c r="C94" t="str">
        <f>INDEX('ECOMMERS SALES'!$A:$J,MATCH('index match'!$A94,'ECOMMERS SALES'!$C:$C,0),MATCH('index match'!C$1,ECOMMERS_SALES[#Headers],0))</f>
        <v>04-01-2025</v>
      </c>
      <c r="D94" t="str">
        <f>INDEX('ECOMMERS SALES'!$A:$J,MATCH('index match'!$A94,'ECOMMERS SALES'!$C:$C,0),MATCH('index match'!D$1,ECOMMERS_SALES[#Headers],0))</f>
        <v>Fashion</v>
      </c>
      <c r="E94">
        <f>INDEX('ECOMMERS SALES'!$A:$J,MATCH('index match'!$A94,'ECOMMERS SALES'!$C:$C,0),MATCH('index match'!E$1,ECOMMERS_SALES[#Headers],0))</f>
        <v>1</v>
      </c>
      <c r="F94">
        <f>INDEX('ECOMMERS SALES'!$A:$J,MATCH('index match'!$A94,'ECOMMERS SALES'!$C:$C,0),MATCH('index match'!F$1,ECOMMERS_SALES[#Headers],0))</f>
        <v>4736</v>
      </c>
      <c r="G94">
        <f>INDEX('ECOMMERS SALES'!$A:$J,MATCH('index match'!$A94,'ECOMMERS SALES'!$C:$C,0),MATCH('index match'!G$1,ECOMMERS_SALES[#Headers],0))</f>
        <v>4736</v>
      </c>
      <c r="H94" t="str">
        <f>INDEX('ECOMMERS SALES'!$A:$J,MATCH('index match'!$A94,'ECOMMERS SALES'!$C:$C,0),MATCH('index match'!H$1,ECOMMERS_SALES[#Headers],0))</f>
        <v>Chennai</v>
      </c>
      <c r="I94" t="str">
        <f>INDEX('ECOMMERS SALES'!$A:$J,MATCH('index match'!$A94,'ECOMMERS SALES'!$C:$C,0),MATCH('index match'!I$1,ECOMMERS_SALES[#Headers],0))</f>
        <v>New</v>
      </c>
      <c r="J94" t="str">
        <f>INDEX('ECOMMERS SALES'!$A:$J,MATCH('index match'!$A94,'ECOMMERS SALES'!$C:$C,0),MATCH('index match'!J$1,ECOMMERS_SALES[#Headers],0))</f>
        <v>UPI</v>
      </c>
    </row>
    <row r="95" spans="1:10" x14ac:dyDescent="0.35">
      <c r="A95" t="s">
        <v>25</v>
      </c>
      <c r="B95">
        <f>INDEX('ECOMMERS SALES'!$A:$J,MATCH('index match'!$A95,'ECOMMERS SALES'!$C:$C,0),MATCH('index match'!B$1,ECOMMERS_SALES[#Headers],0))</f>
        <v>1004</v>
      </c>
      <c r="C95" t="str">
        <f>INDEX('ECOMMERS SALES'!$A:$J,MATCH('index match'!$A95,'ECOMMERS SALES'!$C:$C,0),MATCH('index match'!C$1,ECOMMERS_SALES[#Headers],0))</f>
        <v>05-01-2025</v>
      </c>
      <c r="D95" t="str">
        <f>INDEX('ECOMMERS SALES'!$A:$J,MATCH('index match'!$A95,'ECOMMERS SALES'!$C:$C,0),MATCH('index match'!D$1,ECOMMERS_SALES[#Headers],0))</f>
        <v>Other</v>
      </c>
      <c r="E95">
        <f>INDEX('ECOMMERS SALES'!$A:$J,MATCH('index match'!$A95,'ECOMMERS SALES'!$C:$C,0),MATCH('index match'!E$1,ECOMMERS_SALES[#Headers],0))</f>
        <v>2</v>
      </c>
      <c r="F95">
        <f>INDEX('ECOMMERS SALES'!$A:$J,MATCH('index match'!$A95,'ECOMMERS SALES'!$C:$C,0),MATCH('index match'!F$1,ECOMMERS_SALES[#Headers],0))</f>
        <v>10072</v>
      </c>
      <c r="G95">
        <f>INDEX('ECOMMERS SALES'!$A:$J,MATCH('index match'!$A95,'ECOMMERS SALES'!$C:$C,0),MATCH('index match'!G$1,ECOMMERS_SALES[#Headers],0))</f>
        <v>20144</v>
      </c>
      <c r="H95" t="str">
        <f>INDEX('ECOMMERS SALES'!$A:$J,MATCH('index match'!$A95,'ECOMMERS SALES'!$C:$C,0),MATCH('index match'!H$1,ECOMMERS_SALES[#Headers],0))</f>
        <v>Pune</v>
      </c>
      <c r="I95" t="str">
        <f>INDEX('ECOMMERS SALES'!$A:$J,MATCH('index match'!$A95,'ECOMMERS SALES'!$C:$C,0),MATCH('index match'!I$1,ECOMMERS_SALES[#Headers],0))</f>
        <v>Premimum</v>
      </c>
      <c r="J95" t="str">
        <f>INDEX('ECOMMERS SALES'!$A:$J,MATCH('index match'!$A95,'ECOMMERS SALES'!$C:$C,0),MATCH('index match'!J$1,ECOMMERS_SALES[#Headers],0))</f>
        <v>Card</v>
      </c>
    </row>
    <row r="96" spans="1:10" x14ac:dyDescent="0.35">
      <c r="A96" t="s">
        <v>29</v>
      </c>
      <c r="B96">
        <f>INDEX('ECOMMERS SALES'!$A:$J,MATCH('index match'!$A96,'ECOMMERS SALES'!$C:$C,0),MATCH('index match'!B$1,ECOMMERS_SALES[#Headers],0))</f>
        <v>1005</v>
      </c>
      <c r="C96" t="str">
        <f>INDEX('ECOMMERS SALES'!$A:$J,MATCH('index match'!$A96,'ECOMMERS SALES'!$C:$C,0),MATCH('index match'!C$1,ECOMMERS_SALES[#Headers],0))</f>
        <v>06-01-2025</v>
      </c>
      <c r="D96" t="str">
        <f>INDEX('ECOMMERS SALES'!$A:$J,MATCH('index match'!$A96,'ECOMMERS SALES'!$C:$C,0),MATCH('index match'!D$1,ECOMMERS_SALES[#Headers],0))</f>
        <v>Other</v>
      </c>
      <c r="E96">
        <f>INDEX('ECOMMERS SALES'!$A:$J,MATCH('index match'!$A96,'ECOMMERS SALES'!$C:$C,0),MATCH('index match'!E$1,ECOMMERS_SALES[#Headers],0))</f>
        <v>2</v>
      </c>
      <c r="F96">
        <f>INDEX('ECOMMERS SALES'!$A:$J,MATCH('index match'!$A96,'ECOMMERS SALES'!$C:$C,0),MATCH('index match'!F$1,ECOMMERS_SALES[#Headers],0))</f>
        <v>920</v>
      </c>
      <c r="G96">
        <f>INDEX('ECOMMERS SALES'!$A:$J,MATCH('index match'!$A96,'ECOMMERS SALES'!$C:$C,0),MATCH('index match'!G$1,ECOMMERS_SALES[#Headers],0))</f>
        <v>1840</v>
      </c>
      <c r="H96" t="str">
        <f>INDEX('ECOMMERS SALES'!$A:$J,MATCH('index match'!$A96,'ECOMMERS SALES'!$C:$C,0),MATCH('index match'!H$1,ECOMMERS_SALES[#Headers],0))</f>
        <v>Pune</v>
      </c>
      <c r="I96" t="str">
        <f>INDEX('ECOMMERS SALES'!$A:$J,MATCH('index match'!$A96,'ECOMMERS SALES'!$C:$C,0),MATCH('index match'!I$1,ECOMMERS_SALES[#Headers],0))</f>
        <v>New</v>
      </c>
      <c r="J96" t="str">
        <f>INDEX('ECOMMERS SALES'!$A:$J,MATCH('index match'!$A96,'ECOMMERS SALES'!$C:$C,0),MATCH('index match'!J$1,ECOMMERS_SALES[#Headers],0))</f>
        <v>UPI</v>
      </c>
    </row>
    <row r="97" spans="1:10" x14ac:dyDescent="0.35">
      <c r="A97" t="s">
        <v>31</v>
      </c>
      <c r="B97">
        <f>INDEX('ECOMMERS SALES'!$A:$J,MATCH('index match'!$A97,'ECOMMERS SALES'!$C:$C,0),MATCH('index match'!B$1,ECOMMERS_SALES[#Headers],0))</f>
        <v>1006</v>
      </c>
      <c r="C97" t="str">
        <f>INDEX('ECOMMERS SALES'!$A:$J,MATCH('index match'!$A97,'ECOMMERS SALES'!$C:$C,0),MATCH('index match'!C$1,ECOMMERS_SALES[#Headers],0))</f>
        <v>07-01-2025</v>
      </c>
      <c r="D97" t="str">
        <f>INDEX('ECOMMERS SALES'!$A:$J,MATCH('index match'!$A97,'ECOMMERS SALES'!$C:$C,0),MATCH('index match'!D$1,ECOMMERS_SALES[#Headers],0))</f>
        <v>Electronics</v>
      </c>
      <c r="E97">
        <f>INDEX('ECOMMERS SALES'!$A:$J,MATCH('index match'!$A97,'ECOMMERS SALES'!$C:$C,0),MATCH('index match'!E$1,ECOMMERS_SALES[#Headers],0))</f>
        <v>1</v>
      </c>
      <c r="F97">
        <f>INDEX('ECOMMERS SALES'!$A:$J,MATCH('index match'!$A97,'ECOMMERS SALES'!$C:$C,0),MATCH('index match'!F$1,ECOMMERS_SALES[#Headers],0))</f>
        <v>13225</v>
      </c>
      <c r="G97">
        <f>INDEX('ECOMMERS SALES'!$A:$J,MATCH('index match'!$A97,'ECOMMERS SALES'!$C:$C,0),MATCH('index match'!G$1,ECOMMERS_SALES[#Headers],0))</f>
        <v>13225</v>
      </c>
      <c r="H97" t="str">
        <f>INDEX('ECOMMERS SALES'!$A:$J,MATCH('index match'!$A97,'ECOMMERS SALES'!$C:$C,0),MATCH('index match'!H$1,ECOMMERS_SALES[#Headers],0))</f>
        <v>Delhi</v>
      </c>
      <c r="I97" t="str">
        <f>INDEX('ECOMMERS SALES'!$A:$J,MATCH('index match'!$A97,'ECOMMERS SALES'!$C:$C,0),MATCH('index match'!I$1,ECOMMERS_SALES[#Headers],0))</f>
        <v>Returning</v>
      </c>
      <c r="J97" t="str">
        <f>INDEX('ECOMMERS SALES'!$A:$J,MATCH('index match'!$A97,'ECOMMERS SALES'!$C:$C,0),MATCH('index match'!J$1,ECOMMERS_SALES[#Headers],0))</f>
        <v>COD</v>
      </c>
    </row>
    <row r="98" spans="1:10" x14ac:dyDescent="0.35">
      <c r="A98" t="s">
        <v>35</v>
      </c>
      <c r="B98">
        <f>INDEX('ECOMMERS SALES'!$A:$J,MATCH('index match'!$A98,'ECOMMERS SALES'!$C:$C,0),MATCH('index match'!B$1,ECOMMERS_SALES[#Headers],0))</f>
        <v>1007</v>
      </c>
      <c r="C98" t="str">
        <f>INDEX('ECOMMERS SALES'!$A:$J,MATCH('index match'!$A98,'ECOMMERS SALES'!$C:$C,0),MATCH('index match'!C$1,ECOMMERS_SALES[#Headers],0))</f>
        <v>08-01-2025</v>
      </c>
      <c r="D98" t="str">
        <f>INDEX('ECOMMERS SALES'!$A:$J,MATCH('index match'!$A98,'ECOMMERS SALES'!$C:$C,0),MATCH('index match'!D$1,ECOMMERS_SALES[#Headers],0))</f>
        <v>Books</v>
      </c>
      <c r="E98">
        <f>INDEX('ECOMMERS SALES'!$A:$J,MATCH('index match'!$A98,'ECOMMERS SALES'!$C:$C,0),MATCH('index match'!E$1,ECOMMERS_SALES[#Headers],0))</f>
        <v>3</v>
      </c>
      <c r="F98">
        <f>INDEX('ECOMMERS SALES'!$A:$J,MATCH('index match'!$A98,'ECOMMERS SALES'!$C:$C,0),MATCH('index match'!F$1,ECOMMERS_SALES[#Headers],0))</f>
        <v>621</v>
      </c>
      <c r="G98">
        <f>INDEX('ECOMMERS SALES'!$A:$J,MATCH('index match'!$A98,'ECOMMERS SALES'!$C:$C,0),MATCH('index match'!G$1,ECOMMERS_SALES[#Headers],0))</f>
        <v>1863</v>
      </c>
      <c r="H98" t="str">
        <f>INDEX('ECOMMERS SALES'!$A:$J,MATCH('index match'!$A98,'ECOMMERS SALES'!$C:$C,0),MATCH('index match'!H$1,ECOMMERS_SALES[#Headers],0))</f>
        <v>Hyderabad</v>
      </c>
      <c r="I98" t="str">
        <f>INDEX('ECOMMERS SALES'!$A:$J,MATCH('index match'!$A98,'ECOMMERS SALES'!$C:$C,0),MATCH('index match'!I$1,ECOMMERS_SALES[#Headers],0))</f>
        <v>Premimum</v>
      </c>
      <c r="J98" t="str">
        <f>INDEX('ECOMMERS SALES'!$A:$J,MATCH('index match'!$A98,'ECOMMERS SALES'!$C:$C,0),MATCH('index match'!J$1,ECOMMERS_SALES[#Headers],0))</f>
        <v>UPI</v>
      </c>
    </row>
    <row r="99" spans="1:10" x14ac:dyDescent="0.35">
      <c r="A99" t="s">
        <v>39</v>
      </c>
      <c r="B99">
        <f>INDEX('ECOMMERS SALES'!$A:$J,MATCH('index match'!$A99,'ECOMMERS SALES'!$C:$C,0),MATCH('index match'!B$1,ECOMMERS_SALES[#Headers],0))</f>
        <v>1008</v>
      </c>
      <c r="C99" t="str">
        <f>INDEX('ECOMMERS SALES'!$A:$J,MATCH('index match'!$A99,'ECOMMERS SALES'!$C:$C,0),MATCH('index match'!C$1,ECOMMERS_SALES[#Headers],0))</f>
        <v>09-01-2025</v>
      </c>
      <c r="D99" t="str">
        <f>INDEX('ECOMMERS SALES'!$A:$J,MATCH('index match'!$A99,'ECOMMERS SALES'!$C:$C,0),MATCH('index match'!D$1,ECOMMERS_SALES[#Headers],0))</f>
        <v>Fashion</v>
      </c>
      <c r="E99">
        <f>INDEX('ECOMMERS SALES'!$A:$J,MATCH('index match'!$A99,'ECOMMERS SALES'!$C:$C,0),MATCH('index match'!E$1,ECOMMERS_SALES[#Headers],0))</f>
        <v>2</v>
      </c>
      <c r="F99">
        <f>INDEX('ECOMMERS SALES'!$A:$J,MATCH('index match'!$A99,'ECOMMERS SALES'!$C:$C,0),MATCH('index match'!F$1,ECOMMERS_SALES[#Headers],0))</f>
        <v>905</v>
      </c>
      <c r="G99">
        <f>INDEX('ECOMMERS SALES'!$A:$J,MATCH('index match'!$A99,'ECOMMERS SALES'!$C:$C,0),MATCH('index match'!G$1,ECOMMERS_SALES[#Headers],0))</f>
        <v>1810</v>
      </c>
      <c r="H99" t="str">
        <f>INDEX('ECOMMERS SALES'!$A:$J,MATCH('index match'!$A99,'ECOMMERS SALES'!$C:$C,0),MATCH('index match'!H$1,ECOMMERS_SALES[#Headers],0))</f>
        <v>Bangalore</v>
      </c>
      <c r="I99" t="str">
        <f>INDEX('ECOMMERS SALES'!$A:$J,MATCH('index match'!$A99,'ECOMMERS SALES'!$C:$C,0),MATCH('index match'!I$1,ECOMMERS_SALES[#Headers],0))</f>
        <v>New</v>
      </c>
      <c r="J99" t="str">
        <f>INDEX('ECOMMERS SALES'!$A:$J,MATCH('index match'!$A99,'ECOMMERS SALES'!$C:$C,0),MATCH('index match'!J$1,ECOMMERS_SALES[#Headers],0))</f>
        <v>COD</v>
      </c>
    </row>
    <row r="100" spans="1:10" x14ac:dyDescent="0.35">
      <c r="A100" t="s">
        <v>42</v>
      </c>
      <c r="B100">
        <f>INDEX('ECOMMERS SALES'!$A:$J,MATCH('index match'!$A100,'ECOMMERS SALES'!$C:$C,0),MATCH('index match'!B$1,ECOMMERS_SALES[#Headers],0))</f>
        <v>1009</v>
      </c>
      <c r="C100" t="str">
        <f>INDEX('ECOMMERS SALES'!$A:$J,MATCH('index match'!$A100,'ECOMMERS SALES'!$C:$C,0),MATCH('index match'!C$1,ECOMMERS_SALES[#Headers],0))</f>
        <v>10-01-2025</v>
      </c>
      <c r="D100" t="str">
        <f>INDEX('ECOMMERS SALES'!$A:$J,MATCH('index match'!$A100,'ECOMMERS SALES'!$C:$C,0),MATCH('index match'!D$1,ECOMMERS_SALES[#Headers],0))</f>
        <v>Electronics</v>
      </c>
      <c r="E100">
        <f>INDEX('ECOMMERS SALES'!$A:$J,MATCH('index match'!$A100,'ECOMMERS SALES'!$C:$C,0),MATCH('index match'!E$1,ECOMMERS_SALES[#Headers],0))</f>
        <v>1</v>
      </c>
      <c r="F100">
        <f>INDEX('ECOMMERS SALES'!$A:$J,MATCH('index match'!$A100,'ECOMMERS SALES'!$C:$C,0),MATCH('index match'!F$1,ECOMMERS_SALES[#Headers],0))</f>
        <v>8563</v>
      </c>
      <c r="G100">
        <f>INDEX('ECOMMERS SALES'!$A:$J,MATCH('index match'!$A100,'ECOMMERS SALES'!$C:$C,0),MATCH('index match'!G$1,ECOMMERS_SALES[#Headers],0))</f>
        <v>8563</v>
      </c>
      <c r="H100" t="str">
        <f>INDEX('ECOMMERS SALES'!$A:$J,MATCH('index match'!$A100,'ECOMMERS SALES'!$C:$C,0),MATCH('index match'!H$1,ECOMMERS_SALES[#Headers],0))</f>
        <v>Hyderabad</v>
      </c>
      <c r="I100" t="str">
        <f>INDEX('ECOMMERS SALES'!$A:$J,MATCH('index match'!$A100,'ECOMMERS SALES'!$C:$C,0),MATCH('index match'!I$1,ECOMMERS_SALES[#Headers],0))</f>
        <v>Returning</v>
      </c>
      <c r="J100" t="str">
        <f>INDEX('ECOMMERS SALES'!$A:$J,MATCH('index match'!$A100,'ECOMMERS SALES'!$C:$C,0),MATCH('index match'!J$1,ECOMMERS_SALES[#Headers],0))</f>
        <v>Card</v>
      </c>
    </row>
    <row r="101" spans="1:10" x14ac:dyDescent="0.35">
      <c r="A101" t="s">
        <v>44</v>
      </c>
      <c r="B101">
        <f>INDEX('ECOMMERS SALES'!$A:$J,MATCH('index match'!$A101,'ECOMMERS SALES'!$C:$C,0),MATCH('index match'!B$1,ECOMMERS_SALES[#Headers],0))</f>
        <v>1010</v>
      </c>
      <c r="C101" t="str">
        <f>INDEX('ECOMMERS SALES'!$A:$J,MATCH('index match'!$A101,'ECOMMERS SALES'!$C:$C,0),MATCH('index match'!C$1,ECOMMERS_SALES[#Headers],0))</f>
        <v>11-01-2025</v>
      </c>
      <c r="D101" t="str">
        <f>INDEX('ECOMMERS SALES'!$A:$J,MATCH('index match'!$A101,'ECOMMERS SALES'!$C:$C,0),MATCH('index match'!D$1,ECOMMERS_SALES[#Headers],0))</f>
        <v>Other</v>
      </c>
      <c r="E101">
        <f>INDEX('ECOMMERS SALES'!$A:$J,MATCH('index match'!$A101,'ECOMMERS SALES'!$C:$C,0),MATCH('index match'!E$1,ECOMMERS_SALES[#Headers],0))</f>
        <v>1</v>
      </c>
      <c r="F101">
        <f>INDEX('ECOMMERS SALES'!$A:$J,MATCH('index match'!$A101,'ECOMMERS SALES'!$C:$C,0),MATCH('index match'!F$1,ECOMMERS_SALES[#Headers],0))</f>
        <v>268</v>
      </c>
      <c r="G101">
        <f>INDEX('ECOMMERS SALES'!$A:$J,MATCH('index match'!$A101,'ECOMMERS SALES'!$C:$C,0),MATCH('index match'!G$1,ECOMMERS_SALES[#Headers],0))</f>
        <v>268</v>
      </c>
      <c r="H101" t="str">
        <f>INDEX('ECOMMERS SALES'!$A:$J,MATCH('index match'!$A101,'ECOMMERS SALES'!$C:$C,0),MATCH('index match'!H$1,ECOMMERS_SALES[#Headers],0))</f>
        <v>Chennai</v>
      </c>
      <c r="I101" t="str">
        <f>INDEX('ECOMMERS SALES'!$A:$J,MATCH('index match'!$A101,'ECOMMERS SALES'!$C:$C,0),MATCH('index match'!I$1,ECOMMERS_SALES[#Headers],0))</f>
        <v>New</v>
      </c>
      <c r="J101" t="str">
        <f>INDEX('ECOMMERS SALES'!$A:$J,MATCH('index match'!$A101,'ECOMMERS SALES'!$C:$C,0),MATCH('index match'!J$1,ECOMMERS_SALES[#Headers],0))</f>
        <v>UPI</v>
      </c>
    </row>
    <row r="102" spans="1:10" x14ac:dyDescent="0.35">
      <c r="A102" t="s">
        <v>11</v>
      </c>
      <c r="B102">
        <f>INDEX('ECOMMERS SALES'!$A:$J,MATCH('index match'!$A102,'ECOMMERS SALES'!$C:$C,0),MATCH('index match'!B$1,ECOMMERS_SALES[#Headers],0))</f>
        <v>1001</v>
      </c>
      <c r="C102" t="str">
        <f>INDEX('ECOMMERS SALES'!$A:$J,MATCH('index match'!$A102,'ECOMMERS SALES'!$C:$C,0),MATCH('index match'!C$1,ECOMMERS_SALES[#Headers],0))</f>
        <v>02-01-2025</v>
      </c>
      <c r="D102" t="str">
        <f>INDEX('ECOMMERS SALES'!$A:$J,MATCH('index match'!$A102,'ECOMMERS SALES'!$C:$C,0),MATCH('index match'!D$1,ECOMMERS_SALES[#Headers],0))</f>
        <v>Electronics</v>
      </c>
      <c r="E102">
        <f>INDEX('ECOMMERS SALES'!$A:$J,MATCH('index match'!$A102,'ECOMMERS SALES'!$C:$C,0),MATCH('index match'!E$1,ECOMMERS_SALES[#Headers],0))</f>
        <v>2</v>
      </c>
      <c r="F102">
        <f>INDEX('ECOMMERS SALES'!$A:$J,MATCH('index match'!$A102,'ECOMMERS SALES'!$C:$C,0),MATCH('index match'!F$1,ECOMMERS_SALES[#Headers],0))</f>
        <v>50353</v>
      </c>
      <c r="G102">
        <f>INDEX('ECOMMERS SALES'!$A:$J,MATCH('index match'!$A102,'ECOMMERS SALES'!$C:$C,0),MATCH('index match'!G$1,ECOMMERS_SALES[#Headers],0))</f>
        <v>100706</v>
      </c>
      <c r="H102" t="str">
        <f>INDEX('ECOMMERS SALES'!$A:$J,MATCH('index match'!$A102,'ECOMMERS SALES'!$C:$C,0),MATCH('index match'!H$1,ECOMMERS_SALES[#Headers],0))</f>
        <v>Chennai</v>
      </c>
      <c r="I102" t="str">
        <f>INDEX('ECOMMERS SALES'!$A:$J,MATCH('index match'!$A102,'ECOMMERS SALES'!$C:$C,0),MATCH('index match'!I$1,ECOMMERS_SALES[#Headers],0))</f>
        <v>Premimum</v>
      </c>
      <c r="J102" t="str">
        <f>INDEX('ECOMMERS SALES'!$A:$J,MATCH('index match'!$A102,'ECOMMERS SALES'!$C:$C,0),MATCH('index match'!J$1,ECOMMERS_SALES[#Headers],0))</f>
        <v>Card</v>
      </c>
    </row>
    <row r="103" spans="1:10" x14ac:dyDescent="0.35">
      <c r="A103" t="s">
        <v>17</v>
      </c>
      <c r="B103">
        <f>INDEX('ECOMMERS SALES'!$A:$J,MATCH('index match'!$A103,'ECOMMERS SALES'!$C:$C,0),MATCH('index match'!B$1,ECOMMERS_SALES[#Headers],0))</f>
        <v>1002</v>
      </c>
      <c r="C103" t="str">
        <f>INDEX('ECOMMERS SALES'!$A:$J,MATCH('index match'!$A103,'ECOMMERS SALES'!$C:$C,0),MATCH('index match'!C$1,ECOMMERS_SALES[#Headers],0))</f>
        <v>03-01-2025</v>
      </c>
      <c r="D103" t="str">
        <f>INDEX('ECOMMERS SALES'!$A:$J,MATCH('index match'!$A103,'ECOMMERS SALES'!$C:$C,0),MATCH('index match'!D$1,ECOMMERS_SALES[#Headers],0))</f>
        <v>Electronics</v>
      </c>
      <c r="E103">
        <f>INDEX('ECOMMERS SALES'!$A:$J,MATCH('index match'!$A103,'ECOMMERS SALES'!$C:$C,0),MATCH('index match'!E$1,ECOMMERS_SALES[#Headers],0))</f>
        <v>2</v>
      </c>
      <c r="F103">
        <f>INDEX('ECOMMERS SALES'!$A:$J,MATCH('index match'!$A103,'ECOMMERS SALES'!$C:$C,0),MATCH('index match'!F$1,ECOMMERS_SALES[#Headers],0))</f>
        <v>2008</v>
      </c>
      <c r="G103">
        <f>INDEX('ECOMMERS SALES'!$A:$J,MATCH('index match'!$A103,'ECOMMERS SALES'!$C:$C,0),MATCH('index match'!G$1,ECOMMERS_SALES[#Headers],0))</f>
        <v>4016</v>
      </c>
      <c r="H103" t="str">
        <f>INDEX('ECOMMERS SALES'!$A:$J,MATCH('index match'!$A103,'ECOMMERS SALES'!$C:$C,0),MATCH('index match'!H$1,ECOMMERS_SALES[#Headers],0))</f>
        <v>Delhi</v>
      </c>
      <c r="I103" t="str">
        <f>INDEX('ECOMMERS SALES'!$A:$J,MATCH('index match'!$A103,'ECOMMERS SALES'!$C:$C,0),MATCH('index match'!I$1,ECOMMERS_SALES[#Headers],0))</f>
        <v>New</v>
      </c>
      <c r="J103" t="str">
        <f>INDEX('ECOMMERS SALES'!$A:$J,MATCH('index match'!$A103,'ECOMMERS SALES'!$C:$C,0),MATCH('index match'!J$1,ECOMMERS_SALES[#Headers],0))</f>
        <v>UPI</v>
      </c>
    </row>
    <row r="104" spans="1:10" x14ac:dyDescent="0.35">
      <c r="A104" t="s">
        <v>22</v>
      </c>
      <c r="B104">
        <f>INDEX('ECOMMERS SALES'!$A:$J,MATCH('index match'!$A104,'ECOMMERS SALES'!$C:$C,0),MATCH('index match'!B$1,ECOMMERS_SALES[#Headers],0))</f>
        <v>1003</v>
      </c>
      <c r="C104" t="str">
        <f>INDEX('ECOMMERS SALES'!$A:$J,MATCH('index match'!$A104,'ECOMMERS SALES'!$C:$C,0),MATCH('index match'!C$1,ECOMMERS_SALES[#Headers],0))</f>
        <v>04-01-2025</v>
      </c>
      <c r="D104" t="str">
        <f>INDEX('ECOMMERS SALES'!$A:$J,MATCH('index match'!$A104,'ECOMMERS SALES'!$C:$C,0),MATCH('index match'!D$1,ECOMMERS_SALES[#Headers],0))</f>
        <v>Fashion</v>
      </c>
      <c r="E104">
        <f>INDEX('ECOMMERS SALES'!$A:$J,MATCH('index match'!$A104,'ECOMMERS SALES'!$C:$C,0),MATCH('index match'!E$1,ECOMMERS_SALES[#Headers],0))</f>
        <v>1</v>
      </c>
      <c r="F104">
        <f>INDEX('ECOMMERS SALES'!$A:$J,MATCH('index match'!$A104,'ECOMMERS SALES'!$C:$C,0),MATCH('index match'!F$1,ECOMMERS_SALES[#Headers],0))</f>
        <v>4736</v>
      </c>
      <c r="G104">
        <f>INDEX('ECOMMERS SALES'!$A:$J,MATCH('index match'!$A104,'ECOMMERS SALES'!$C:$C,0),MATCH('index match'!G$1,ECOMMERS_SALES[#Headers],0))</f>
        <v>4736</v>
      </c>
      <c r="H104" t="str">
        <f>INDEX('ECOMMERS SALES'!$A:$J,MATCH('index match'!$A104,'ECOMMERS SALES'!$C:$C,0),MATCH('index match'!H$1,ECOMMERS_SALES[#Headers],0))</f>
        <v>Chennai</v>
      </c>
      <c r="I104" t="str">
        <f>INDEX('ECOMMERS SALES'!$A:$J,MATCH('index match'!$A104,'ECOMMERS SALES'!$C:$C,0),MATCH('index match'!I$1,ECOMMERS_SALES[#Headers],0))</f>
        <v>New</v>
      </c>
      <c r="J104" t="str">
        <f>INDEX('ECOMMERS SALES'!$A:$J,MATCH('index match'!$A104,'ECOMMERS SALES'!$C:$C,0),MATCH('index match'!J$1,ECOMMERS_SALES[#Headers],0))</f>
        <v>UPI</v>
      </c>
    </row>
    <row r="105" spans="1:10" x14ac:dyDescent="0.35">
      <c r="A105" t="s">
        <v>25</v>
      </c>
      <c r="B105">
        <f>INDEX('ECOMMERS SALES'!$A:$J,MATCH('index match'!$A105,'ECOMMERS SALES'!$C:$C,0),MATCH('index match'!B$1,ECOMMERS_SALES[#Headers],0))</f>
        <v>1004</v>
      </c>
      <c r="C105" t="str">
        <f>INDEX('ECOMMERS SALES'!$A:$J,MATCH('index match'!$A105,'ECOMMERS SALES'!$C:$C,0),MATCH('index match'!C$1,ECOMMERS_SALES[#Headers],0))</f>
        <v>05-01-2025</v>
      </c>
      <c r="D105" t="str">
        <f>INDEX('ECOMMERS SALES'!$A:$J,MATCH('index match'!$A105,'ECOMMERS SALES'!$C:$C,0),MATCH('index match'!D$1,ECOMMERS_SALES[#Headers],0))</f>
        <v>Other</v>
      </c>
      <c r="E105">
        <f>INDEX('ECOMMERS SALES'!$A:$J,MATCH('index match'!$A105,'ECOMMERS SALES'!$C:$C,0),MATCH('index match'!E$1,ECOMMERS_SALES[#Headers],0))</f>
        <v>2</v>
      </c>
      <c r="F105">
        <f>INDEX('ECOMMERS SALES'!$A:$J,MATCH('index match'!$A105,'ECOMMERS SALES'!$C:$C,0),MATCH('index match'!F$1,ECOMMERS_SALES[#Headers],0))</f>
        <v>10072</v>
      </c>
      <c r="G105">
        <f>INDEX('ECOMMERS SALES'!$A:$J,MATCH('index match'!$A105,'ECOMMERS SALES'!$C:$C,0),MATCH('index match'!G$1,ECOMMERS_SALES[#Headers],0))</f>
        <v>20144</v>
      </c>
      <c r="H105" t="str">
        <f>INDEX('ECOMMERS SALES'!$A:$J,MATCH('index match'!$A105,'ECOMMERS SALES'!$C:$C,0),MATCH('index match'!H$1,ECOMMERS_SALES[#Headers],0))</f>
        <v>Pune</v>
      </c>
      <c r="I105" t="str">
        <f>INDEX('ECOMMERS SALES'!$A:$J,MATCH('index match'!$A105,'ECOMMERS SALES'!$C:$C,0),MATCH('index match'!I$1,ECOMMERS_SALES[#Headers],0))</f>
        <v>Premimum</v>
      </c>
      <c r="J105" t="str">
        <f>INDEX('ECOMMERS SALES'!$A:$J,MATCH('index match'!$A105,'ECOMMERS SALES'!$C:$C,0),MATCH('index match'!J$1,ECOMMERS_SALES[#Headers],0))</f>
        <v>Card</v>
      </c>
    </row>
    <row r="106" spans="1:10" x14ac:dyDescent="0.35">
      <c r="A106" t="s">
        <v>29</v>
      </c>
      <c r="B106">
        <f>INDEX('ECOMMERS SALES'!$A:$J,MATCH('index match'!$A106,'ECOMMERS SALES'!$C:$C,0),MATCH('index match'!B$1,ECOMMERS_SALES[#Headers],0))</f>
        <v>1005</v>
      </c>
      <c r="C106" t="str">
        <f>INDEX('ECOMMERS SALES'!$A:$J,MATCH('index match'!$A106,'ECOMMERS SALES'!$C:$C,0),MATCH('index match'!C$1,ECOMMERS_SALES[#Headers],0))</f>
        <v>06-01-2025</v>
      </c>
      <c r="D106" t="str">
        <f>INDEX('ECOMMERS SALES'!$A:$J,MATCH('index match'!$A106,'ECOMMERS SALES'!$C:$C,0),MATCH('index match'!D$1,ECOMMERS_SALES[#Headers],0))</f>
        <v>Other</v>
      </c>
      <c r="E106">
        <f>INDEX('ECOMMERS SALES'!$A:$J,MATCH('index match'!$A106,'ECOMMERS SALES'!$C:$C,0),MATCH('index match'!E$1,ECOMMERS_SALES[#Headers],0))</f>
        <v>2</v>
      </c>
      <c r="F106">
        <f>INDEX('ECOMMERS SALES'!$A:$J,MATCH('index match'!$A106,'ECOMMERS SALES'!$C:$C,0),MATCH('index match'!F$1,ECOMMERS_SALES[#Headers],0))</f>
        <v>920</v>
      </c>
      <c r="G106">
        <f>INDEX('ECOMMERS SALES'!$A:$J,MATCH('index match'!$A106,'ECOMMERS SALES'!$C:$C,0),MATCH('index match'!G$1,ECOMMERS_SALES[#Headers],0))</f>
        <v>1840</v>
      </c>
      <c r="H106" t="str">
        <f>INDEX('ECOMMERS SALES'!$A:$J,MATCH('index match'!$A106,'ECOMMERS SALES'!$C:$C,0),MATCH('index match'!H$1,ECOMMERS_SALES[#Headers],0))</f>
        <v>Pune</v>
      </c>
      <c r="I106" t="str">
        <f>INDEX('ECOMMERS SALES'!$A:$J,MATCH('index match'!$A106,'ECOMMERS SALES'!$C:$C,0),MATCH('index match'!I$1,ECOMMERS_SALES[#Headers],0))</f>
        <v>New</v>
      </c>
      <c r="J106" t="str">
        <f>INDEX('ECOMMERS SALES'!$A:$J,MATCH('index match'!$A106,'ECOMMERS SALES'!$C:$C,0),MATCH('index match'!J$1,ECOMMERS_SALES[#Headers],0))</f>
        <v>UPI</v>
      </c>
    </row>
    <row r="107" spans="1:10" x14ac:dyDescent="0.35">
      <c r="A107" t="s">
        <v>31</v>
      </c>
      <c r="B107">
        <f>INDEX('ECOMMERS SALES'!$A:$J,MATCH('index match'!$A107,'ECOMMERS SALES'!$C:$C,0),MATCH('index match'!B$1,ECOMMERS_SALES[#Headers],0))</f>
        <v>1006</v>
      </c>
      <c r="C107" t="str">
        <f>INDEX('ECOMMERS SALES'!$A:$J,MATCH('index match'!$A107,'ECOMMERS SALES'!$C:$C,0),MATCH('index match'!C$1,ECOMMERS_SALES[#Headers],0))</f>
        <v>07-01-2025</v>
      </c>
      <c r="D107" t="str">
        <f>INDEX('ECOMMERS SALES'!$A:$J,MATCH('index match'!$A107,'ECOMMERS SALES'!$C:$C,0),MATCH('index match'!D$1,ECOMMERS_SALES[#Headers],0))</f>
        <v>Electronics</v>
      </c>
      <c r="E107">
        <f>INDEX('ECOMMERS SALES'!$A:$J,MATCH('index match'!$A107,'ECOMMERS SALES'!$C:$C,0),MATCH('index match'!E$1,ECOMMERS_SALES[#Headers],0))</f>
        <v>1</v>
      </c>
      <c r="F107">
        <f>INDEX('ECOMMERS SALES'!$A:$J,MATCH('index match'!$A107,'ECOMMERS SALES'!$C:$C,0),MATCH('index match'!F$1,ECOMMERS_SALES[#Headers],0))</f>
        <v>13225</v>
      </c>
      <c r="G107">
        <f>INDEX('ECOMMERS SALES'!$A:$J,MATCH('index match'!$A107,'ECOMMERS SALES'!$C:$C,0),MATCH('index match'!G$1,ECOMMERS_SALES[#Headers],0))</f>
        <v>13225</v>
      </c>
      <c r="H107" t="str">
        <f>INDEX('ECOMMERS SALES'!$A:$J,MATCH('index match'!$A107,'ECOMMERS SALES'!$C:$C,0),MATCH('index match'!H$1,ECOMMERS_SALES[#Headers],0))</f>
        <v>Delhi</v>
      </c>
      <c r="I107" t="str">
        <f>INDEX('ECOMMERS SALES'!$A:$J,MATCH('index match'!$A107,'ECOMMERS SALES'!$C:$C,0),MATCH('index match'!I$1,ECOMMERS_SALES[#Headers],0))</f>
        <v>Returning</v>
      </c>
      <c r="J107" t="str">
        <f>INDEX('ECOMMERS SALES'!$A:$J,MATCH('index match'!$A107,'ECOMMERS SALES'!$C:$C,0),MATCH('index match'!J$1,ECOMMERS_SALES[#Headers],0))</f>
        <v>COD</v>
      </c>
    </row>
    <row r="108" spans="1:10" x14ac:dyDescent="0.35">
      <c r="A108" t="s">
        <v>35</v>
      </c>
      <c r="B108">
        <f>INDEX('ECOMMERS SALES'!$A:$J,MATCH('index match'!$A108,'ECOMMERS SALES'!$C:$C,0),MATCH('index match'!B$1,ECOMMERS_SALES[#Headers],0))</f>
        <v>1007</v>
      </c>
      <c r="C108" t="str">
        <f>INDEX('ECOMMERS SALES'!$A:$J,MATCH('index match'!$A108,'ECOMMERS SALES'!$C:$C,0),MATCH('index match'!C$1,ECOMMERS_SALES[#Headers],0))</f>
        <v>08-01-2025</v>
      </c>
      <c r="D108" t="str">
        <f>INDEX('ECOMMERS SALES'!$A:$J,MATCH('index match'!$A108,'ECOMMERS SALES'!$C:$C,0),MATCH('index match'!D$1,ECOMMERS_SALES[#Headers],0))</f>
        <v>Books</v>
      </c>
      <c r="E108">
        <f>INDEX('ECOMMERS SALES'!$A:$J,MATCH('index match'!$A108,'ECOMMERS SALES'!$C:$C,0),MATCH('index match'!E$1,ECOMMERS_SALES[#Headers],0))</f>
        <v>3</v>
      </c>
      <c r="F108">
        <f>INDEX('ECOMMERS SALES'!$A:$J,MATCH('index match'!$A108,'ECOMMERS SALES'!$C:$C,0),MATCH('index match'!F$1,ECOMMERS_SALES[#Headers],0))</f>
        <v>621</v>
      </c>
      <c r="G108">
        <f>INDEX('ECOMMERS SALES'!$A:$J,MATCH('index match'!$A108,'ECOMMERS SALES'!$C:$C,0),MATCH('index match'!G$1,ECOMMERS_SALES[#Headers],0))</f>
        <v>1863</v>
      </c>
      <c r="H108" t="str">
        <f>INDEX('ECOMMERS SALES'!$A:$J,MATCH('index match'!$A108,'ECOMMERS SALES'!$C:$C,0),MATCH('index match'!H$1,ECOMMERS_SALES[#Headers],0))</f>
        <v>Hyderabad</v>
      </c>
      <c r="I108" t="str">
        <f>INDEX('ECOMMERS SALES'!$A:$J,MATCH('index match'!$A108,'ECOMMERS SALES'!$C:$C,0),MATCH('index match'!I$1,ECOMMERS_SALES[#Headers],0))</f>
        <v>Premimum</v>
      </c>
      <c r="J108" t="str">
        <f>INDEX('ECOMMERS SALES'!$A:$J,MATCH('index match'!$A108,'ECOMMERS SALES'!$C:$C,0),MATCH('index match'!J$1,ECOMMERS_SALES[#Headers],0))</f>
        <v>UPI</v>
      </c>
    </row>
    <row r="109" spans="1:10" x14ac:dyDescent="0.35">
      <c r="A109" t="s">
        <v>39</v>
      </c>
      <c r="B109">
        <f>INDEX('ECOMMERS SALES'!$A:$J,MATCH('index match'!$A109,'ECOMMERS SALES'!$C:$C,0),MATCH('index match'!B$1,ECOMMERS_SALES[#Headers],0))</f>
        <v>1008</v>
      </c>
      <c r="C109" t="str">
        <f>INDEX('ECOMMERS SALES'!$A:$J,MATCH('index match'!$A109,'ECOMMERS SALES'!$C:$C,0),MATCH('index match'!C$1,ECOMMERS_SALES[#Headers],0))</f>
        <v>09-01-2025</v>
      </c>
      <c r="D109" t="str">
        <f>INDEX('ECOMMERS SALES'!$A:$J,MATCH('index match'!$A109,'ECOMMERS SALES'!$C:$C,0),MATCH('index match'!D$1,ECOMMERS_SALES[#Headers],0))</f>
        <v>Fashion</v>
      </c>
      <c r="E109">
        <f>INDEX('ECOMMERS SALES'!$A:$J,MATCH('index match'!$A109,'ECOMMERS SALES'!$C:$C,0),MATCH('index match'!E$1,ECOMMERS_SALES[#Headers],0))</f>
        <v>2</v>
      </c>
      <c r="F109">
        <f>INDEX('ECOMMERS SALES'!$A:$J,MATCH('index match'!$A109,'ECOMMERS SALES'!$C:$C,0),MATCH('index match'!F$1,ECOMMERS_SALES[#Headers],0))</f>
        <v>905</v>
      </c>
      <c r="G109">
        <f>INDEX('ECOMMERS SALES'!$A:$J,MATCH('index match'!$A109,'ECOMMERS SALES'!$C:$C,0),MATCH('index match'!G$1,ECOMMERS_SALES[#Headers],0))</f>
        <v>1810</v>
      </c>
      <c r="H109" t="str">
        <f>INDEX('ECOMMERS SALES'!$A:$J,MATCH('index match'!$A109,'ECOMMERS SALES'!$C:$C,0),MATCH('index match'!H$1,ECOMMERS_SALES[#Headers],0))</f>
        <v>Bangalore</v>
      </c>
      <c r="I109" t="str">
        <f>INDEX('ECOMMERS SALES'!$A:$J,MATCH('index match'!$A109,'ECOMMERS SALES'!$C:$C,0),MATCH('index match'!I$1,ECOMMERS_SALES[#Headers],0))</f>
        <v>New</v>
      </c>
      <c r="J109" t="str">
        <f>INDEX('ECOMMERS SALES'!$A:$J,MATCH('index match'!$A109,'ECOMMERS SALES'!$C:$C,0),MATCH('index match'!J$1,ECOMMERS_SALES[#Headers],0))</f>
        <v>COD</v>
      </c>
    </row>
    <row r="110" spans="1:10" x14ac:dyDescent="0.35">
      <c r="A110" t="s">
        <v>42</v>
      </c>
      <c r="B110">
        <f>INDEX('ECOMMERS SALES'!$A:$J,MATCH('index match'!$A110,'ECOMMERS SALES'!$C:$C,0),MATCH('index match'!B$1,ECOMMERS_SALES[#Headers],0))</f>
        <v>1009</v>
      </c>
      <c r="C110" t="str">
        <f>INDEX('ECOMMERS SALES'!$A:$J,MATCH('index match'!$A110,'ECOMMERS SALES'!$C:$C,0),MATCH('index match'!C$1,ECOMMERS_SALES[#Headers],0))</f>
        <v>10-01-2025</v>
      </c>
      <c r="D110" t="str">
        <f>INDEX('ECOMMERS SALES'!$A:$J,MATCH('index match'!$A110,'ECOMMERS SALES'!$C:$C,0),MATCH('index match'!D$1,ECOMMERS_SALES[#Headers],0))</f>
        <v>Electronics</v>
      </c>
      <c r="E110">
        <f>INDEX('ECOMMERS SALES'!$A:$J,MATCH('index match'!$A110,'ECOMMERS SALES'!$C:$C,0),MATCH('index match'!E$1,ECOMMERS_SALES[#Headers],0))</f>
        <v>1</v>
      </c>
      <c r="F110">
        <f>INDEX('ECOMMERS SALES'!$A:$J,MATCH('index match'!$A110,'ECOMMERS SALES'!$C:$C,0),MATCH('index match'!F$1,ECOMMERS_SALES[#Headers],0))</f>
        <v>8563</v>
      </c>
      <c r="G110">
        <f>INDEX('ECOMMERS SALES'!$A:$J,MATCH('index match'!$A110,'ECOMMERS SALES'!$C:$C,0),MATCH('index match'!G$1,ECOMMERS_SALES[#Headers],0))</f>
        <v>8563</v>
      </c>
      <c r="H110" t="str">
        <f>INDEX('ECOMMERS SALES'!$A:$J,MATCH('index match'!$A110,'ECOMMERS SALES'!$C:$C,0),MATCH('index match'!H$1,ECOMMERS_SALES[#Headers],0))</f>
        <v>Hyderabad</v>
      </c>
      <c r="I110" t="str">
        <f>INDEX('ECOMMERS SALES'!$A:$J,MATCH('index match'!$A110,'ECOMMERS SALES'!$C:$C,0),MATCH('index match'!I$1,ECOMMERS_SALES[#Headers],0))</f>
        <v>Returning</v>
      </c>
      <c r="J110" t="str">
        <f>INDEX('ECOMMERS SALES'!$A:$J,MATCH('index match'!$A110,'ECOMMERS SALES'!$C:$C,0),MATCH('index match'!J$1,ECOMMERS_SALES[#Headers],0))</f>
        <v>Card</v>
      </c>
    </row>
    <row r="111" spans="1:10" x14ac:dyDescent="0.35">
      <c r="A111" t="s">
        <v>44</v>
      </c>
      <c r="B111">
        <f>INDEX('ECOMMERS SALES'!$A:$J,MATCH('index match'!$A111,'ECOMMERS SALES'!$C:$C,0),MATCH('index match'!B$1,ECOMMERS_SALES[#Headers],0))</f>
        <v>1010</v>
      </c>
      <c r="C111" t="str">
        <f>INDEX('ECOMMERS SALES'!$A:$J,MATCH('index match'!$A111,'ECOMMERS SALES'!$C:$C,0),MATCH('index match'!C$1,ECOMMERS_SALES[#Headers],0))</f>
        <v>11-01-2025</v>
      </c>
      <c r="D111" t="str">
        <f>INDEX('ECOMMERS SALES'!$A:$J,MATCH('index match'!$A111,'ECOMMERS SALES'!$C:$C,0),MATCH('index match'!D$1,ECOMMERS_SALES[#Headers],0))</f>
        <v>Other</v>
      </c>
      <c r="E111">
        <f>INDEX('ECOMMERS SALES'!$A:$J,MATCH('index match'!$A111,'ECOMMERS SALES'!$C:$C,0),MATCH('index match'!E$1,ECOMMERS_SALES[#Headers],0))</f>
        <v>1</v>
      </c>
      <c r="F111">
        <f>INDEX('ECOMMERS SALES'!$A:$J,MATCH('index match'!$A111,'ECOMMERS SALES'!$C:$C,0),MATCH('index match'!F$1,ECOMMERS_SALES[#Headers],0))</f>
        <v>268</v>
      </c>
      <c r="G111">
        <f>INDEX('ECOMMERS SALES'!$A:$J,MATCH('index match'!$A111,'ECOMMERS SALES'!$C:$C,0),MATCH('index match'!G$1,ECOMMERS_SALES[#Headers],0))</f>
        <v>268</v>
      </c>
      <c r="H111" t="str">
        <f>INDEX('ECOMMERS SALES'!$A:$J,MATCH('index match'!$A111,'ECOMMERS SALES'!$C:$C,0),MATCH('index match'!H$1,ECOMMERS_SALES[#Headers],0))</f>
        <v>Chennai</v>
      </c>
      <c r="I111" t="str">
        <f>INDEX('ECOMMERS SALES'!$A:$J,MATCH('index match'!$A111,'ECOMMERS SALES'!$C:$C,0),MATCH('index match'!I$1,ECOMMERS_SALES[#Headers],0))</f>
        <v>New</v>
      </c>
      <c r="J111" t="str">
        <f>INDEX('ECOMMERS SALES'!$A:$J,MATCH('index match'!$A111,'ECOMMERS SALES'!$C:$C,0),MATCH('index match'!J$1,ECOMMERS_SALES[#Headers],0))</f>
        <v>UPI</v>
      </c>
    </row>
    <row r="112" spans="1:10" x14ac:dyDescent="0.35">
      <c r="A112" t="s">
        <v>11</v>
      </c>
      <c r="B112">
        <f>INDEX('ECOMMERS SALES'!$A:$J,MATCH('index match'!$A112,'ECOMMERS SALES'!$C:$C,0),MATCH('index match'!B$1,ECOMMERS_SALES[#Headers],0))</f>
        <v>1001</v>
      </c>
      <c r="C112" t="str">
        <f>INDEX('ECOMMERS SALES'!$A:$J,MATCH('index match'!$A112,'ECOMMERS SALES'!$C:$C,0),MATCH('index match'!C$1,ECOMMERS_SALES[#Headers],0))</f>
        <v>02-01-2025</v>
      </c>
      <c r="D112" t="str">
        <f>INDEX('ECOMMERS SALES'!$A:$J,MATCH('index match'!$A112,'ECOMMERS SALES'!$C:$C,0),MATCH('index match'!D$1,ECOMMERS_SALES[#Headers],0))</f>
        <v>Electronics</v>
      </c>
      <c r="E112">
        <f>INDEX('ECOMMERS SALES'!$A:$J,MATCH('index match'!$A112,'ECOMMERS SALES'!$C:$C,0),MATCH('index match'!E$1,ECOMMERS_SALES[#Headers],0))</f>
        <v>2</v>
      </c>
      <c r="F112">
        <f>INDEX('ECOMMERS SALES'!$A:$J,MATCH('index match'!$A112,'ECOMMERS SALES'!$C:$C,0),MATCH('index match'!F$1,ECOMMERS_SALES[#Headers],0))</f>
        <v>50353</v>
      </c>
      <c r="G112">
        <f>INDEX('ECOMMERS SALES'!$A:$J,MATCH('index match'!$A112,'ECOMMERS SALES'!$C:$C,0),MATCH('index match'!G$1,ECOMMERS_SALES[#Headers],0))</f>
        <v>100706</v>
      </c>
      <c r="H112" t="str">
        <f>INDEX('ECOMMERS SALES'!$A:$J,MATCH('index match'!$A112,'ECOMMERS SALES'!$C:$C,0),MATCH('index match'!H$1,ECOMMERS_SALES[#Headers],0))</f>
        <v>Chennai</v>
      </c>
      <c r="I112" t="str">
        <f>INDEX('ECOMMERS SALES'!$A:$J,MATCH('index match'!$A112,'ECOMMERS SALES'!$C:$C,0),MATCH('index match'!I$1,ECOMMERS_SALES[#Headers],0))</f>
        <v>Premimum</v>
      </c>
      <c r="J112" t="str">
        <f>INDEX('ECOMMERS SALES'!$A:$J,MATCH('index match'!$A112,'ECOMMERS SALES'!$C:$C,0),MATCH('index match'!J$1,ECOMMERS_SALES[#Headers],0))</f>
        <v>Card</v>
      </c>
    </row>
    <row r="113" spans="1:10" x14ac:dyDescent="0.35">
      <c r="A113" t="s">
        <v>17</v>
      </c>
      <c r="B113">
        <f>INDEX('ECOMMERS SALES'!$A:$J,MATCH('index match'!$A113,'ECOMMERS SALES'!$C:$C,0),MATCH('index match'!B$1,ECOMMERS_SALES[#Headers],0))</f>
        <v>1002</v>
      </c>
      <c r="C113" t="str">
        <f>INDEX('ECOMMERS SALES'!$A:$J,MATCH('index match'!$A113,'ECOMMERS SALES'!$C:$C,0),MATCH('index match'!C$1,ECOMMERS_SALES[#Headers],0))</f>
        <v>03-01-2025</v>
      </c>
      <c r="D113" t="str">
        <f>INDEX('ECOMMERS SALES'!$A:$J,MATCH('index match'!$A113,'ECOMMERS SALES'!$C:$C,0),MATCH('index match'!D$1,ECOMMERS_SALES[#Headers],0))</f>
        <v>Electronics</v>
      </c>
      <c r="E113">
        <f>INDEX('ECOMMERS SALES'!$A:$J,MATCH('index match'!$A113,'ECOMMERS SALES'!$C:$C,0),MATCH('index match'!E$1,ECOMMERS_SALES[#Headers],0))</f>
        <v>2</v>
      </c>
      <c r="F113">
        <f>INDEX('ECOMMERS SALES'!$A:$J,MATCH('index match'!$A113,'ECOMMERS SALES'!$C:$C,0),MATCH('index match'!F$1,ECOMMERS_SALES[#Headers],0))</f>
        <v>2008</v>
      </c>
      <c r="G113">
        <f>INDEX('ECOMMERS SALES'!$A:$J,MATCH('index match'!$A113,'ECOMMERS SALES'!$C:$C,0),MATCH('index match'!G$1,ECOMMERS_SALES[#Headers],0))</f>
        <v>4016</v>
      </c>
      <c r="H113" t="str">
        <f>INDEX('ECOMMERS SALES'!$A:$J,MATCH('index match'!$A113,'ECOMMERS SALES'!$C:$C,0),MATCH('index match'!H$1,ECOMMERS_SALES[#Headers],0))</f>
        <v>Delhi</v>
      </c>
      <c r="I113" t="str">
        <f>INDEX('ECOMMERS SALES'!$A:$J,MATCH('index match'!$A113,'ECOMMERS SALES'!$C:$C,0),MATCH('index match'!I$1,ECOMMERS_SALES[#Headers],0))</f>
        <v>New</v>
      </c>
      <c r="J113" t="str">
        <f>INDEX('ECOMMERS SALES'!$A:$J,MATCH('index match'!$A113,'ECOMMERS SALES'!$C:$C,0),MATCH('index match'!J$1,ECOMMERS_SALES[#Headers],0))</f>
        <v>UPI</v>
      </c>
    </row>
    <row r="114" spans="1:10" x14ac:dyDescent="0.35">
      <c r="A114" t="s">
        <v>22</v>
      </c>
      <c r="B114">
        <f>INDEX('ECOMMERS SALES'!$A:$J,MATCH('index match'!$A114,'ECOMMERS SALES'!$C:$C,0),MATCH('index match'!B$1,ECOMMERS_SALES[#Headers],0))</f>
        <v>1003</v>
      </c>
      <c r="C114" t="str">
        <f>INDEX('ECOMMERS SALES'!$A:$J,MATCH('index match'!$A114,'ECOMMERS SALES'!$C:$C,0),MATCH('index match'!C$1,ECOMMERS_SALES[#Headers],0))</f>
        <v>04-01-2025</v>
      </c>
      <c r="D114" t="str">
        <f>INDEX('ECOMMERS SALES'!$A:$J,MATCH('index match'!$A114,'ECOMMERS SALES'!$C:$C,0),MATCH('index match'!D$1,ECOMMERS_SALES[#Headers],0))</f>
        <v>Fashion</v>
      </c>
      <c r="E114">
        <f>INDEX('ECOMMERS SALES'!$A:$J,MATCH('index match'!$A114,'ECOMMERS SALES'!$C:$C,0),MATCH('index match'!E$1,ECOMMERS_SALES[#Headers],0))</f>
        <v>1</v>
      </c>
      <c r="F114">
        <f>INDEX('ECOMMERS SALES'!$A:$J,MATCH('index match'!$A114,'ECOMMERS SALES'!$C:$C,0),MATCH('index match'!F$1,ECOMMERS_SALES[#Headers],0))</f>
        <v>4736</v>
      </c>
      <c r="G114">
        <f>INDEX('ECOMMERS SALES'!$A:$J,MATCH('index match'!$A114,'ECOMMERS SALES'!$C:$C,0),MATCH('index match'!G$1,ECOMMERS_SALES[#Headers],0))</f>
        <v>4736</v>
      </c>
      <c r="H114" t="str">
        <f>INDEX('ECOMMERS SALES'!$A:$J,MATCH('index match'!$A114,'ECOMMERS SALES'!$C:$C,0),MATCH('index match'!H$1,ECOMMERS_SALES[#Headers],0))</f>
        <v>Chennai</v>
      </c>
      <c r="I114" t="str">
        <f>INDEX('ECOMMERS SALES'!$A:$J,MATCH('index match'!$A114,'ECOMMERS SALES'!$C:$C,0),MATCH('index match'!I$1,ECOMMERS_SALES[#Headers],0))</f>
        <v>New</v>
      </c>
      <c r="J114" t="str">
        <f>INDEX('ECOMMERS SALES'!$A:$J,MATCH('index match'!$A114,'ECOMMERS SALES'!$C:$C,0),MATCH('index match'!J$1,ECOMMERS_SALES[#Headers],0))</f>
        <v>UPI</v>
      </c>
    </row>
    <row r="115" spans="1:10" x14ac:dyDescent="0.35">
      <c r="A115" t="s">
        <v>25</v>
      </c>
      <c r="B115">
        <f>INDEX('ECOMMERS SALES'!$A:$J,MATCH('index match'!$A115,'ECOMMERS SALES'!$C:$C,0),MATCH('index match'!B$1,ECOMMERS_SALES[#Headers],0))</f>
        <v>1004</v>
      </c>
      <c r="C115" t="str">
        <f>INDEX('ECOMMERS SALES'!$A:$J,MATCH('index match'!$A115,'ECOMMERS SALES'!$C:$C,0),MATCH('index match'!C$1,ECOMMERS_SALES[#Headers],0))</f>
        <v>05-01-2025</v>
      </c>
      <c r="D115" t="str">
        <f>INDEX('ECOMMERS SALES'!$A:$J,MATCH('index match'!$A115,'ECOMMERS SALES'!$C:$C,0),MATCH('index match'!D$1,ECOMMERS_SALES[#Headers],0))</f>
        <v>Other</v>
      </c>
      <c r="E115">
        <f>INDEX('ECOMMERS SALES'!$A:$J,MATCH('index match'!$A115,'ECOMMERS SALES'!$C:$C,0),MATCH('index match'!E$1,ECOMMERS_SALES[#Headers],0))</f>
        <v>2</v>
      </c>
      <c r="F115">
        <f>INDEX('ECOMMERS SALES'!$A:$J,MATCH('index match'!$A115,'ECOMMERS SALES'!$C:$C,0),MATCH('index match'!F$1,ECOMMERS_SALES[#Headers],0))</f>
        <v>10072</v>
      </c>
      <c r="G115">
        <f>INDEX('ECOMMERS SALES'!$A:$J,MATCH('index match'!$A115,'ECOMMERS SALES'!$C:$C,0),MATCH('index match'!G$1,ECOMMERS_SALES[#Headers],0))</f>
        <v>20144</v>
      </c>
      <c r="H115" t="str">
        <f>INDEX('ECOMMERS SALES'!$A:$J,MATCH('index match'!$A115,'ECOMMERS SALES'!$C:$C,0),MATCH('index match'!H$1,ECOMMERS_SALES[#Headers],0))</f>
        <v>Pune</v>
      </c>
      <c r="I115" t="str">
        <f>INDEX('ECOMMERS SALES'!$A:$J,MATCH('index match'!$A115,'ECOMMERS SALES'!$C:$C,0),MATCH('index match'!I$1,ECOMMERS_SALES[#Headers],0))</f>
        <v>Premimum</v>
      </c>
      <c r="J115" t="str">
        <f>INDEX('ECOMMERS SALES'!$A:$J,MATCH('index match'!$A115,'ECOMMERS SALES'!$C:$C,0),MATCH('index match'!J$1,ECOMMERS_SALES[#Headers],0))</f>
        <v>Card</v>
      </c>
    </row>
    <row r="116" spans="1:10" x14ac:dyDescent="0.35">
      <c r="A116" t="s">
        <v>29</v>
      </c>
      <c r="B116">
        <f>INDEX('ECOMMERS SALES'!$A:$J,MATCH('index match'!$A116,'ECOMMERS SALES'!$C:$C,0),MATCH('index match'!B$1,ECOMMERS_SALES[#Headers],0))</f>
        <v>1005</v>
      </c>
      <c r="C116" t="str">
        <f>INDEX('ECOMMERS SALES'!$A:$J,MATCH('index match'!$A116,'ECOMMERS SALES'!$C:$C,0),MATCH('index match'!C$1,ECOMMERS_SALES[#Headers],0))</f>
        <v>06-01-2025</v>
      </c>
      <c r="D116" t="str">
        <f>INDEX('ECOMMERS SALES'!$A:$J,MATCH('index match'!$A116,'ECOMMERS SALES'!$C:$C,0),MATCH('index match'!D$1,ECOMMERS_SALES[#Headers],0))</f>
        <v>Other</v>
      </c>
      <c r="E116">
        <f>INDEX('ECOMMERS SALES'!$A:$J,MATCH('index match'!$A116,'ECOMMERS SALES'!$C:$C,0),MATCH('index match'!E$1,ECOMMERS_SALES[#Headers],0))</f>
        <v>2</v>
      </c>
      <c r="F116">
        <f>INDEX('ECOMMERS SALES'!$A:$J,MATCH('index match'!$A116,'ECOMMERS SALES'!$C:$C,0),MATCH('index match'!F$1,ECOMMERS_SALES[#Headers],0))</f>
        <v>920</v>
      </c>
      <c r="G116">
        <f>INDEX('ECOMMERS SALES'!$A:$J,MATCH('index match'!$A116,'ECOMMERS SALES'!$C:$C,0),MATCH('index match'!G$1,ECOMMERS_SALES[#Headers],0))</f>
        <v>1840</v>
      </c>
      <c r="H116" t="str">
        <f>INDEX('ECOMMERS SALES'!$A:$J,MATCH('index match'!$A116,'ECOMMERS SALES'!$C:$C,0),MATCH('index match'!H$1,ECOMMERS_SALES[#Headers],0))</f>
        <v>Pune</v>
      </c>
      <c r="I116" t="str">
        <f>INDEX('ECOMMERS SALES'!$A:$J,MATCH('index match'!$A116,'ECOMMERS SALES'!$C:$C,0),MATCH('index match'!I$1,ECOMMERS_SALES[#Headers],0))</f>
        <v>New</v>
      </c>
      <c r="J116" t="str">
        <f>INDEX('ECOMMERS SALES'!$A:$J,MATCH('index match'!$A116,'ECOMMERS SALES'!$C:$C,0),MATCH('index match'!J$1,ECOMMERS_SALES[#Headers],0))</f>
        <v>UPI</v>
      </c>
    </row>
    <row r="117" spans="1:10" x14ac:dyDescent="0.35">
      <c r="A117" t="s">
        <v>31</v>
      </c>
      <c r="B117">
        <f>INDEX('ECOMMERS SALES'!$A:$J,MATCH('index match'!$A117,'ECOMMERS SALES'!$C:$C,0),MATCH('index match'!B$1,ECOMMERS_SALES[#Headers],0))</f>
        <v>1006</v>
      </c>
      <c r="C117" t="str">
        <f>INDEX('ECOMMERS SALES'!$A:$J,MATCH('index match'!$A117,'ECOMMERS SALES'!$C:$C,0),MATCH('index match'!C$1,ECOMMERS_SALES[#Headers],0))</f>
        <v>07-01-2025</v>
      </c>
      <c r="D117" t="str">
        <f>INDEX('ECOMMERS SALES'!$A:$J,MATCH('index match'!$A117,'ECOMMERS SALES'!$C:$C,0),MATCH('index match'!D$1,ECOMMERS_SALES[#Headers],0))</f>
        <v>Electronics</v>
      </c>
      <c r="E117">
        <f>INDEX('ECOMMERS SALES'!$A:$J,MATCH('index match'!$A117,'ECOMMERS SALES'!$C:$C,0),MATCH('index match'!E$1,ECOMMERS_SALES[#Headers],0))</f>
        <v>1</v>
      </c>
      <c r="F117">
        <f>INDEX('ECOMMERS SALES'!$A:$J,MATCH('index match'!$A117,'ECOMMERS SALES'!$C:$C,0),MATCH('index match'!F$1,ECOMMERS_SALES[#Headers],0))</f>
        <v>13225</v>
      </c>
      <c r="G117">
        <f>INDEX('ECOMMERS SALES'!$A:$J,MATCH('index match'!$A117,'ECOMMERS SALES'!$C:$C,0),MATCH('index match'!G$1,ECOMMERS_SALES[#Headers],0))</f>
        <v>13225</v>
      </c>
      <c r="H117" t="str">
        <f>INDEX('ECOMMERS SALES'!$A:$J,MATCH('index match'!$A117,'ECOMMERS SALES'!$C:$C,0),MATCH('index match'!H$1,ECOMMERS_SALES[#Headers],0))</f>
        <v>Delhi</v>
      </c>
      <c r="I117" t="str">
        <f>INDEX('ECOMMERS SALES'!$A:$J,MATCH('index match'!$A117,'ECOMMERS SALES'!$C:$C,0),MATCH('index match'!I$1,ECOMMERS_SALES[#Headers],0))</f>
        <v>Returning</v>
      </c>
      <c r="J117" t="str">
        <f>INDEX('ECOMMERS SALES'!$A:$J,MATCH('index match'!$A117,'ECOMMERS SALES'!$C:$C,0),MATCH('index match'!J$1,ECOMMERS_SALES[#Headers],0))</f>
        <v>COD</v>
      </c>
    </row>
    <row r="118" spans="1:10" x14ac:dyDescent="0.35">
      <c r="A118" t="s">
        <v>35</v>
      </c>
      <c r="B118">
        <f>INDEX('ECOMMERS SALES'!$A:$J,MATCH('index match'!$A118,'ECOMMERS SALES'!$C:$C,0),MATCH('index match'!B$1,ECOMMERS_SALES[#Headers],0))</f>
        <v>1007</v>
      </c>
      <c r="C118" t="str">
        <f>INDEX('ECOMMERS SALES'!$A:$J,MATCH('index match'!$A118,'ECOMMERS SALES'!$C:$C,0),MATCH('index match'!C$1,ECOMMERS_SALES[#Headers],0))</f>
        <v>08-01-2025</v>
      </c>
      <c r="D118" t="str">
        <f>INDEX('ECOMMERS SALES'!$A:$J,MATCH('index match'!$A118,'ECOMMERS SALES'!$C:$C,0),MATCH('index match'!D$1,ECOMMERS_SALES[#Headers],0))</f>
        <v>Books</v>
      </c>
      <c r="E118">
        <f>INDEX('ECOMMERS SALES'!$A:$J,MATCH('index match'!$A118,'ECOMMERS SALES'!$C:$C,0),MATCH('index match'!E$1,ECOMMERS_SALES[#Headers],0))</f>
        <v>3</v>
      </c>
      <c r="F118">
        <f>INDEX('ECOMMERS SALES'!$A:$J,MATCH('index match'!$A118,'ECOMMERS SALES'!$C:$C,0),MATCH('index match'!F$1,ECOMMERS_SALES[#Headers],0))</f>
        <v>621</v>
      </c>
      <c r="G118">
        <f>INDEX('ECOMMERS SALES'!$A:$J,MATCH('index match'!$A118,'ECOMMERS SALES'!$C:$C,0),MATCH('index match'!G$1,ECOMMERS_SALES[#Headers],0))</f>
        <v>1863</v>
      </c>
      <c r="H118" t="str">
        <f>INDEX('ECOMMERS SALES'!$A:$J,MATCH('index match'!$A118,'ECOMMERS SALES'!$C:$C,0),MATCH('index match'!H$1,ECOMMERS_SALES[#Headers],0))</f>
        <v>Hyderabad</v>
      </c>
      <c r="I118" t="str">
        <f>INDEX('ECOMMERS SALES'!$A:$J,MATCH('index match'!$A118,'ECOMMERS SALES'!$C:$C,0),MATCH('index match'!I$1,ECOMMERS_SALES[#Headers],0))</f>
        <v>Premimum</v>
      </c>
      <c r="J118" t="str">
        <f>INDEX('ECOMMERS SALES'!$A:$J,MATCH('index match'!$A118,'ECOMMERS SALES'!$C:$C,0),MATCH('index match'!J$1,ECOMMERS_SALES[#Headers],0))</f>
        <v>UPI</v>
      </c>
    </row>
    <row r="119" spans="1:10" x14ac:dyDescent="0.35">
      <c r="A119" t="s">
        <v>39</v>
      </c>
      <c r="B119">
        <f>INDEX('ECOMMERS SALES'!$A:$J,MATCH('index match'!$A119,'ECOMMERS SALES'!$C:$C,0),MATCH('index match'!B$1,ECOMMERS_SALES[#Headers],0))</f>
        <v>1008</v>
      </c>
      <c r="C119" t="str">
        <f>INDEX('ECOMMERS SALES'!$A:$J,MATCH('index match'!$A119,'ECOMMERS SALES'!$C:$C,0),MATCH('index match'!C$1,ECOMMERS_SALES[#Headers],0))</f>
        <v>09-01-2025</v>
      </c>
      <c r="D119" t="str">
        <f>INDEX('ECOMMERS SALES'!$A:$J,MATCH('index match'!$A119,'ECOMMERS SALES'!$C:$C,0),MATCH('index match'!D$1,ECOMMERS_SALES[#Headers],0))</f>
        <v>Fashion</v>
      </c>
      <c r="E119">
        <f>INDEX('ECOMMERS SALES'!$A:$J,MATCH('index match'!$A119,'ECOMMERS SALES'!$C:$C,0),MATCH('index match'!E$1,ECOMMERS_SALES[#Headers],0))</f>
        <v>2</v>
      </c>
      <c r="F119">
        <f>INDEX('ECOMMERS SALES'!$A:$J,MATCH('index match'!$A119,'ECOMMERS SALES'!$C:$C,0),MATCH('index match'!F$1,ECOMMERS_SALES[#Headers],0))</f>
        <v>905</v>
      </c>
      <c r="G119">
        <f>INDEX('ECOMMERS SALES'!$A:$J,MATCH('index match'!$A119,'ECOMMERS SALES'!$C:$C,0),MATCH('index match'!G$1,ECOMMERS_SALES[#Headers],0))</f>
        <v>1810</v>
      </c>
      <c r="H119" t="str">
        <f>INDEX('ECOMMERS SALES'!$A:$J,MATCH('index match'!$A119,'ECOMMERS SALES'!$C:$C,0),MATCH('index match'!H$1,ECOMMERS_SALES[#Headers],0))</f>
        <v>Bangalore</v>
      </c>
      <c r="I119" t="str">
        <f>INDEX('ECOMMERS SALES'!$A:$J,MATCH('index match'!$A119,'ECOMMERS SALES'!$C:$C,0),MATCH('index match'!I$1,ECOMMERS_SALES[#Headers],0))</f>
        <v>New</v>
      </c>
      <c r="J119" t="str">
        <f>INDEX('ECOMMERS SALES'!$A:$J,MATCH('index match'!$A119,'ECOMMERS SALES'!$C:$C,0),MATCH('index match'!J$1,ECOMMERS_SALES[#Headers],0))</f>
        <v>COD</v>
      </c>
    </row>
    <row r="120" spans="1:10" x14ac:dyDescent="0.35">
      <c r="A120" t="s">
        <v>42</v>
      </c>
      <c r="B120">
        <f>INDEX('ECOMMERS SALES'!$A:$J,MATCH('index match'!$A120,'ECOMMERS SALES'!$C:$C,0),MATCH('index match'!B$1,ECOMMERS_SALES[#Headers],0))</f>
        <v>1009</v>
      </c>
      <c r="C120" t="str">
        <f>INDEX('ECOMMERS SALES'!$A:$J,MATCH('index match'!$A120,'ECOMMERS SALES'!$C:$C,0),MATCH('index match'!C$1,ECOMMERS_SALES[#Headers],0))</f>
        <v>10-01-2025</v>
      </c>
      <c r="D120" t="str">
        <f>INDEX('ECOMMERS SALES'!$A:$J,MATCH('index match'!$A120,'ECOMMERS SALES'!$C:$C,0),MATCH('index match'!D$1,ECOMMERS_SALES[#Headers],0))</f>
        <v>Electronics</v>
      </c>
      <c r="E120">
        <f>INDEX('ECOMMERS SALES'!$A:$J,MATCH('index match'!$A120,'ECOMMERS SALES'!$C:$C,0),MATCH('index match'!E$1,ECOMMERS_SALES[#Headers],0))</f>
        <v>1</v>
      </c>
      <c r="F120">
        <f>INDEX('ECOMMERS SALES'!$A:$J,MATCH('index match'!$A120,'ECOMMERS SALES'!$C:$C,0),MATCH('index match'!F$1,ECOMMERS_SALES[#Headers],0))</f>
        <v>8563</v>
      </c>
      <c r="G120">
        <f>INDEX('ECOMMERS SALES'!$A:$J,MATCH('index match'!$A120,'ECOMMERS SALES'!$C:$C,0),MATCH('index match'!G$1,ECOMMERS_SALES[#Headers],0))</f>
        <v>8563</v>
      </c>
      <c r="H120" t="str">
        <f>INDEX('ECOMMERS SALES'!$A:$J,MATCH('index match'!$A120,'ECOMMERS SALES'!$C:$C,0),MATCH('index match'!H$1,ECOMMERS_SALES[#Headers],0))</f>
        <v>Hyderabad</v>
      </c>
      <c r="I120" t="str">
        <f>INDEX('ECOMMERS SALES'!$A:$J,MATCH('index match'!$A120,'ECOMMERS SALES'!$C:$C,0),MATCH('index match'!I$1,ECOMMERS_SALES[#Headers],0))</f>
        <v>Returning</v>
      </c>
      <c r="J120" t="str">
        <f>INDEX('ECOMMERS SALES'!$A:$J,MATCH('index match'!$A120,'ECOMMERS SALES'!$C:$C,0),MATCH('index match'!J$1,ECOMMERS_SALES[#Headers],0))</f>
        <v>Card</v>
      </c>
    </row>
    <row r="121" spans="1:10" x14ac:dyDescent="0.35">
      <c r="A121" t="s">
        <v>44</v>
      </c>
      <c r="B121">
        <f>INDEX('ECOMMERS SALES'!$A:$J,MATCH('index match'!$A121,'ECOMMERS SALES'!$C:$C,0),MATCH('index match'!B$1,ECOMMERS_SALES[#Headers],0))</f>
        <v>1010</v>
      </c>
      <c r="C121" t="str">
        <f>INDEX('ECOMMERS SALES'!$A:$J,MATCH('index match'!$A121,'ECOMMERS SALES'!$C:$C,0),MATCH('index match'!C$1,ECOMMERS_SALES[#Headers],0))</f>
        <v>11-01-2025</v>
      </c>
      <c r="D121" t="str">
        <f>INDEX('ECOMMERS SALES'!$A:$J,MATCH('index match'!$A121,'ECOMMERS SALES'!$C:$C,0),MATCH('index match'!D$1,ECOMMERS_SALES[#Headers],0))</f>
        <v>Other</v>
      </c>
      <c r="E121">
        <f>INDEX('ECOMMERS SALES'!$A:$J,MATCH('index match'!$A121,'ECOMMERS SALES'!$C:$C,0),MATCH('index match'!E$1,ECOMMERS_SALES[#Headers],0))</f>
        <v>1</v>
      </c>
      <c r="F121">
        <f>INDEX('ECOMMERS SALES'!$A:$J,MATCH('index match'!$A121,'ECOMMERS SALES'!$C:$C,0),MATCH('index match'!F$1,ECOMMERS_SALES[#Headers],0))</f>
        <v>268</v>
      </c>
      <c r="G121">
        <f>INDEX('ECOMMERS SALES'!$A:$J,MATCH('index match'!$A121,'ECOMMERS SALES'!$C:$C,0),MATCH('index match'!G$1,ECOMMERS_SALES[#Headers],0))</f>
        <v>268</v>
      </c>
      <c r="H121" t="str">
        <f>INDEX('ECOMMERS SALES'!$A:$J,MATCH('index match'!$A121,'ECOMMERS SALES'!$C:$C,0),MATCH('index match'!H$1,ECOMMERS_SALES[#Headers],0))</f>
        <v>Chennai</v>
      </c>
      <c r="I121" t="str">
        <f>INDEX('ECOMMERS SALES'!$A:$J,MATCH('index match'!$A121,'ECOMMERS SALES'!$C:$C,0),MATCH('index match'!I$1,ECOMMERS_SALES[#Headers],0))</f>
        <v>New</v>
      </c>
      <c r="J121" t="str">
        <f>INDEX('ECOMMERS SALES'!$A:$J,MATCH('index match'!$A121,'ECOMMERS SALES'!$C:$C,0),MATCH('index match'!J$1,ECOMMERS_SALES[#Headers],0))</f>
        <v>UPI</v>
      </c>
    </row>
    <row r="122" spans="1:10" x14ac:dyDescent="0.35">
      <c r="A122" t="s">
        <v>11</v>
      </c>
      <c r="B122">
        <f>INDEX('ECOMMERS SALES'!$A:$J,MATCH('index match'!$A122,'ECOMMERS SALES'!$C:$C,0),MATCH('index match'!B$1,ECOMMERS_SALES[#Headers],0))</f>
        <v>1001</v>
      </c>
      <c r="C122" t="str">
        <f>INDEX('ECOMMERS SALES'!$A:$J,MATCH('index match'!$A122,'ECOMMERS SALES'!$C:$C,0),MATCH('index match'!C$1,ECOMMERS_SALES[#Headers],0))</f>
        <v>02-01-2025</v>
      </c>
      <c r="D122" t="str">
        <f>INDEX('ECOMMERS SALES'!$A:$J,MATCH('index match'!$A122,'ECOMMERS SALES'!$C:$C,0),MATCH('index match'!D$1,ECOMMERS_SALES[#Headers],0))</f>
        <v>Electronics</v>
      </c>
      <c r="E122">
        <f>INDEX('ECOMMERS SALES'!$A:$J,MATCH('index match'!$A122,'ECOMMERS SALES'!$C:$C,0),MATCH('index match'!E$1,ECOMMERS_SALES[#Headers],0))</f>
        <v>2</v>
      </c>
      <c r="F122">
        <f>INDEX('ECOMMERS SALES'!$A:$J,MATCH('index match'!$A122,'ECOMMERS SALES'!$C:$C,0),MATCH('index match'!F$1,ECOMMERS_SALES[#Headers],0))</f>
        <v>50353</v>
      </c>
      <c r="G122">
        <f>INDEX('ECOMMERS SALES'!$A:$J,MATCH('index match'!$A122,'ECOMMERS SALES'!$C:$C,0),MATCH('index match'!G$1,ECOMMERS_SALES[#Headers],0))</f>
        <v>100706</v>
      </c>
      <c r="H122" t="str">
        <f>INDEX('ECOMMERS SALES'!$A:$J,MATCH('index match'!$A122,'ECOMMERS SALES'!$C:$C,0),MATCH('index match'!H$1,ECOMMERS_SALES[#Headers],0))</f>
        <v>Chennai</v>
      </c>
      <c r="I122" t="str">
        <f>INDEX('ECOMMERS SALES'!$A:$J,MATCH('index match'!$A122,'ECOMMERS SALES'!$C:$C,0),MATCH('index match'!I$1,ECOMMERS_SALES[#Headers],0))</f>
        <v>Premimum</v>
      </c>
      <c r="J122" t="str">
        <f>INDEX('ECOMMERS SALES'!$A:$J,MATCH('index match'!$A122,'ECOMMERS SALES'!$C:$C,0),MATCH('index match'!J$1,ECOMMERS_SALES[#Headers],0))</f>
        <v>Card</v>
      </c>
    </row>
    <row r="123" spans="1:10" x14ac:dyDescent="0.35">
      <c r="A123" t="s">
        <v>17</v>
      </c>
      <c r="B123">
        <f>INDEX('ECOMMERS SALES'!$A:$J,MATCH('index match'!$A123,'ECOMMERS SALES'!$C:$C,0),MATCH('index match'!B$1,ECOMMERS_SALES[#Headers],0))</f>
        <v>1002</v>
      </c>
      <c r="C123" t="str">
        <f>INDEX('ECOMMERS SALES'!$A:$J,MATCH('index match'!$A123,'ECOMMERS SALES'!$C:$C,0),MATCH('index match'!C$1,ECOMMERS_SALES[#Headers],0))</f>
        <v>03-01-2025</v>
      </c>
      <c r="D123" t="str">
        <f>INDEX('ECOMMERS SALES'!$A:$J,MATCH('index match'!$A123,'ECOMMERS SALES'!$C:$C,0),MATCH('index match'!D$1,ECOMMERS_SALES[#Headers],0))</f>
        <v>Electronics</v>
      </c>
      <c r="E123">
        <f>INDEX('ECOMMERS SALES'!$A:$J,MATCH('index match'!$A123,'ECOMMERS SALES'!$C:$C,0),MATCH('index match'!E$1,ECOMMERS_SALES[#Headers],0))</f>
        <v>2</v>
      </c>
      <c r="F123">
        <f>INDEX('ECOMMERS SALES'!$A:$J,MATCH('index match'!$A123,'ECOMMERS SALES'!$C:$C,0),MATCH('index match'!F$1,ECOMMERS_SALES[#Headers],0))</f>
        <v>2008</v>
      </c>
      <c r="G123">
        <f>INDEX('ECOMMERS SALES'!$A:$J,MATCH('index match'!$A123,'ECOMMERS SALES'!$C:$C,0),MATCH('index match'!G$1,ECOMMERS_SALES[#Headers],0))</f>
        <v>4016</v>
      </c>
      <c r="H123" t="str">
        <f>INDEX('ECOMMERS SALES'!$A:$J,MATCH('index match'!$A123,'ECOMMERS SALES'!$C:$C,0),MATCH('index match'!H$1,ECOMMERS_SALES[#Headers],0))</f>
        <v>Delhi</v>
      </c>
      <c r="I123" t="str">
        <f>INDEX('ECOMMERS SALES'!$A:$J,MATCH('index match'!$A123,'ECOMMERS SALES'!$C:$C,0),MATCH('index match'!I$1,ECOMMERS_SALES[#Headers],0))</f>
        <v>New</v>
      </c>
      <c r="J123" t="str">
        <f>INDEX('ECOMMERS SALES'!$A:$J,MATCH('index match'!$A123,'ECOMMERS SALES'!$C:$C,0),MATCH('index match'!J$1,ECOMMERS_SALES[#Headers],0))</f>
        <v>UPI</v>
      </c>
    </row>
    <row r="124" spans="1:10" x14ac:dyDescent="0.35">
      <c r="A124" t="s">
        <v>22</v>
      </c>
      <c r="B124">
        <f>INDEX('ECOMMERS SALES'!$A:$J,MATCH('index match'!$A124,'ECOMMERS SALES'!$C:$C,0),MATCH('index match'!B$1,ECOMMERS_SALES[#Headers],0))</f>
        <v>1003</v>
      </c>
      <c r="C124" t="str">
        <f>INDEX('ECOMMERS SALES'!$A:$J,MATCH('index match'!$A124,'ECOMMERS SALES'!$C:$C,0),MATCH('index match'!C$1,ECOMMERS_SALES[#Headers],0))</f>
        <v>04-01-2025</v>
      </c>
      <c r="D124" t="str">
        <f>INDEX('ECOMMERS SALES'!$A:$J,MATCH('index match'!$A124,'ECOMMERS SALES'!$C:$C,0),MATCH('index match'!D$1,ECOMMERS_SALES[#Headers],0))</f>
        <v>Fashion</v>
      </c>
      <c r="E124">
        <f>INDEX('ECOMMERS SALES'!$A:$J,MATCH('index match'!$A124,'ECOMMERS SALES'!$C:$C,0),MATCH('index match'!E$1,ECOMMERS_SALES[#Headers],0))</f>
        <v>1</v>
      </c>
      <c r="F124">
        <f>INDEX('ECOMMERS SALES'!$A:$J,MATCH('index match'!$A124,'ECOMMERS SALES'!$C:$C,0),MATCH('index match'!F$1,ECOMMERS_SALES[#Headers],0))</f>
        <v>4736</v>
      </c>
      <c r="G124">
        <f>INDEX('ECOMMERS SALES'!$A:$J,MATCH('index match'!$A124,'ECOMMERS SALES'!$C:$C,0),MATCH('index match'!G$1,ECOMMERS_SALES[#Headers],0))</f>
        <v>4736</v>
      </c>
      <c r="H124" t="str">
        <f>INDEX('ECOMMERS SALES'!$A:$J,MATCH('index match'!$A124,'ECOMMERS SALES'!$C:$C,0),MATCH('index match'!H$1,ECOMMERS_SALES[#Headers],0))</f>
        <v>Chennai</v>
      </c>
      <c r="I124" t="str">
        <f>INDEX('ECOMMERS SALES'!$A:$J,MATCH('index match'!$A124,'ECOMMERS SALES'!$C:$C,0),MATCH('index match'!I$1,ECOMMERS_SALES[#Headers],0))</f>
        <v>New</v>
      </c>
      <c r="J124" t="str">
        <f>INDEX('ECOMMERS SALES'!$A:$J,MATCH('index match'!$A124,'ECOMMERS SALES'!$C:$C,0),MATCH('index match'!J$1,ECOMMERS_SALES[#Headers],0))</f>
        <v>UPI</v>
      </c>
    </row>
    <row r="125" spans="1:10" x14ac:dyDescent="0.35">
      <c r="A125" t="s">
        <v>25</v>
      </c>
      <c r="B125">
        <f>INDEX('ECOMMERS SALES'!$A:$J,MATCH('index match'!$A125,'ECOMMERS SALES'!$C:$C,0),MATCH('index match'!B$1,ECOMMERS_SALES[#Headers],0))</f>
        <v>1004</v>
      </c>
      <c r="C125" t="str">
        <f>INDEX('ECOMMERS SALES'!$A:$J,MATCH('index match'!$A125,'ECOMMERS SALES'!$C:$C,0),MATCH('index match'!C$1,ECOMMERS_SALES[#Headers],0))</f>
        <v>05-01-2025</v>
      </c>
      <c r="D125" t="str">
        <f>INDEX('ECOMMERS SALES'!$A:$J,MATCH('index match'!$A125,'ECOMMERS SALES'!$C:$C,0),MATCH('index match'!D$1,ECOMMERS_SALES[#Headers],0))</f>
        <v>Other</v>
      </c>
      <c r="E125">
        <f>INDEX('ECOMMERS SALES'!$A:$J,MATCH('index match'!$A125,'ECOMMERS SALES'!$C:$C,0),MATCH('index match'!E$1,ECOMMERS_SALES[#Headers],0))</f>
        <v>2</v>
      </c>
      <c r="F125">
        <f>INDEX('ECOMMERS SALES'!$A:$J,MATCH('index match'!$A125,'ECOMMERS SALES'!$C:$C,0),MATCH('index match'!F$1,ECOMMERS_SALES[#Headers],0))</f>
        <v>10072</v>
      </c>
      <c r="G125">
        <f>INDEX('ECOMMERS SALES'!$A:$J,MATCH('index match'!$A125,'ECOMMERS SALES'!$C:$C,0),MATCH('index match'!G$1,ECOMMERS_SALES[#Headers],0))</f>
        <v>20144</v>
      </c>
      <c r="H125" t="str">
        <f>INDEX('ECOMMERS SALES'!$A:$J,MATCH('index match'!$A125,'ECOMMERS SALES'!$C:$C,0),MATCH('index match'!H$1,ECOMMERS_SALES[#Headers],0))</f>
        <v>Pune</v>
      </c>
      <c r="I125" t="str">
        <f>INDEX('ECOMMERS SALES'!$A:$J,MATCH('index match'!$A125,'ECOMMERS SALES'!$C:$C,0),MATCH('index match'!I$1,ECOMMERS_SALES[#Headers],0))</f>
        <v>Premimum</v>
      </c>
      <c r="J125" t="str">
        <f>INDEX('ECOMMERS SALES'!$A:$J,MATCH('index match'!$A125,'ECOMMERS SALES'!$C:$C,0),MATCH('index match'!J$1,ECOMMERS_SALES[#Headers],0))</f>
        <v>Card</v>
      </c>
    </row>
    <row r="126" spans="1:10" x14ac:dyDescent="0.35">
      <c r="A126" t="s">
        <v>29</v>
      </c>
      <c r="B126">
        <f>INDEX('ECOMMERS SALES'!$A:$J,MATCH('index match'!$A126,'ECOMMERS SALES'!$C:$C,0),MATCH('index match'!B$1,ECOMMERS_SALES[#Headers],0))</f>
        <v>1005</v>
      </c>
      <c r="C126" t="str">
        <f>INDEX('ECOMMERS SALES'!$A:$J,MATCH('index match'!$A126,'ECOMMERS SALES'!$C:$C,0),MATCH('index match'!C$1,ECOMMERS_SALES[#Headers],0))</f>
        <v>06-01-2025</v>
      </c>
      <c r="D126" t="str">
        <f>INDEX('ECOMMERS SALES'!$A:$J,MATCH('index match'!$A126,'ECOMMERS SALES'!$C:$C,0),MATCH('index match'!D$1,ECOMMERS_SALES[#Headers],0))</f>
        <v>Other</v>
      </c>
      <c r="E126">
        <f>INDEX('ECOMMERS SALES'!$A:$J,MATCH('index match'!$A126,'ECOMMERS SALES'!$C:$C,0),MATCH('index match'!E$1,ECOMMERS_SALES[#Headers],0))</f>
        <v>2</v>
      </c>
      <c r="F126">
        <f>INDEX('ECOMMERS SALES'!$A:$J,MATCH('index match'!$A126,'ECOMMERS SALES'!$C:$C,0),MATCH('index match'!F$1,ECOMMERS_SALES[#Headers],0))</f>
        <v>920</v>
      </c>
      <c r="G126">
        <f>INDEX('ECOMMERS SALES'!$A:$J,MATCH('index match'!$A126,'ECOMMERS SALES'!$C:$C,0),MATCH('index match'!G$1,ECOMMERS_SALES[#Headers],0))</f>
        <v>1840</v>
      </c>
      <c r="H126" t="str">
        <f>INDEX('ECOMMERS SALES'!$A:$J,MATCH('index match'!$A126,'ECOMMERS SALES'!$C:$C,0),MATCH('index match'!H$1,ECOMMERS_SALES[#Headers],0))</f>
        <v>Pune</v>
      </c>
      <c r="I126" t="str">
        <f>INDEX('ECOMMERS SALES'!$A:$J,MATCH('index match'!$A126,'ECOMMERS SALES'!$C:$C,0),MATCH('index match'!I$1,ECOMMERS_SALES[#Headers],0))</f>
        <v>New</v>
      </c>
      <c r="J126" t="str">
        <f>INDEX('ECOMMERS SALES'!$A:$J,MATCH('index match'!$A126,'ECOMMERS SALES'!$C:$C,0),MATCH('index match'!J$1,ECOMMERS_SALES[#Headers],0))</f>
        <v>UPI</v>
      </c>
    </row>
    <row r="127" spans="1:10" x14ac:dyDescent="0.35">
      <c r="A127" t="s">
        <v>31</v>
      </c>
      <c r="B127">
        <f>INDEX('ECOMMERS SALES'!$A:$J,MATCH('index match'!$A127,'ECOMMERS SALES'!$C:$C,0),MATCH('index match'!B$1,ECOMMERS_SALES[#Headers],0))</f>
        <v>1006</v>
      </c>
      <c r="C127" t="str">
        <f>INDEX('ECOMMERS SALES'!$A:$J,MATCH('index match'!$A127,'ECOMMERS SALES'!$C:$C,0),MATCH('index match'!C$1,ECOMMERS_SALES[#Headers],0))</f>
        <v>07-01-2025</v>
      </c>
      <c r="D127" t="str">
        <f>INDEX('ECOMMERS SALES'!$A:$J,MATCH('index match'!$A127,'ECOMMERS SALES'!$C:$C,0),MATCH('index match'!D$1,ECOMMERS_SALES[#Headers],0))</f>
        <v>Electronics</v>
      </c>
      <c r="E127">
        <f>INDEX('ECOMMERS SALES'!$A:$J,MATCH('index match'!$A127,'ECOMMERS SALES'!$C:$C,0),MATCH('index match'!E$1,ECOMMERS_SALES[#Headers],0))</f>
        <v>1</v>
      </c>
      <c r="F127">
        <f>INDEX('ECOMMERS SALES'!$A:$J,MATCH('index match'!$A127,'ECOMMERS SALES'!$C:$C,0),MATCH('index match'!F$1,ECOMMERS_SALES[#Headers],0))</f>
        <v>13225</v>
      </c>
      <c r="G127">
        <f>INDEX('ECOMMERS SALES'!$A:$J,MATCH('index match'!$A127,'ECOMMERS SALES'!$C:$C,0),MATCH('index match'!G$1,ECOMMERS_SALES[#Headers],0))</f>
        <v>13225</v>
      </c>
      <c r="H127" t="str">
        <f>INDEX('ECOMMERS SALES'!$A:$J,MATCH('index match'!$A127,'ECOMMERS SALES'!$C:$C,0),MATCH('index match'!H$1,ECOMMERS_SALES[#Headers],0))</f>
        <v>Delhi</v>
      </c>
      <c r="I127" t="str">
        <f>INDEX('ECOMMERS SALES'!$A:$J,MATCH('index match'!$A127,'ECOMMERS SALES'!$C:$C,0),MATCH('index match'!I$1,ECOMMERS_SALES[#Headers],0))</f>
        <v>Returning</v>
      </c>
      <c r="J127" t="str">
        <f>INDEX('ECOMMERS SALES'!$A:$J,MATCH('index match'!$A127,'ECOMMERS SALES'!$C:$C,0),MATCH('index match'!J$1,ECOMMERS_SALES[#Headers],0))</f>
        <v>COD</v>
      </c>
    </row>
    <row r="128" spans="1:10" x14ac:dyDescent="0.35">
      <c r="A128" t="s">
        <v>35</v>
      </c>
      <c r="B128">
        <f>INDEX('ECOMMERS SALES'!$A:$J,MATCH('index match'!$A128,'ECOMMERS SALES'!$C:$C,0),MATCH('index match'!B$1,ECOMMERS_SALES[#Headers],0))</f>
        <v>1007</v>
      </c>
      <c r="C128" t="str">
        <f>INDEX('ECOMMERS SALES'!$A:$J,MATCH('index match'!$A128,'ECOMMERS SALES'!$C:$C,0),MATCH('index match'!C$1,ECOMMERS_SALES[#Headers],0))</f>
        <v>08-01-2025</v>
      </c>
      <c r="D128" t="str">
        <f>INDEX('ECOMMERS SALES'!$A:$J,MATCH('index match'!$A128,'ECOMMERS SALES'!$C:$C,0),MATCH('index match'!D$1,ECOMMERS_SALES[#Headers],0))</f>
        <v>Books</v>
      </c>
      <c r="E128">
        <f>INDEX('ECOMMERS SALES'!$A:$J,MATCH('index match'!$A128,'ECOMMERS SALES'!$C:$C,0),MATCH('index match'!E$1,ECOMMERS_SALES[#Headers],0))</f>
        <v>3</v>
      </c>
      <c r="F128">
        <f>INDEX('ECOMMERS SALES'!$A:$J,MATCH('index match'!$A128,'ECOMMERS SALES'!$C:$C,0),MATCH('index match'!F$1,ECOMMERS_SALES[#Headers],0))</f>
        <v>621</v>
      </c>
      <c r="G128">
        <f>INDEX('ECOMMERS SALES'!$A:$J,MATCH('index match'!$A128,'ECOMMERS SALES'!$C:$C,0),MATCH('index match'!G$1,ECOMMERS_SALES[#Headers],0))</f>
        <v>1863</v>
      </c>
      <c r="H128" t="str">
        <f>INDEX('ECOMMERS SALES'!$A:$J,MATCH('index match'!$A128,'ECOMMERS SALES'!$C:$C,0),MATCH('index match'!H$1,ECOMMERS_SALES[#Headers],0))</f>
        <v>Hyderabad</v>
      </c>
      <c r="I128" t="str">
        <f>INDEX('ECOMMERS SALES'!$A:$J,MATCH('index match'!$A128,'ECOMMERS SALES'!$C:$C,0),MATCH('index match'!I$1,ECOMMERS_SALES[#Headers],0))</f>
        <v>Premimum</v>
      </c>
      <c r="J128" t="str">
        <f>INDEX('ECOMMERS SALES'!$A:$J,MATCH('index match'!$A128,'ECOMMERS SALES'!$C:$C,0),MATCH('index match'!J$1,ECOMMERS_SALES[#Headers],0))</f>
        <v>UPI</v>
      </c>
    </row>
    <row r="129" spans="1:10" x14ac:dyDescent="0.35">
      <c r="A129" t="s">
        <v>39</v>
      </c>
      <c r="B129">
        <f>INDEX('ECOMMERS SALES'!$A:$J,MATCH('index match'!$A129,'ECOMMERS SALES'!$C:$C,0),MATCH('index match'!B$1,ECOMMERS_SALES[#Headers],0))</f>
        <v>1008</v>
      </c>
      <c r="C129" t="str">
        <f>INDEX('ECOMMERS SALES'!$A:$J,MATCH('index match'!$A129,'ECOMMERS SALES'!$C:$C,0),MATCH('index match'!C$1,ECOMMERS_SALES[#Headers],0))</f>
        <v>09-01-2025</v>
      </c>
      <c r="D129" t="str">
        <f>INDEX('ECOMMERS SALES'!$A:$J,MATCH('index match'!$A129,'ECOMMERS SALES'!$C:$C,0),MATCH('index match'!D$1,ECOMMERS_SALES[#Headers],0))</f>
        <v>Fashion</v>
      </c>
      <c r="E129">
        <f>INDEX('ECOMMERS SALES'!$A:$J,MATCH('index match'!$A129,'ECOMMERS SALES'!$C:$C,0),MATCH('index match'!E$1,ECOMMERS_SALES[#Headers],0))</f>
        <v>2</v>
      </c>
      <c r="F129">
        <f>INDEX('ECOMMERS SALES'!$A:$J,MATCH('index match'!$A129,'ECOMMERS SALES'!$C:$C,0),MATCH('index match'!F$1,ECOMMERS_SALES[#Headers],0))</f>
        <v>905</v>
      </c>
      <c r="G129">
        <f>INDEX('ECOMMERS SALES'!$A:$J,MATCH('index match'!$A129,'ECOMMERS SALES'!$C:$C,0),MATCH('index match'!G$1,ECOMMERS_SALES[#Headers],0))</f>
        <v>1810</v>
      </c>
      <c r="H129" t="str">
        <f>INDEX('ECOMMERS SALES'!$A:$J,MATCH('index match'!$A129,'ECOMMERS SALES'!$C:$C,0),MATCH('index match'!H$1,ECOMMERS_SALES[#Headers],0))</f>
        <v>Bangalore</v>
      </c>
      <c r="I129" t="str">
        <f>INDEX('ECOMMERS SALES'!$A:$J,MATCH('index match'!$A129,'ECOMMERS SALES'!$C:$C,0),MATCH('index match'!I$1,ECOMMERS_SALES[#Headers],0))</f>
        <v>New</v>
      </c>
      <c r="J129" t="str">
        <f>INDEX('ECOMMERS SALES'!$A:$J,MATCH('index match'!$A129,'ECOMMERS SALES'!$C:$C,0),MATCH('index match'!J$1,ECOMMERS_SALES[#Headers],0))</f>
        <v>COD</v>
      </c>
    </row>
    <row r="130" spans="1:10" x14ac:dyDescent="0.35">
      <c r="A130" t="s">
        <v>42</v>
      </c>
      <c r="B130">
        <f>INDEX('ECOMMERS SALES'!$A:$J,MATCH('index match'!$A130,'ECOMMERS SALES'!$C:$C,0),MATCH('index match'!B$1,ECOMMERS_SALES[#Headers],0))</f>
        <v>1009</v>
      </c>
      <c r="C130" t="str">
        <f>INDEX('ECOMMERS SALES'!$A:$J,MATCH('index match'!$A130,'ECOMMERS SALES'!$C:$C,0),MATCH('index match'!C$1,ECOMMERS_SALES[#Headers],0))</f>
        <v>10-01-2025</v>
      </c>
      <c r="D130" t="str">
        <f>INDEX('ECOMMERS SALES'!$A:$J,MATCH('index match'!$A130,'ECOMMERS SALES'!$C:$C,0),MATCH('index match'!D$1,ECOMMERS_SALES[#Headers],0))</f>
        <v>Electronics</v>
      </c>
      <c r="E130">
        <f>INDEX('ECOMMERS SALES'!$A:$J,MATCH('index match'!$A130,'ECOMMERS SALES'!$C:$C,0),MATCH('index match'!E$1,ECOMMERS_SALES[#Headers],0))</f>
        <v>1</v>
      </c>
      <c r="F130">
        <f>INDEX('ECOMMERS SALES'!$A:$J,MATCH('index match'!$A130,'ECOMMERS SALES'!$C:$C,0),MATCH('index match'!F$1,ECOMMERS_SALES[#Headers],0))</f>
        <v>8563</v>
      </c>
      <c r="G130">
        <f>INDEX('ECOMMERS SALES'!$A:$J,MATCH('index match'!$A130,'ECOMMERS SALES'!$C:$C,0),MATCH('index match'!G$1,ECOMMERS_SALES[#Headers],0))</f>
        <v>8563</v>
      </c>
      <c r="H130" t="str">
        <f>INDEX('ECOMMERS SALES'!$A:$J,MATCH('index match'!$A130,'ECOMMERS SALES'!$C:$C,0),MATCH('index match'!H$1,ECOMMERS_SALES[#Headers],0))</f>
        <v>Hyderabad</v>
      </c>
      <c r="I130" t="str">
        <f>INDEX('ECOMMERS SALES'!$A:$J,MATCH('index match'!$A130,'ECOMMERS SALES'!$C:$C,0),MATCH('index match'!I$1,ECOMMERS_SALES[#Headers],0))</f>
        <v>Returning</v>
      </c>
      <c r="J130" t="str">
        <f>INDEX('ECOMMERS SALES'!$A:$J,MATCH('index match'!$A130,'ECOMMERS SALES'!$C:$C,0),MATCH('index match'!J$1,ECOMMERS_SALES[#Headers],0))</f>
        <v>Card</v>
      </c>
    </row>
    <row r="131" spans="1:10" x14ac:dyDescent="0.35">
      <c r="A131" t="s">
        <v>44</v>
      </c>
      <c r="B131">
        <f>INDEX('ECOMMERS SALES'!$A:$J,MATCH('index match'!$A131,'ECOMMERS SALES'!$C:$C,0),MATCH('index match'!B$1,ECOMMERS_SALES[#Headers],0))</f>
        <v>1010</v>
      </c>
      <c r="C131" t="str">
        <f>INDEX('ECOMMERS SALES'!$A:$J,MATCH('index match'!$A131,'ECOMMERS SALES'!$C:$C,0),MATCH('index match'!C$1,ECOMMERS_SALES[#Headers],0))</f>
        <v>11-01-2025</v>
      </c>
      <c r="D131" t="str">
        <f>INDEX('ECOMMERS SALES'!$A:$J,MATCH('index match'!$A131,'ECOMMERS SALES'!$C:$C,0),MATCH('index match'!D$1,ECOMMERS_SALES[#Headers],0))</f>
        <v>Other</v>
      </c>
      <c r="E131">
        <f>INDEX('ECOMMERS SALES'!$A:$J,MATCH('index match'!$A131,'ECOMMERS SALES'!$C:$C,0),MATCH('index match'!E$1,ECOMMERS_SALES[#Headers],0))</f>
        <v>1</v>
      </c>
      <c r="F131">
        <f>INDEX('ECOMMERS SALES'!$A:$J,MATCH('index match'!$A131,'ECOMMERS SALES'!$C:$C,0),MATCH('index match'!F$1,ECOMMERS_SALES[#Headers],0))</f>
        <v>268</v>
      </c>
      <c r="G131">
        <f>INDEX('ECOMMERS SALES'!$A:$J,MATCH('index match'!$A131,'ECOMMERS SALES'!$C:$C,0),MATCH('index match'!G$1,ECOMMERS_SALES[#Headers],0))</f>
        <v>268</v>
      </c>
      <c r="H131" t="str">
        <f>INDEX('ECOMMERS SALES'!$A:$J,MATCH('index match'!$A131,'ECOMMERS SALES'!$C:$C,0),MATCH('index match'!H$1,ECOMMERS_SALES[#Headers],0))</f>
        <v>Chennai</v>
      </c>
      <c r="I131" t="str">
        <f>INDEX('ECOMMERS SALES'!$A:$J,MATCH('index match'!$A131,'ECOMMERS SALES'!$C:$C,0),MATCH('index match'!I$1,ECOMMERS_SALES[#Headers],0))</f>
        <v>New</v>
      </c>
      <c r="J131" t="str">
        <f>INDEX('ECOMMERS SALES'!$A:$J,MATCH('index match'!$A131,'ECOMMERS SALES'!$C:$C,0),MATCH('index match'!J$1,ECOMMERS_SALES[#Headers],0))</f>
        <v>UPI</v>
      </c>
    </row>
    <row r="132" spans="1:10" x14ac:dyDescent="0.35">
      <c r="A132" t="s">
        <v>11</v>
      </c>
      <c r="B132">
        <f>INDEX('ECOMMERS SALES'!$A:$J,MATCH('index match'!$A132,'ECOMMERS SALES'!$C:$C,0),MATCH('index match'!B$1,ECOMMERS_SALES[#Headers],0))</f>
        <v>1001</v>
      </c>
      <c r="C132" t="str">
        <f>INDEX('ECOMMERS SALES'!$A:$J,MATCH('index match'!$A132,'ECOMMERS SALES'!$C:$C,0),MATCH('index match'!C$1,ECOMMERS_SALES[#Headers],0))</f>
        <v>02-01-2025</v>
      </c>
      <c r="D132" t="str">
        <f>INDEX('ECOMMERS SALES'!$A:$J,MATCH('index match'!$A132,'ECOMMERS SALES'!$C:$C,0),MATCH('index match'!D$1,ECOMMERS_SALES[#Headers],0))</f>
        <v>Electronics</v>
      </c>
      <c r="E132">
        <f>INDEX('ECOMMERS SALES'!$A:$J,MATCH('index match'!$A132,'ECOMMERS SALES'!$C:$C,0),MATCH('index match'!E$1,ECOMMERS_SALES[#Headers],0))</f>
        <v>2</v>
      </c>
      <c r="F132">
        <f>INDEX('ECOMMERS SALES'!$A:$J,MATCH('index match'!$A132,'ECOMMERS SALES'!$C:$C,0),MATCH('index match'!F$1,ECOMMERS_SALES[#Headers],0))</f>
        <v>50353</v>
      </c>
      <c r="G132">
        <f>INDEX('ECOMMERS SALES'!$A:$J,MATCH('index match'!$A132,'ECOMMERS SALES'!$C:$C,0),MATCH('index match'!G$1,ECOMMERS_SALES[#Headers],0))</f>
        <v>100706</v>
      </c>
      <c r="H132" t="str">
        <f>INDEX('ECOMMERS SALES'!$A:$J,MATCH('index match'!$A132,'ECOMMERS SALES'!$C:$C,0),MATCH('index match'!H$1,ECOMMERS_SALES[#Headers],0))</f>
        <v>Chennai</v>
      </c>
      <c r="I132" t="str">
        <f>INDEX('ECOMMERS SALES'!$A:$J,MATCH('index match'!$A132,'ECOMMERS SALES'!$C:$C,0),MATCH('index match'!I$1,ECOMMERS_SALES[#Headers],0))</f>
        <v>Premimum</v>
      </c>
      <c r="J132" t="str">
        <f>INDEX('ECOMMERS SALES'!$A:$J,MATCH('index match'!$A132,'ECOMMERS SALES'!$C:$C,0),MATCH('index match'!J$1,ECOMMERS_SALES[#Headers],0))</f>
        <v>Card</v>
      </c>
    </row>
    <row r="133" spans="1:10" x14ac:dyDescent="0.35">
      <c r="A133" t="s">
        <v>17</v>
      </c>
      <c r="B133">
        <f>INDEX('ECOMMERS SALES'!$A:$J,MATCH('index match'!$A133,'ECOMMERS SALES'!$C:$C,0),MATCH('index match'!B$1,ECOMMERS_SALES[#Headers],0))</f>
        <v>1002</v>
      </c>
      <c r="C133" t="str">
        <f>INDEX('ECOMMERS SALES'!$A:$J,MATCH('index match'!$A133,'ECOMMERS SALES'!$C:$C,0),MATCH('index match'!C$1,ECOMMERS_SALES[#Headers],0))</f>
        <v>03-01-2025</v>
      </c>
      <c r="D133" t="str">
        <f>INDEX('ECOMMERS SALES'!$A:$J,MATCH('index match'!$A133,'ECOMMERS SALES'!$C:$C,0),MATCH('index match'!D$1,ECOMMERS_SALES[#Headers],0))</f>
        <v>Electronics</v>
      </c>
      <c r="E133">
        <f>INDEX('ECOMMERS SALES'!$A:$J,MATCH('index match'!$A133,'ECOMMERS SALES'!$C:$C,0),MATCH('index match'!E$1,ECOMMERS_SALES[#Headers],0))</f>
        <v>2</v>
      </c>
      <c r="F133">
        <f>INDEX('ECOMMERS SALES'!$A:$J,MATCH('index match'!$A133,'ECOMMERS SALES'!$C:$C,0),MATCH('index match'!F$1,ECOMMERS_SALES[#Headers],0))</f>
        <v>2008</v>
      </c>
      <c r="G133">
        <f>INDEX('ECOMMERS SALES'!$A:$J,MATCH('index match'!$A133,'ECOMMERS SALES'!$C:$C,0),MATCH('index match'!G$1,ECOMMERS_SALES[#Headers],0))</f>
        <v>4016</v>
      </c>
      <c r="H133" t="str">
        <f>INDEX('ECOMMERS SALES'!$A:$J,MATCH('index match'!$A133,'ECOMMERS SALES'!$C:$C,0),MATCH('index match'!H$1,ECOMMERS_SALES[#Headers],0))</f>
        <v>Delhi</v>
      </c>
      <c r="I133" t="str">
        <f>INDEX('ECOMMERS SALES'!$A:$J,MATCH('index match'!$A133,'ECOMMERS SALES'!$C:$C,0),MATCH('index match'!I$1,ECOMMERS_SALES[#Headers],0))</f>
        <v>New</v>
      </c>
      <c r="J133" t="str">
        <f>INDEX('ECOMMERS SALES'!$A:$J,MATCH('index match'!$A133,'ECOMMERS SALES'!$C:$C,0),MATCH('index match'!J$1,ECOMMERS_SALES[#Headers],0))</f>
        <v>UPI</v>
      </c>
    </row>
    <row r="134" spans="1:10" x14ac:dyDescent="0.35">
      <c r="A134" t="s">
        <v>22</v>
      </c>
      <c r="B134">
        <f>INDEX('ECOMMERS SALES'!$A:$J,MATCH('index match'!$A134,'ECOMMERS SALES'!$C:$C,0),MATCH('index match'!B$1,ECOMMERS_SALES[#Headers],0))</f>
        <v>1003</v>
      </c>
      <c r="C134" t="str">
        <f>INDEX('ECOMMERS SALES'!$A:$J,MATCH('index match'!$A134,'ECOMMERS SALES'!$C:$C,0),MATCH('index match'!C$1,ECOMMERS_SALES[#Headers],0))</f>
        <v>04-01-2025</v>
      </c>
      <c r="D134" t="str">
        <f>INDEX('ECOMMERS SALES'!$A:$J,MATCH('index match'!$A134,'ECOMMERS SALES'!$C:$C,0),MATCH('index match'!D$1,ECOMMERS_SALES[#Headers],0))</f>
        <v>Fashion</v>
      </c>
      <c r="E134">
        <f>INDEX('ECOMMERS SALES'!$A:$J,MATCH('index match'!$A134,'ECOMMERS SALES'!$C:$C,0),MATCH('index match'!E$1,ECOMMERS_SALES[#Headers],0))</f>
        <v>1</v>
      </c>
      <c r="F134">
        <f>INDEX('ECOMMERS SALES'!$A:$J,MATCH('index match'!$A134,'ECOMMERS SALES'!$C:$C,0),MATCH('index match'!F$1,ECOMMERS_SALES[#Headers],0))</f>
        <v>4736</v>
      </c>
      <c r="G134">
        <f>INDEX('ECOMMERS SALES'!$A:$J,MATCH('index match'!$A134,'ECOMMERS SALES'!$C:$C,0),MATCH('index match'!G$1,ECOMMERS_SALES[#Headers],0))</f>
        <v>4736</v>
      </c>
      <c r="H134" t="str">
        <f>INDEX('ECOMMERS SALES'!$A:$J,MATCH('index match'!$A134,'ECOMMERS SALES'!$C:$C,0),MATCH('index match'!H$1,ECOMMERS_SALES[#Headers],0))</f>
        <v>Chennai</v>
      </c>
      <c r="I134" t="str">
        <f>INDEX('ECOMMERS SALES'!$A:$J,MATCH('index match'!$A134,'ECOMMERS SALES'!$C:$C,0),MATCH('index match'!I$1,ECOMMERS_SALES[#Headers],0))</f>
        <v>New</v>
      </c>
      <c r="J134" t="str">
        <f>INDEX('ECOMMERS SALES'!$A:$J,MATCH('index match'!$A134,'ECOMMERS SALES'!$C:$C,0),MATCH('index match'!J$1,ECOMMERS_SALES[#Headers],0))</f>
        <v>UPI</v>
      </c>
    </row>
    <row r="135" spans="1:10" x14ac:dyDescent="0.35">
      <c r="A135" t="s">
        <v>25</v>
      </c>
      <c r="B135">
        <f>INDEX('ECOMMERS SALES'!$A:$J,MATCH('index match'!$A135,'ECOMMERS SALES'!$C:$C,0),MATCH('index match'!B$1,ECOMMERS_SALES[#Headers],0))</f>
        <v>1004</v>
      </c>
      <c r="C135" t="str">
        <f>INDEX('ECOMMERS SALES'!$A:$J,MATCH('index match'!$A135,'ECOMMERS SALES'!$C:$C,0),MATCH('index match'!C$1,ECOMMERS_SALES[#Headers],0))</f>
        <v>05-01-2025</v>
      </c>
      <c r="D135" t="str">
        <f>INDEX('ECOMMERS SALES'!$A:$J,MATCH('index match'!$A135,'ECOMMERS SALES'!$C:$C,0),MATCH('index match'!D$1,ECOMMERS_SALES[#Headers],0))</f>
        <v>Other</v>
      </c>
      <c r="E135">
        <f>INDEX('ECOMMERS SALES'!$A:$J,MATCH('index match'!$A135,'ECOMMERS SALES'!$C:$C,0),MATCH('index match'!E$1,ECOMMERS_SALES[#Headers],0))</f>
        <v>2</v>
      </c>
      <c r="F135">
        <f>INDEX('ECOMMERS SALES'!$A:$J,MATCH('index match'!$A135,'ECOMMERS SALES'!$C:$C,0),MATCH('index match'!F$1,ECOMMERS_SALES[#Headers],0))</f>
        <v>10072</v>
      </c>
      <c r="G135">
        <f>INDEX('ECOMMERS SALES'!$A:$J,MATCH('index match'!$A135,'ECOMMERS SALES'!$C:$C,0),MATCH('index match'!G$1,ECOMMERS_SALES[#Headers],0))</f>
        <v>20144</v>
      </c>
      <c r="H135" t="str">
        <f>INDEX('ECOMMERS SALES'!$A:$J,MATCH('index match'!$A135,'ECOMMERS SALES'!$C:$C,0),MATCH('index match'!H$1,ECOMMERS_SALES[#Headers],0))</f>
        <v>Pune</v>
      </c>
      <c r="I135" t="str">
        <f>INDEX('ECOMMERS SALES'!$A:$J,MATCH('index match'!$A135,'ECOMMERS SALES'!$C:$C,0),MATCH('index match'!I$1,ECOMMERS_SALES[#Headers],0))</f>
        <v>Premimum</v>
      </c>
      <c r="J135" t="str">
        <f>INDEX('ECOMMERS SALES'!$A:$J,MATCH('index match'!$A135,'ECOMMERS SALES'!$C:$C,0),MATCH('index match'!J$1,ECOMMERS_SALES[#Headers],0))</f>
        <v>Card</v>
      </c>
    </row>
    <row r="136" spans="1:10" x14ac:dyDescent="0.35">
      <c r="A136" t="s">
        <v>29</v>
      </c>
      <c r="B136">
        <f>INDEX('ECOMMERS SALES'!$A:$J,MATCH('index match'!$A136,'ECOMMERS SALES'!$C:$C,0),MATCH('index match'!B$1,ECOMMERS_SALES[#Headers],0))</f>
        <v>1005</v>
      </c>
      <c r="C136" t="str">
        <f>INDEX('ECOMMERS SALES'!$A:$J,MATCH('index match'!$A136,'ECOMMERS SALES'!$C:$C,0),MATCH('index match'!C$1,ECOMMERS_SALES[#Headers],0))</f>
        <v>06-01-2025</v>
      </c>
      <c r="D136" t="str">
        <f>INDEX('ECOMMERS SALES'!$A:$J,MATCH('index match'!$A136,'ECOMMERS SALES'!$C:$C,0),MATCH('index match'!D$1,ECOMMERS_SALES[#Headers],0))</f>
        <v>Other</v>
      </c>
      <c r="E136">
        <f>INDEX('ECOMMERS SALES'!$A:$J,MATCH('index match'!$A136,'ECOMMERS SALES'!$C:$C,0),MATCH('index match'!E$1,ECOMMERS_SALES[#Headers],0))</f>
        <v>2</v>
      </c>
      <c r="F136">
        <f>INDEX('ECOMMERS SALES'!$A:$J,MATCH('index match'!$A136,'ECOMMERS SALES'!$C:$C,0),MATCH('index match'!F$1,ECOMMERS_SALES[#Headers],0))</f>
        <v>920</v>
      </c>
      <c r="G136">
        <f>INDEX('ECOMMERS SALES'!$A:$J,MATCH('index match'!$A136,'ECOMMERS SALES'!$C:$C,0),MATCH('index match'!G$1,ECOMMERS_SALES[#Headers],0))</f>
        <v>1840</v>
      </c>
      <c r="H136" t="str">
        <f>INDEX('ECOMMERS SALES'!$A:$J,MATCH('index match'!$A136,'ECOMMERS SALES'!$C:$C,0),MATCH('index match'!H$1,ECOMMERS_SALES[#Headers],0))</f>
        <v>Pune</v>
      </c>
      <c r="I136" t="str">
        <f>INDEX('ECOMMERS SALES'!$A:$J,MATCH('index match'!$A136,'ECOMMERS SALES'!$C:$C,0),MATCH('index match'!I$1,ECOMMERS_SALES[#Headers],0))</f>
        <v>New</v>
      </c>
      <c r="J136" t="str">
        <f>INDEX('ECOMMERS SALES'!$A:$J,MATCH('index match'!$A136,'ECOMMERS SALES'!$C:$C,0),MATCH('index match'!J$1,ECOMMERS_SALES[#Headers],0))</f>
        <v>UPI</v>
      </c>
    </row>
    <row r="137" spans="1:10" x14ac:dyDescent="0.35">
      <c r="A137" t="s">
        <v>31</v>
      </c>
      <c r="B137">
        <f>INDEX('ECOMMERS SALES'!$A:$J,MATCH('index match'!$A137,'ECOMMERS SALES'!$C:$C,0),MATCH('index match'!B$1,ECOMMERS_SALES[#Headers],0))</f>
        <v>1006</v>
      </c>
      <c r="C137" t="str">
        <f>INDEX('ECOMMERS SALES'!$A:$J,MATCH('index match'!$A137,'ECOMMERS SALES'!$C:$C,0),MATCH('index match'!C$1,ECOMMERS_SALES[#Headers],0))</f>
        <v>07-01-2025</v>
      </c>
      <c r="D137" t="str">
        <f>INDEX('ECOMMERS SALES'!$A:$J,MATCH('index match'!$A137,'ECOMMERS SALES'!$C:$C,0),MATCH('index match'!D$1,ECOMMERS_SALES[#Headers],0))</f>
        <v>Electronics</v>
      </c>
      <c r="E137">
        <f>INDEX('ECOMMERS SALES'!$A:$J,MATCH('index match'!$A137,'ECOMMERS SALES'!$C:$C,0),MATCH('index match'!E$1,ECOMMERS_SALES[#Headers],0))</f>
        <v>1</v>
      </c>
      <c r="F137">
        <f>INDEX('ECOMMERS SALES'!$A:$J,MATCH('index match'!$A137,'ECOMMERS SALES'!$C:$C,0),MATCH('index match'!F$1,ECOMMERS_SALES[#Headers],0))</f>
        <v>13225</v>
      </c>
      <c r="G137">
        <f>INDEX('ECOMMERS SALES'!$A:$J,MATCH('index match'!$A137,'ECOMMERS SALES'!$C:$C,0),MATCH('index match'!G$1,ECOMMERS_SALES[#Headers],0))</f>
        <v>13225</v>
      </c>
      <c r="H137" t="str">
        <f>INDEX('ECOMMERS SALES'!$A:$J,MATCH('index match'!$A137,'ECOMMERS SALES'!$C:$C,0),MATCH('index match'!H$1,ECOMMERS_SALES[#Headers],0))</f>
        <v>Delhi</v>
      </c>
      <c r="I137" t="str">
        <f>INDEX('ECOMMERS SALES'!$A:$J,MATCH('index match'!$A137,'ECOMMERS SALES'!$C:$C,0),MATCH('index match'!I$1,ECOMMERS_SALES[#Headers],0))</f>
        <v>Returning</v>
      </c>
      <c r="J137" t="str">
        <f>INDEX('ECOMMERS SALES'!$A:$J,MATCH('index match'!$A137,'ECOMMERS SALES'!$C:$C,0),MATCH('index match'!J$1,ECOMMERS_SALES[#Headers],0))</f>
        <v>COD</v>
      </c>
    </row>
    <row r="138" spans="1:10" x14ac:dyDescent="0.35">
      <c r="A138" t="s">
        <v>35</v>
      </c>
      <c r="B138">
        <f>INDEX('ECOMMERS SALES'!$A:$J,MATCH('index match'!$A138,'ECOMMERS SALES'!$C:$C,0),MATCH('index match'!B$1,ECOMMERS_SALES[#Headers],0))</f>
        <v>1007</v>
      </c>
      <c r="C138" t="str">
        <f>INDEX('ECOMMERS SALES'!$A:$J,MATCH('index match'!$A138,'ECOMMERS SALES'!$C:$C,0),MATCH('index match'!C$1,ECOMMERS_SALES[#Headers],0))</f>
        <v>08-01-2025</v>
      </c>
      <c r="D138" t="str">
        <f>INDEX('ECOMMERS SALES'!$A:$J,MATCH('index match'!$A138,'ECOMMERS SALES'!$C:$C,0),MATCH('index match'!D$1,ECOMMERS_SALES[#Headers],0))</f>
        <v>Books</v>
      </c>
      <c r="E138">
        <f>INDEX('ECOMMERS SALES'!$A:$J,MATCH('index match'!$A138,'ECOMMERS SALES'!$C:$C,0),MATCH('index match'!E$1,ECOMMERS_SALES[#Headers],0))</f>
        <v>3</v>
      </c>
      <c r="F138">
        <f>INDEX('ECOMMERS SALES'!$A:$J,MATCH('index match'!$A138,'ECOMMERS SALES'!$C:$C,0),MATCH('index match'!F$1,ECOMMERS_SALES[#Headers],0))</f>
        <v>621</v>
      </c>
      <c r="G138">
        <f>INDEX('ECOMMERS SALES'!$A:$J,MATCH('index match'!$A138,'ECOMMERS SALES'!$C:$C,0),MATCH('index match'!G$1,ECOMMERS_SALES[#Headers],0))</f>
        <v>1863</v>
      </c>
      <c r="H138" t="str">
        <f>INDEX('ECOMMERS SALES'!$A:$J,MATCH('index match'!$A138,'ECOMMERS SALES'!$C:$C,0),MATCH('index match'!H$1,ECOMMERS_SALES[#Headers],0))</f>
        <v>Hyderabad</v>
      </c>
      <c r="I138" t="str">
        <f>INDEX('ECOMMERS SALES'!$A:$J,MATCH('index match'!$A138,'ECOMMERS SALES'!$C:$C,0),MATCH('index match'!I$1,ECOMMERS_SALES[#Headers],0))</f>
        <v>Premimum</v>
      </c>
      <c r="J138" t="str">
        <f>INDEX('ECOMMERS SALES'!$A:$J,MATCH('index match'!$A138,'ECOMMERS SALES'!$C:$C,0),MATCH('index match'!J$1,ECOMMERS_SALES[#Headers],0))</f>
        <v>UPI</v>
      </c>
    </row>
    <row r="139" spans="1:10" x14ac:dyDescent="0.35">
      <c r="A139" t="s">
        <v>39</v>
      </c>
      <c r="B139">
        <f>INDEX('ECOMMERS SALES'!$A:$J,MATCH('index match'!$A139,'ECOMMERS SALES'!$C:$C,0),MATCH('index match'!B$1,ECOMMERS_SALES[#Headers],0))</f>
        <v>1008</v>
      </c>
      <c r="C139" t="str">
        <f>INDEX('ECOMMERS SALES'!$A:$J,MATCH('index match'!$A139,'ECOMMERS SALES'!$C:$C,0),MATCH('index match'!C$1,ECOMMERS_SALES[#Headers],0))</f>
        <v>09-01-2025</v>
      </c>
      <c r="D139" t="str">
        <f>INDEX('ECOMMERS SALES'!$A:$J,MATCH('index match'!$A139,'ECOMMERS SALES'!$C:$C,0),MATCH('index match'!D$1,ECOMMERS_SALES[#Headers],0))</f>
        <v>Fashion</v>
      </c>
      <c r="E139">
        <f>INDEX('ECOMMERS SALES'!$A:$J,MATCH('index match'!$A139,'ECOMMERS SALES'!$C:$C,0),MATCH('index match'!E$1,ECOMMERS_SALES[#Headers],0))</f>
        <v>2</v>
      </c>
      <c r="F139">
        <f>INDEX('ECOMMERS SALES'!$A:$J,MATCH('index match'!$A139,'ECOMMERS SALES'!$C:$C,0),MATCH('index match'!F$1,ECOMMERS_SALES[#Headers],0))</f>
        <v>905</v>
      </c>
      <c r="G139">
        <f>INDEX('ECOMMERS SALES'!$A:$J,MATCH('index match'!$A139,'ECOMMERS SALES'!$C:$C,0),MATCH('index match'!G$1,ECOMMERS_SALES[#Headers],0))</f>
        <v>1810</v>
      </c>
      <c r="H139" t="str">
        <f>INDEX('ECOMMERS SALES'!$A:$J,MATCH('index match'!$A139,'ECOMMERS SALES'!$C:$C,0),MATCH('index match'!H$1,ECOMMERS_SALES[#Headers],0))</f>
        <v>Bangalore</v>
      </c>
      <c r="I139" t="str">
        <f>INDEX('ECOMMERS SALES'!$A:$J,MATCH('index match'!$A139,'ECOMMERS SALES'!$C:$C,0),MATCH('index match'!I$1,ECOMMERS_SALES[#Headers],0))</f>
        <v>New</v>
      </c>
      <c r="J139" t="str">
        <f>INDEX('ECOMMERS SALES'!$A:$J,MATCH('index match'!$A139,'ECOMMERS SALES'!$C:$C,0),MATCH('index match'!J$1,ECOMMERS_SALES[#Headers],0))</f>
        <v>COD</v>
      </c>
    </row>
    <row r="140" spans="1:10" x14ac:dyDescent="0.35">
      <c r="A140" t="s">
        <v>42</v>
      </c>
      <c r="B140">
        <f>INDEX('ECOMMERS SALES'!$A:$J,MATCH('index match'!$A140,'ECOMMERS SALES'!$C:$C,0),MATCH('index match'!B$1,ECOMMERS_SALES[#Headers],0))</f>
        <v>1009</v>
      </c>
      <c r="C140" t="str">
        <f>INDEX('ECOMMERS SALES'!$A:$J,MATCH('index match'!$A140,'ECOMMERS SALES'!$C:$C,0),MATCH('index match'!C$1,ECOMMERS_SALES[#Headers],0))</f>
        <v>10-01-2025</v>
      </c>
      <c r="D140" t="str">
        <f>INDEX('ECOMMERS SALES'!$A:$J,MATCH('index match'!$A140,'ECOMMERS SALES'!$C:$C,0),MATCH('index match'!D$1,ECOMMERS_SALES[#Headers],0))</f>
        <v>Electronics</v>
      </c>
      <c r="E140">
        <f>INDEX('ECOMMERS SALES'!$A:$J,MATCH('index match'!$A140,'ECOMMERS SALES'!$C:$C,0),MATCH('index match'!E$1,ECOMMERS_SALES[#Headers],0))</f>
        <v>1</v>
      </c>
      <c r="F140">
        <f>INDEX('ECOMMERS SALES'!$A:$J,MATCH('index match'!$A140,'ECOMMERS SALES'!$C:$C,0),MATCH('index match'!F$1,ECOMMERS_SALES[#Headers],0))</f>
        <v>8563</v>
      </c>
      <c r="G140">
        <f>INDEX('ECOMMERS SALES'!$A:$J,MATCH('index match'!$A140,'ECOMMERS SALES'!$C:$C,0),MATCH('index match'!G$1,ECOMMERS_SALES[#Headers],0))</f>
        <v>8563</v>
      </c>
      <c r="H140" t="str">
        <f>INDEX('ECOMMERS SALES'!$A:$J,MATCH('index match'!$A140,'ECOMMERS SALES'!$C:$C,0),MATCH('index match'!H$1,ECOMMERS_SALES[#Headers],0))</f>
        <v>Hyderabad</v>
      </c>
      <c r="I140" t="str">
        <f>INDEX('ECOMMERS SALES'!$A:$J,MATCH('index match'!$A140,'ECOMMERS SALES'!$C:$C,0),MATCH('index match'!I$1,ECOMMERS_SALES[#Headers],0))</f>
        <v>Returning</v>
      </c>
      <c r="J140" t="str">
        <f>INDEX('ECOMMERS SALES'!$A:$J,MATCH('index match'!$A140,'ECOMMERS SALES'!$C:$C,0),MATCH('index match'!J$1,ECOMMERS_SALES[#Headers],0))</f>
        <v>Card</v>
      </c>
    </row>
    <row r="141" spans="1:10" x14ac:dyDescent="0.35">
      <c r="A141" t="s">
        <v>44</v>
      </c>
      <c r="B141">
        <f>INDEX('ECOMMERS SALES'!$A:$J,MATCH('index match'!$A141,'ECOMMERS SALES'!$C:$C,0),MATCH('index match'!B$1,ECOMMERS_SALES[#Headers],0))</f>
        <v>1010</v>
      </c>
      <c r="C141" t="str">
        <f>INDEX('ECOMMERS SALES'!$A:$J,MATCH('index match'!$A141,'ECOMMERS SALES'!$C:$C,0),MATCH('index match'!C$1,ECOMMERS_SALES[#Headers],0))</f>
        <v>11-01-2025</v>
      </c>
      <c r="D141" t="str">
        <f>INDEX('ECOMMERS SALES'!$A:$J,MATCH('index match'!$A141,'ECOMMERS SALES'!$C:$C,0),MATCH('index match'!D$1,ECOMMERS_SALES[#Headers],0))</f>
        <v>Other</v>
      </c>
      <c r="E141">
        <f>INDEX('ECOMMERS SALES'!$A:$J,MATCH('index match'!$A141,'ECOMMERS SALES'!$C:$C,0),MATCH('index match'!E$1,ECOMMERS_SALES[#Headers],0))</f>
        <v>1</v>
      </c>
      <c r="F141">
        <f>INDEX('ECOMMERS SALES'!$A:$J,MATCH('index match'!$A141,'ECOMMERS SALES'!$C:$C,0),MATCH('index match'!F$1,ECOMMERS_SALES[#Headers],0))</f>
        <v>268</v>
      </c>
      <c r="G141">
        <f>INDEX('ECOMMERS SALES'!$A:$J,MATCH('index match'!$A141,'ECOMMERS SALES'!$C:$C,0),MATCH('index match'!G$1,ECOMMERS_SALES[#Headers],0))</f>
        <v>268</v>
      </c>
      <c r="H141" t="str">
        <f>INDEX('ECOMMERS SALES'!$A:$J,MATCH('index match'!$A141,'ECOMMERS SALES'!$C:$C,0),MATCH('index match'!H$1,ECOMMERS_SALES[#Headers],0))</f>
        <v>Chennai</v>
      </c>
      <c r="I141" t="str">
        <f>INDEX('ECOMMERS SALES'!$A:$J,MATCH('index match'!$A141,'ECOMMERS SALES'!$C:$C,0),MATCH('index match'!I$1,ECOMMERS_SALES[#Headers],0))</f>
        <v>New</v>
      </c>
      <c r="J141" t="str">
        <f>INDEX('ECOMMERS SALES'!$A:$J,MATCH('index match'!$A141,'ECOMMERS SALES'!$C:$C,0),MATCH('index match'!J$1,ECOMMERS_SALES[#Headers],0))</f>
        <v>UPI</v>
      </c>
    </row>
    <row r="142" spans="1:10" x14ac:dyDescent="0.35">
      <c r="A142" t="s">
        <v>11</v>
      </c>
      <c r="B142">
        <f>INDEX('ECOMMERS SALES'!$A:$J,MATCH('index match'!$A142,'ECOMMERS SALES'!$C:$C,0),MATCH('index match'!B$1,ECOMMERS_SALES[#Headers],0))</f>
        <v>1001</v>
      </c>
      <c r="C142" t="str">
        <f>INDEX('ECOMMERS SALES'!$A:$J,MATCH('index match'!$A142,'ECOMMERS SALES'!$C:$C,0),MATCH('index match'!C$1,ECOMMERS_SALES[#Headers],0))</f>
        <v>02-01-2025</v>
      </c>
      <c r="D142" t="str">
        <f>INDEX('ECOMMERS SALES'!$A:$J,MATCH('index match'!$A142,'ECOMMERS SALES'!$C:$C,0),MATCH('index match'!D$1,ECOMMERS_SALES[#Headers],0))</f>
        <v>Electronics</v>
      </c>
      <c r="E142">
        <f>INDEX('ECOMMERS SALES'!$A:$J,MATCH('index match'!$A142,'ECOMMERS SALES'!$C:$C,0),MATCH('index match'!E$1,ECOMMERS_SALES[#Headers],0))</f>
        <v>2</v>
      </c>
      <c r="F142">
        <f>INDEX('ECOMMERS SALES'!$A:$J,MATCH('index match'!$A142,'ECOMMERS SALES'!$C:$C,0),MATCH('index match'!F$1,ECOMMERS_SALES[#Headers],0))</f>
        <v>50353</v>
      </c>
      <c r="G142">
        <f>INDEX('ECOMMERS SALES'!$A:$J,MATCH('index match'!$A142,'ECOMMERS SALES'!$C:$C,0),MATCH('index match'!G$1,ECOMMERS_SALES[#Headers],0))</f>
        <v>100706</v>
      </c>
      <c r="H142" t="str">
        <f>INDEX('ECOMMERS SALES'!$A:$J,MATCH('index match'!$A142,'ECOMMERS SALES'!$C:$C,0),MATCH('index match'!H$1,ECOMMERS_SALES[#Headers],0))</f>
        <v>Chennai</v>
      </c>
      <c r="I142" t="str">
        <f>INDEX('ECOMMERS SALES'!$A:$J,MATCH('index match'!$A142,'ECOMMERS SALES'!$C:$C,0),MATCH('index match'!I$1,ECOMMERS_SALES[#Headers],0))</f>
        <v>Premimum</v>
      </c>
      <c r="J142" t="str">
        <f>INDEX('ECOMMERS SALES'!$A:$J,MATCH('index match'!$A142,'ECOMMERS SALES'!$C:$C,0),MATCH('index match'!J$1,ECOMMERS_SALES[#Headers],0))</f>
        <v>Card</v>
      </c>
    </row>
    <row r="143" spans="1:10" x14ac:dyDescent="0.35">
      <c r="A143" t="s">
        <v>17</v>
      </c>
      <c r="B143">
        <f>INDEX('ECOMMERS SALES'!$A:$J,MATCH('index match'!$A143,'ECOMMERS SALES'!$C:$C,0),MATCH('index match'!B$1,ECOMMERS_SALES[#Headers],0))</f>
        <v>1002</v>
      </c>
      <c r="C143" t="str">
        <f>INDEX('ECOMMERS SALES'!$A:$J,MATCH('index match'!$A143,'ECOMMERS SALES'!$C:$C,0),MATCH('index match'!C$1,ECOMMERS_SALES[#Headers],0))</f>
        <v>03-01-2025</v>
      </c>
      <c r="D143" t="str">
        <f>INDEX('ECOMMERS SALES'!$A:$J,MATCH('index match'!$A143,'ECOMMERS SALES'!$C:$C,0),MATCH('index match'!D$1,ECOMMERS_SALES[#Headers],0))</f>
        <v>Electronics</v>
      </c>
      <c r="E143">
        <f>INDEX('ECOMMERS SALES'!$A:$J,MATCH('index match'!$A143,'ECOMMERS SALES'!$C:$C,0),MATCH('index match'!E$1,ECOMMERS_SALES[#Headers],0))</f>
        <v>2</v>
      </c>
      <c r="F143">
        <f>INDEX('ECOMMERS SALES'!$A:$J,MATCH('index match'!$A143,'ECOMMERS SALES'!$C:$C,0),MATCH('index match'!F$1,ECOMMERS_SALES[#Headers],0))</f>
        <v>2008</v>
      </c>
      <c r="G143">
        <f>INDEX('ECOMMERS SALES'!$A:$J,MATCH('index match'!$A143,'ECOMMERS SALES'!$C:$C,0),MATCH('index match'!G$1,ECOMMERS_SALES[#Headers],0))</f>
        <v>4016</v>
      </c>
      <c r="H143" t="str">
        <f>INDEX('ECOMMERS SALES'!$A:$J,MATCH('index match'!$A143,'ECOMMERS SALES'!$C:$C,0),MATCH('index match'!H$1,ECOMMERS_SALES[#Headers],0))</f>
        <v>Delhi</v>
      </c>
      <c r="I143" t="str">
        <f>INDEX('ECOMMERS SALES'!$A:$J,MATCH('index match'!$A143,'ECOMMERS SALES'!$C:$C,0),MATCH('index match'!I$1,ECOMMERS_SALES[#Headers],0))</f>
        <v>New</v>
      </c>
      <c r="J143" t="str">
        <f>INDEX('ECOMMERS SALES'!$A:$J,MATCH('index match'!$A143,'ECOMMERS SALES'!$C:$C,0),MATCH('index match'!J$1,ECOMMERS_SALES[#Headers],0))</f>
        <v>UPI</v>
      </c>
    </row>
    <row r="144" spans="1:10" x14ac:dyDescent="0.35">
      <c r="A144" t="s">
        <v>22</v>
      </c>
      <c r="B144">
        <f>INDEX('ECOMMERS SALES'!$A:$J,MATCH('index match'!$A144,'ECOMMERS SALES'!$C:$C,0),MATCH('index match'!B$1,ECOMMERS_SALES[#Headers],0))</f>
        <v>1003</v>
      </c>
      <c r="C144" t="str">
        <f>INDEX('ECOMMERS SALES'!$A:$J,MATCH('index match'!$A144,'ECOMMERS SALES'!$C:$C,0),MATCH('index match'!C$1,ECOMMERS_SALES[#Headers],0))</f>
        <v>04-01-2025</v>
      </c>
      <c r="D144" t="str">
        <f>INDEX('ECOMMERS SALES'!$A:$J,MATCH('index match'!$A144,'ECOMMERS SALES'!$C:$C,0),MATCH('index match'!D$1,ECOMMERS_SALES[#Headers],0))</f>
        <v>Fashion</v>
      </c>
      <c r="E144">
        <f>INDEX('ECOMMERS SALES'!$A:$J,MATCH('index match'!$A144,'ECOMMERS SALES'!$C:$C,0),MATCH('index match'!E$1,ECOMMERS_SALES[#Headers],0))</f>
        <v>1</v>
      </c>
      <c r="F144">
        <f>INDEX('ECOMMERS SALES'!$A:$J,MATCH('index match'!$A144,'ECOMMERS SALES'!$C:$C,0),MATCH('index match'!F$1,ECOMMERS_SALES[#Headers],0))</f>
        <v>4736</v>
      </c>
      <c r="G144">
        <f>INDEX('ECOMMERS SALES'!$A:$J,MATCH('index match'!$A144,'ECOMMERS SALES'!$C:$C,0),MATCH('index match'!G$1,ECOMMERS_SALES[#Headers],0))</f>
        <v>4736</v>
      </c>
      <c r="H144" t="str">
        <f>INDEX('ECOMMERS SALES'!$A:$J,MATCH('index match'!$A144,'ECOMMERS SALES'!$C:$C,0),MATCH('index match'!H$1,ECOMMERS_SALES[#Headers],0))</f>
        <v>Chennai</v>
      </c>
      <c r="I144" t="str">
        <f>INDEX('ECOMMERS SALES'!$A:$J,MATCH('index match'!$A144,'ECOMMERS SALES'!$C:$C,0),MATCH('index match'!I$1,ECOMMERS_SALES[#Headers],0))</f>
        <v>New</v>
      </c>
      <c r="J144" t="str">
        <f>INDEX('ECOMMERS SALES'!$A:$J,MATCH('index match'!$A144,'ECOMMERS SALES'!$C:$C,0),MATCH('index match'!J$1,ECOMMERS_SALES[#Headers],0))</f>
        <v>UPI</v>
      </c>
    </row>
    <row r="145" spans="1:10" x14ac:dyDescent="0.35">
      <c r="A145" t="s">
        <v>25</v>
      </c>
      <c r="B145">
        <f>INDEX('ECOMMERS SALES'!$A:$J,MATCH('index match'!$A145,'ECOMMERS SALES'!$C:$C,0),MATCH('index match'!B$1,ECOMMERS_SALES[#Headers],0))</f>
        <v>1004</v>
      </c>
      <c r="C145" t="str">
        <f>INDEX('ECOMMERS SALES'!$A:$J,MATCH('index match'!$A145,'ECOMMERS SALES'!$C:$C,0),MATCH('index match'!C$1,ECOMMERS_SALES[#Headers],0))</f>
        <v>05-01-2025</v>
      </c>
      <c r="D145" t="str">
        <f>INDEX('ECOMMERS SALES'!$A:$J,MATCH('index match'!$A145,'ECOMMERS SALES'!$C:$C,0),MATCH('index match'!D$1,ECOMMERS_SALES[#Headers],0))</f>
        <v>Other</v>
      </c>
      <c r="E145">
        <f>INDEX('ECOMMERS SALES'!$A:$J,MATCH('index match'!$A145,'ECOMMERS SALES'!$C:$C,0),MATCH('index match'!E$1,ECOMMERS_SALES[#Headers],0))</f>
        <v>2</v>
      </c>
      <c r="F145">
        <f>INDEX('ECOMMERS SALES'!$A:$J,MATCH('index match'!$A145,'ECOMMERS SALES'!$C:$C,0),MATCH('index match'!F$1,ECOMMERS_SALES[#Headers],0))</f>
        <v>10072</v>
      </c>
      <c r="G145">
        <f>INDEX('ECOMMERS SALES'!$A:$J,MATCH('index match'!$A145,'ECOMMERS SALES'!$C:$C,0),MATCH('index match'!G$1,ECOMMERS_SALES[#Headers],0))</f>
        <v>20144</v>
      </c>
      <c r="H145" t="str">
        <f>INDEX('ECOMMERS SALES'!$A:$J,MATCH('index match'!$A145,'ECOMMERS SALES'!$C:$C,0),MATCH('index match'!H$1,ECOMMERS_SALES[#Headers],0))</f>
        <v>Pune</v>
      </c>
      <c r="I145" t="str">
        <f>INDEX('ECOMMERS SALES'!$A:$J,MATCH('index match'!$A145,'ECOMMERS SALES'!$C:$C,0),MATCH('index match'!I$1,ECOMMERS_SALES[#Headers],0))</f>
        <v>Premimum</v>
      </c>
      <c r="J145" t="str">
        <f>INDEX('ECOMMERS SALES'!$A:$J,MATCH('index match'!$A145,'ECOMMERS SALES'!$C:$C,0),MATCH('index match'!J$1,ECOMMERS_SALES[#Headers],0))</f>
        <v>Card</v>
      </c>
    </row>
    <row r="146" spans="1:10" x14ac:dyDescent="0.35">
      <c r="A146" t="s">
        <v>29</v>
      </c>
      <c r="B146">
        <f>INDEX('ECOMMERS SALES'!$A:$J,MATCH('index match'!$A146,'ECOMMERS SALES'!$C:$C,0),MATCH('index match'!B$1,ECOMMERS_SALES[#Headers],0))</f>
        <v>1005</v>
      </c>
      <c r="C146" t="str">
        <f>INDEX('ECOMMERS SALES'!$A:$J,MATCH('index match'!$A146,'ECOMMERS SALES'!$C:$C,0),MATCH('index match'!C$1,ECOMMERS_SALES[#Headers],0))</f>
        <v>06-01-2025</v>
      </c>
      <c r="D146" t="str">
        <f>INDEX('ECOMMERS SALES'!$A:$J,MATCH('index match'!$A146,'ECOMMERS SALES'!$C:$C,0),MATCH('index match'!D$1,ECOMMERS_SALES[#Headers],0))</f>
        <v>Other</v>
      </c>
      <c r="E146">
        <f>INDEX('ECOMMERS SALES'!$A:$J,MATCH('index match'!$A146,'ECOMMERS SALES'!$C:$C,0),MATCH('index match'!E$1,ECOMMERS_SALES[#Headers],0))</f>
        <v>2</v>
      </c>
      <c r="F146">
        <f>INDEX('ECOMMERS SALES'!$A:$J,MATCH('index match'!$A146,'ECOMMERS SALES'!$C:$C,0),MATCH('index match'!F$1,ECOMMERS_SALES[#Headers],0))</f>
        <v>920</v>
      </c>
      <c r="G146">
        <f>INDEX('ECOMMERS SALES'!$A:$J,MATCH('index match'!$A146,'ECOMMERS SALES'!$C:$C,0),MATCH('index match'!G$1,ECOMMERS_SALES[#Headers],0))</f>
        <v>1840</v>
      </c>
      <c r="H146" t="str">
        <f>INDEX('ECOMMERS SALES'!$A:$J,MATCH('index match'!$A146,'ECOMMERS SALES'!$C:$C,0),MATCH('index match'!H$1,ECOMMERS_SALES[#Headers],0))</f>
        <v>Pune</v>
      </c>
      <c r="I146" t="str">
        <f>INDEX('ECOMMERS SALES'!$A:$J,MATCH('index match'!$A146,'ECOMMERS SALES'!$C:$C,0),MATCH('index match'!I$1,ECOMMERS_SALES[#Headers],0))</f>
        <v>New</v>
      </c>
      <c r="J146" t="str">
        <f>INDEX('ECOMMERS SALES'!$A:$J,MATCH('index match'!$A146,'ECOMMERS SALES'!$C:$C,0),MATCH('index match'!J$1,ECOMMERS_SALES[#Headers],0))</f>
        <v>UPI</v>
      </c>
    </row>
    <row r="147" spans="1:10" x14ac:dyDescent="0.35">
      <c r="A147" t="s">
        <v>31</v>
      </c>
      <c r="B147">
        <f>INDEX('ECOMMERS SALES'!$A:$J,MATCH('index match'!$A147,'ECOMMERS SALES'!$C:$C,0),MATCH('index match'!B$1,ECOMMERS_SALES[#Headers],0))</f>
        <v>1006</v>
      </c>
      <c r="C147" t="str">
        <f>INDEX('ECOMMERS SALES'!$A:$J,MATCH('index match'!$A147,'ECOMMERS SALES'!$C:$C,0),MATCH('index match'!C$1,ECOMMERS_SALES[#Headers],0))</f>
        <v>07-01-2025</v>
      </c>
      <c r="D147" t="str">
        <f>INDEX('ECOMMERS SALES'!$A:$J,MATCH('index match'!$A147,'ECOMMERS SALES'!$C:$C,0),MATCH('index match'!D$1,ECOMMERS_SALES[#Headers],0))</f>
        <v>Electronics</v>
      </c>
      <c r="E147">
        <f>INDEX('ECOMMERS SALES'!$A:$J,MATCH('index match'!$A147,'ECOMMERS SALES'!$C:$C,0),MATCH('index match'!E$1,ECOMMERS_SALES[#Headers],0))</f>
        <v>1</v>
      </c>
      <c r="F147">
        <f>INDEX('ECOMMERS SALES'!$A:$J,MATCH('index match'!$A147,'ECOMMERS SALES'!$C:$C,0),MATCH('index match'!F$1,ECOMMERS_SALES[#Headers],0))</f>
        <v>13225</v>
      </c>
      <c r="G147">
        <f>INDEX('ECOMMERS SALES'!$A:$J,MATCH('index match'!$A147,'ECOMMERS SALES'!$C:$C,0),MATCH('index match'!G$1,ECOMMERS_SALES[#Headers],0))</f>
        <v>13225</v>
      </c>
      <c r="H147" t="str">
        <f>INDEX('ECOMMERS SALES'!$A:$J,MATCH('index match'!$A147,'ECOMMERS SALES'!$C:$C,0),MATCH('index match'!H$1,ECOMMERS_SALES[#Headers],0))</f>
        <v>Delhi</v>
      </c>
      <c r="I147" t="str">
        <f>INDEX('ECOMMERS SALES'!$A:$J,MATCH('index match'!$A147,'ECOMMERS SALES'!$C:$C,0),MATCH('index match'!I$1,ECOMMERS_SALES[#Headers],0))</f>
        <v>Returning</v>
      </c>
      <c r="J147" t="str">
        <f>INDEX('ECOMMERS SALES'!$A:$J,MATCH('index match'!$A147,'ECOMMERS SALES'!$C:$C,0),MATCH('index match'!J$1,ECOMMERS_SALES[#Headers],0))</f>
        <v>COD</v>
      </c>
    </row>
    <row r="148" spans="1:10" x14ac:dyDescent="0.35">
      <c r="A148" t="s">
        <v>35</v>
      </c>
      <c r="B148">
        <f>INDEX('ECOMMERS SALES'!$A:$J,MATCH('index match'!$A148,'ECOMMERS SALES'!$C:$C,0),MATCH('index match'!B$1,ECOMMERS_SALES[#Headers],0))</f>
        <v>1007</v>
      </c>
      <c r="C148" t="str">
        <f>INDEX('ECOMMERS SALES'!$A:$J,MATCH('index match'!$A148,'ECOMMERS SALES'!$C:$C,0),MATCH('index match'!C$1,ECOMMERS_SALES[#Headers],0))</f>
        <v>08-01-2025</v>
      </c>
      <c r="D148" t="str">
        <f>INDEX('ECOMMERS SALES'!$A:$J,MATCH('index match'!$A148,'ECOMMERS SALES'!$C:$C,0),MATCH('index match'!D$1,ECOMMERS_SALES[#Headers],0))</f>
        <v>Books</v>
      </c>
      <c r="E148">
        <f>INDEX('ECOMMERS SALES'!$A:$J,MATCH('index match'!$A148,'ECOMMERS SALES'!$C:$C,0),MATCH('index match'!E$1,ECOMMERS_SALES[#Headers],0))</f>
        <v>3</v>
      </c>
      <c r="F148">
        <f>INDEX('ECOMMERS SALES'!$A:$J,MATCH('index match'!$A148,'ECOMMERS SALES'!$C:$C,0),MATCH('index match'!F$1,ECOMMERS_SALES[#Headers],0))</f>
        <v>621</v>
      </c>
      <c r="G148">
        <f>INDEX('ECOMMERS SALES'!$A:$J,MATCH('index match'!$A148,'ECOMMERS SALES'!$C:$C,0),MATCH('index match'!G$1,ECOMMERS_SALES[#Headers],0))</f>
        <v>1863</v>
      </c>
      <c r="H148" t="str">
        <f>INDEX('ECOMMERS SALES'!$A:$J,MATCH('index match'!$A148,'ECOMMERS SALES'!$C:$C,0),MATCH('index match'!H$1,ECOMMERS_SALES[#Headers],0))</f>
        <v>Hyderabad</v>
      </c>
      <c r="I148" t="str">
        <f>INDEX('ECOMMERS SALES'!$A:$J,MATCH('index match'!$A148,'ECOMMERS SALES'!$C:$C,0),MATCH('index match'!I$1,ECOMMERS_SALES[#Headers],0))</f>
        <v>Premimum</v>
      </c>
      <c r="J148" t="str">
        <f>INDEX('ECOMMERS SALES'!$A:$J,MATCH('index match'!$A148,'ECOMMERS SALES'!$C:$C,0),MATCH('index match'!J$1,ECOMMERS_SALES[#Headers],0))</f>
        <v>UPI</v>
      </c>
    </row>
    <row r="149" spans="1:10" x14ac:dyDescent="0.35">
      <c r="A149" t="s">
        <v>39</v>
      </c>
      <c r="B149">
        <f>INDEX('ECOMMERS SALES'!$A:$J,MATCH('index match'!$A149,'ECOMMERS SALES'!$C:$C,0),MATCH('index match'!B$1,ECOMMERS_SALES[#Headers],0))</f>
        <v>1008</v>
      </c>
      <c r="C149" t="str">
        <f>INDEX('ECOMMERS SALES'!$A:$J,MATCH('index match'!$A149,'ECOMMERS SALES'!$C:$C,0),MATCH('index match'!C$1,ECOMMERS_SALES[#Headers],0))</f>
        <v>09-01-2025</v>
      </c>
      <c r="D149" t="str">
        <f>INDEX('ECOMMERS SALES'!$A:$J,MATCH('index match'!$A149,'ECOMMERS SALES'!$C:$C,0),MATCH('index match'!D$1,ECOMMERS_SALES[#Headers],0))</f>
        <v>Fashion</v>
      </c>
      <c r="E149">
        <f>INDEX('ECOMMERS SALES'!$A:$J,MATCH('index match'!$A149,'ECOMMERS SALES'!$C:$C,0),MATCH('index match'!E$1,ECOMMERS_SALES[#Headers],0))</f>
        <v>2</v>
      </c>
      <c r="F149">
        <f>INDEX('ECOMMERS SALES'!$A:$J,MATCH('index match'!$A149,'ECOMMERS SALES'!$C:$C,0),MATCH('index match'!F$1,ECOMMERS_SALES[#Headers],0))</f>
        <v>905</v>
      </c>
      <c r="G149">
        <f>INDEX('ECOMMERS SALES'!$A:$J,MATCH('index match'!$A149,'ECOMMERS SALES'!$C:$C,0),MATCH('index match'!G$1,ECOMMERS_SALES[#Headers],0))</f>
        <v>1810</v>
      </c>
      <c r="H149" t="str">
        <f>INDEX('ECOMMERS SALES'!$A:$J,MATCH('index match'!$A149,'ECOMMERS SALES'!$C:$C,0),MATCH('index match'!H$1,ECOMMERS_SALES[#Headers],0))</f>
        <v>Bangalore</v>
      </c>
      <c r="I149" t="str">
        <f>INDEX('ECOMMERS SALES'!$A:$J,MATCH('index match'!$A149,'ECOMMERS SALES'!$C:$C,0),MATCH('index match'!I$1,ECOMMERS_SALES[#Headers],0))</f>
        <v>New</v>
      </c>
      <c r="J149" t="str">
        <f>INDEX('ECOMMERS SALES'!$A:$J,MATCH('index match'!$A149,'ECOMMERS SALES'!$C:$C,0),MATCH('index match'!J$1,ECOMMERS_SALES[#Headers],0))</f>
        <v>COD</v>
      </c>
    </row>
    <row r="150" spans="1:10" x14ac:dyDescent="0.35">
      <c r="A150" t="s">
        <v>42</v>
      </c>
      <c r="B150">
        <f>INDEX('ECOMMERS SALES'!$A:$J,MATCH('index match'!$A150,'ECOMMERS SALES'!$C:$C,0),MATCH('index match'!B$1,ECOMMERS_SALES[#Headers],0))</f>
        <v>1009</v>
      </c>
      <c r="C150" t="str">
        <f>INDEX('ECOMMERS SALES'!$A:$J,MATCH('index match'!$A150,'ECOMMERS SALES'!$C:$C,0),MATCH('index match'!C$1,ECOMMERS_SALES[#Headers],0))</f>
        <v>10-01-2025</v>
      </c>
      <c r="D150" t="str">
        <f>INDEX('ECOMMERS SALES'!$A:$J,MATCH('index match'!$A150,'ECOMMERS SALES'!$C:$C,0),MATCH('index match'!D$1,ECOMMERS_SALES[#Headers],0))</f>
        <v>Electronics</v>
      </c>
      <c r="E150">
        <f>INDEX('ECOMMERS SALES'!$A:$J,MATCH('index match'!$A150,'ECOMMERS SALES'!$C:$C,0),MATCH('index match'!E$1,ECOMMERS_SALES[#Headers],0))</f>
        <v>1</v>
      </c>
      <c r="F150">
        <f>INDEX('ECOMMERS SALES'!$A:$J,MATCH('index match'!$A150,'ECOMMERS SALES'!$C:$C,0),MATCH('index match'!F$1,ECOMMERS_SALES[#Headers],0))</f>
        <v>8563</v>
      </c>
      <c r="G150">
        <f>INDEX('ECOMMERS SALES'!$A:$J,MATCH('index match'!$A150,'ECOMMERS SALES'!$C:$C,0),MATCH('index match'!G$1,ECOMMERS_SALES[#Headers],0))</f>
        <v>8563</v>
      </c>
      <c r="H150" t="str">
        <f>INDEX('ECOMMERS SALES'!$A:$J,MATCH('index match'!$A150,'ECOMMERS SALES'!$C:$C,0),MATCH('index match'!H$1,ECOMMERS_SALES[#Headers],0))</f>
        <v>Hyderabad</v>
      </c>
      <c r="I150" t="str">
        <f>INDEX('ECOMMERS SALES'!$A:$J,MATCH('index match'!$A150,'ECOMMERS SALES'!$C:$C,0),MATCH('index match'!I$1,ECOMMERS_SALES[#Headers],0))</f>
        <v>Returning</v>
      </c>
      <c r="J150" t="str">
        <f>INDEX('ECOMMERS SALES'!$A:$J,MATCH('index match'!$A150,'ECOMMERS SALES'!$C:$C,0),MATCH('index match'!J$1,ECOMMERS_SALES[#Headers],0))</f>
        <v>Card</v>
      </c>
    </row>
    <row r="151" spans="1:10" x14ac:dyDescent="0.35">
      <c r="A151" t="s">
        <v>44</v>
      </c>
      <c r="B151">
        <f>INDEX('ECOMMERS SALES'!$A:$J,MATCH('index match'!$A151,'ECOMMERS SALES'!$C:$C,0),MATCH('index match'!B$1,ECOMMERS_SALES[#Headers],0))</f>
        <v>1010</v>
      </c>
      <c r="C151" t="str">
        <f>INDEX('ECOMMERS SALES'!$A:$J,MATCH('index match'!$A151,'ECOMMERS SALES'!$C:$C,0),MATCH('index match'!C$1,ECOMMERS_SALES[#Headers],0))</f>
        <v>11-01-2025</v>
      </c>
      <c r="D151" t="str">
        <f>INDEX('ECOMMERS SALES'!$A:$J,MATCH('index match'!$A151,'ECOMMERS SALES'!$C:$C,0),MATCH('index match'!D$1,ECOMMERS_SALES[#Headers],0))</f>
        <v>Other</v>
      </c>
      <c r="E151">
        <f>INDEX('ECOMMERS SALES'!$A:$J,MATCH('index match'!$A151,'ECOMMERS SALES'!$C:$C,0),MATCH('index match'!E$1,ECOMMERS_SALES[#Headers],0))</f>
        <v>1</v>
      </c>
      <c r="F151">
        <f>INDEX('ECOMMERS SALES'!$A:$J,MATCH('index match'!$A151,'ECOMMERS SALES'!$C:$C,0),MATCH('index match'!F$1,ECOMMERS_SALES[#Headers],0))</f>
        <v>268</v>
      </c>
      <c r="G151">
        <f>INDEX('ECOMMERS SALES'!$A:$J,MATCH('index match'!$A151,'ECOMMERS SALES'!$C:$C,0),MATCH('index match'!G$1,ECOMMERS_SALES[#Headers],0))</f>
        <v>268</v>
      </c>
      <c r="H151" t="str">
        <f>INDEX('ECOMMERS SALES'!$A:$J,MATCH('index match'!$A151,'ECOMMERS SALES'!$C:$C,0),MATCH('index match'!H$1,ECOMMERS_SALES[#Headers],0))</f>
        <v>Chennai</v>
      </c>
      <c r="I151" t="str">
        <f>INDEX('ECOMMERS SALES'!$A:$J,MATCH('index match'!$A151,'ECOMMERS SALES'!$C:$C,0),MATCH('index match'!I$1,ECOMMERS_SALES[#Headers],0))</f>
        <v>New</v>
      </c>
      <c r="J151" t="str">
        <f>INDEX('ECOMMERS SALES'!$A:$J,MATCH('index match'!$A151,'ECOMMERS SALES'!$C:$C,0),MATCH('index match'!J$1,ECOMMERS_SALES[#Headers],0))</f>
        <v>UPI</v>
      </c>
    </row>
    <row r="152" spans="1:10" x14ac:dyDescent="0.35">
      <c r="A152" t="s">
        <v>11</v>
      </c>
      <c r="B152">
        <f>INDEX('ECOMMERS SALES'!$A:$J,MATCH('index match'!$A152,'ECOMMERS SALES'!$C:$C,0),MATCH('index match'!B$1,ECOMMERS_SALES[#Headers],0))</f>
        <v>1001</v>
      </c>
      <c r="C152" t="str">
        <f>INDEX('ECOMMERS SALES'!$A:$J,MATCH('index match'!$A152,'ECOMMERS SALES'!$C:$C,0),MATCH('index match'!C$1,ECOMMERS_SALES[#Headers],0))</f>
        <v>02-01-2025</v>
      </c>
      <c r="D152" t="str">
        <f>INDEX('ECOMMERS SALES'!$A:$J,MATCH('index match'!$A152,'ECOMMERS SALES'!$C:$C,0),MATCH('index match'!D$1,ECOMMERS_SALES[#Headers],0))</f>
        <v>Electronics</v>
      </c>
      <c r="E152">
        <f>INDEX('ECOMMERS SALES'!$A:$J,MATCH('index match'!$A152,'ECOMMERS SALES'!$C:$C,0),MATCH('index match'!E$1,ECOMMERS_SALES[#Headers],0))</f>
        <v>2</v>
      </c>
      <c r="F152">
        <f>INDEX('ECOMMERS SALES'!$A:$J,MATCH('index match'!$A152,'ECOMMERS SALES'!$C:$C,0),MATCH('index match'!F$1,ECOMMERS_SALES[#Headers],0))</f>
        <v>50353</v>
      </c>
      <c r="G152">
        <f>INDEX('ECOMMERS SALES'!$A:$J,MATCH('index match'!$A152,'ECOMMERS SALES'!$C:$C,0),MATCH('index match'!G$1,ECOMMERS_SALES[#Headers],0))</f>
        <v>100706</v>
      </c>
      <c r="H152" t="str">
        <f>INDEX('ECOMMERS SALES'!$A:$J,MATCH('index match'!$A152,'ECOMMERS SALES'!$C:$C,0),MATCH('index match'!H$1,ECOMMERS_SALES[#Headers],0))</f>
        <v>Chennai</v>
      </c>
      <c r="I152" t="str">
        <f>INDEX('ECOMMERS SALES'!$A:$J,MATCH('index match'!$A152,'ECOMMERS SALES'!$C:$C,0),MATCH('index match'!I$1,ECOMMERS_SALES[#Headers],0))</f>
        <v>Premimum</v>
      </c>
      <c r="J152" t="str">
        <f>INDEX('ECOMMERS SALES'!$A:$J,MATCH('index match'!$A152,'ECOMMERS SALES'!$C:$C,0),MATCH('index match'!J$1,ECOMMERS_SALES[#Headers],0))</f>
        <v>Card</v>
      </c>
    </row>
    <row r="153" spans="1:10" x14ac:dyDescent="0.35">
      <c r="A153" t="s">
        <v>17</v>
      </c>
      <c r="B153">
        <f>INDEX('ECOMMERS SALES'!$A:$J,MATCH('index match'!$A153,'ECOMMERS SALES'!$C:$C,0),MATCH('index match'!B$1,ECOMMERS_SALES[#Headers],0))</f>
        <v>1002</v>
      </c>
      <c r="C153" t="str">
        <f>INDEX('ECOMMERS SALES'!$A:$J,MATCH('index match'!$A153,'ECOMMERS SALES'!$C:$C,0),MATCH('index match'!C$1,ECOMMERS_SALES[#Headers],0))</f>
        <v>03-01-2025</v>
      </c>
      <c r="D153" t="str">
        <f>INDEX('ECOMMERS SALES'!$A:$J,MATCH('index match'!$A153,'ECOMMERS SALES'!$C:$C,0),MATCH('index match'!D$1,ECOMMERS_SALES[#Headers],0))</f>
        <v>Electronics</v>
      </c>
      <c r="E153">
        <f>INDEX('ECOMMERS SALES'!$A:$J,MATCH('index match'!$A153,'ECOMMERS SALES'!$C:$C,0),MATCH('index match'!E$1,ECOMMERS_SALES[#Headers],0))</f>
        <v>2</v>
      </c>
      <c r="F153">
        <f>INDEX('ECOMMERS SALES'!$A:$J,MATCH('index match'!$A153,'ECOMMERS SALES'!$C:$C,0),MATCH('index match'!F$1,ECOMMERS_SALES[#Headers],0))</f>
        <v>2008</v>
      </c>
      <c r="G153">
        <f>INDEX('ECOMMERS SALES'!$A:$J,MATCH('index match'!$A153,'ECOMMERS SALES'!$C:$C,0),MATCH('index match'!G$1,ECOMMERS_SALES[#Headers],0))</f>
        <v>4016</v>
      </c>
      <c r="H153" t="str">
        <f>INDEX('ECOMMERS SALES'!$A:$J,MATCH('index match'!$A153,'ECOMMERS SALES'!$C:$C,0),MATCH('index match'!H$1,ECOMMERS_SALES[#Headers],0))</f>
        <v>Delhi</v>
      </c>
      <c r="I153" t="str">
        <f>INDEX('ECOMMERS SALES'!$A:$J,MATCH('index match'!$A153,'ECOMMERS SALES'!$C:$C,0),MATCH('index match'!I$1,ECOMMERS_SALES[#Headers],0))</f>
        <v>New</v>
      </c>
      <c r="J153" t="str">
        <f>INDEX('ECOMMERS SALES'!$A:$J,MATCH('index match'!$A153,'ECOMMERS SALES'!$C:$C,0),MATCH('index match'!J$1,ECOMMERS_SALES[#Headers],0))</f>
        <v>UPI</v>
      </c>
    </row>
    <row r="154" spans="1:10" x14ac:dyDescent="0.35">
      <c r="A154" t="s">
        <v>22</v>
      </c>
      <c r="B154">
        <f>INDEX('ECOMMERS SALES'!$A:$J,MATCH('index match'!$A154,'ECOMMERS SALES'!$C:$C,0),MATCH('index match'!B$1,ECOMMERS_SALES[#Headers],0))</f>
        <v>1003</v>
      </c>
      <c r="C154" t="str">
        <f>INDEX('ECOMMERS SALES'!$A:$J,MATCH('index match'!$A154,'ECOMMERS SALES'!$C:$C,0),MATCH('index match'!C$1,ECOMMERS_SALES[#Headers],0))</f>
        <v>04-01-2025</v>
      </c>
      <c r="D154" t="str">
        <f>INDEX('ECOMMERS SALES'!$A:$J,MATCH('index match'!$A154,'ECOMMERS SALES'!$C:$C,0),MATCH('index match'!D$1,ECOMMERS_SALES[#Headers],0))</f>
        <v>Fashion</v>
      </c>
      <c r="E154">
        <f>INDEX('ECOMMERS SALES'!$A:$J,MATCH('index match'!$A154,'ECOMMERS SALES'!$C:$C,0),MATCH('index match'!E$1,ECOMMERS_SALES[#Headers],0))</f>
        <v>1</v>
      </c>
      <c r="F154">
        <f>INDEX('ECOMMERS SALES'!$A:$J,MATCH('index match'!$A154,'ECOMMERS SALES'!$C:$C,0),MATCH('index match'!F$1,ECOMMERS_SALES[#Headers],0))</f>
        <v>4736</v>
      </c>
      <c r="G154">
        <f>INDEX('ECOMMERS SALES'!$A:$J,MATCH('index match'!$A154,'ECOMMERS SALES'!$C:$C,0),MATCH('index match'!G$1,ECOMMERS_SALES[#Headers],0))</f>
        <v>4736</v>
      </c>
      <c r="H154" t="str">
        <f>INDEX('ECOMMERS SALES'!$A:$J,MATCH('index match'!$A154,'ECOMMERS SALES'!$C:$C,0),MATCH('index match'!H$1,ECOMMERS_SALES[#Headers],0))</f>
        <v>Chennai</v>
      </c>
      <c r="I154" t="str">
        <f>INDEX('ECOMMERS SALES'!$A:$J,MATCH('index match'!$A154,'ECOMMERS SALES'!$C:$C,0),MATCH('index match'!I$1,ECOMMERS_SALES[#Headers],0))</f>
        <v>New</v>
      </c>
      <c r="J154" t="str">
        <f>INDEX('ECOMMERS SALES'!$A:$J,MATCH('index match'!$A154,'ECOMMERS SALES'!$C:$C,0),MATCH('index match'!J$1,ECOMMERS_SALES[#Headers],0))</f>
        <v>UPI</v>
      </c>
    </row>
    <row r="155" spans="1:10" x14ac:dyDescent="0.35">
      <c r="A155" t="s">
        <v>25</v>
      </c>
      <c r="B155">
        <f>INDEX('ECOMMERS SALES'!$A:$J,MATCH('index match'!$A155,'ECOMMERS SALES'!$C:$C,0),MATCH('index match'!B$1,ECOMMERS_SALES[#Headers],0))</f>
        <v>1004</v>
      </c>
      <c r="C155" t="str">
        <f>INDEX('ECOMMERS SALES'!$A:$J,MATCH('index match'!$A155,'ECOMMERS SALES'!$C:$C,0),MATCH('index match'!C$1,ECOMMERS_SALES[#Headers],0))</f>
        <v>05-01-2025</v>
      </c>
      <c r="D155" t="str">
        <f>INDEX('ECOMMERS SALES'!$A:$J,MATCH('index match'!$A155,'ECOMMERS SALES'!$C:$C,0),MATCH('index match'!D$1,ECOMMERS_SALES[#Headers],0))</f>
        <v>Other</v>
      </c>
      <c r="E155">
        <f>INDEX('ECOMMERS SALES'!$A:$J,MATCH('index match'!$A155,'ECOMMERS SALES'!$C:$C,0),MATCH('index match'!E$1,ECOMMERS_SALES[#Headers],0))</f>
        <v>2</v>
      </c>
      <c r="F155">
        <f>INDEX('ECOMMERS SALES'!$A:$J,MATCH('index match'!$A155,'ECOMMERS SALES'!$C:$C,0),MATCH('index match'!F$1,ECOMMERS_SALES[#Headers],0))</f>
        <v>10072</v>
      </c>
      <c r="G155">
        <f>INDEX('ECOMMERS SALES'!$A:$J,MATCH('index match'!$A155,'ECOMMERS SALES'!$C:$C,0),MATCH('index match'!G$1,ECOMMERS_SALES[#Headers],0))</f>
        <v>20144</v>
      </c>
      <c r="H155" t="str">
        <f>INDEX('ECOMMERS SALES'!$A:$J,MATCH('index match'!$A155,'ECOMMERS SALES'!$C:$C,0),MATCH('index match'!H$1,ECOMMERS_SALES[#Headers],0))</f>
        <v>Pune</v>
      </c>
      <c r="I155" t="str">
        <f>INDEX('ECOMMERS SALES'!$A:$J,MATCH('index match'!$A155,'ECOMMERS SALES'!$C:$C,0),MATCH('index match'!I$1,ECOMMERS_SALES[#Headers],0))</f>
        <v>Premimum</v>
      </c>
      <c r="J155" t="str">
        <f>INDEX('ECOMMERS SALES'!$A:$J,MATCH('index match'!$A155,'ECOMMERS SALES'!$C:$C,0),MATCH('index match'!J$1,ECOMMERS_SALES[#Headers],0))</f>
        <v>Card</v>
      </c>
    </row>
    <row r="156" spans="1:10" x14ac:dyDescent="0.35">
      <c r="A156" t="s">
        <v>29</v>
      </c>
      <c r="B156">
        <f>INDEX('ECOMMERS SALES'!$A:$J,MATCH('index match'!$A156,'ECOMMERS SALES'!$C:$C,0),MATCH('index match'!B$1,ECOMMERS_SALES[#Headers],0))</f>
        <v>1005</v>
      </c>
      <c r="C156" t="str">
        <f>INDEX('ECOMMERS SALES'!$A:$J,MATCH('index match'!$A156,'ECOMMERS SALES'!$C:$C,0),MATCH('index match'!C$1,ECOMMERS_SALES[#Headers],0))</f>
        <v>06-01-2025</v>
      </c>
      <c r="D156" t="str">
        <f>INDEX('ECOMMERS SALES'!$A:$J,MATCH('index match'!$A156,'ECOMMERS SALES'!$C:$C,0),MATCH('index match'!D$1,ECOMMERS_SALES[#Headers],0))</f>
        <v>Other</v>
      </c>
      <c r="E156">
        <f>INDEX('ECOMMERS SALES'!$A:$J,MATCH('index match'!$A156,'ECOMMERS SALES'!$C:$C,0),MATCH('index match'!E$1,ECOMMERS_SALES[#Headers],0))</f>
        <v>2</v>
      </c>
      <c r="F156">
        <f>INDEX('ECOMMERS SALES'!$A:$J,MATCH('index match'!$A156,'ECOMMERS SALES'!$C:$C,0),MATCH('index match'!F$1,ECOMMERS_SALES[#Headers],0))</f>
        <v>920</v>
      </c>
      <c r="G156">
        <f>INDEX('ECOMMERS SALES'!$A:$J,MATCH('index match'!$A156,'ECOMMERS SALES'!$C:$C,0),MATCH('index match'!G$1,ECOMMERS_SALES[#Headers],0))</f>
        <v>1840</v>
      </c>
      <c r="H156" t="str">
        <f>INDEX('ECOMMERS SALES'!$A:$J,MATCH('index match'!$A156,'ECOMMERS SALES'!$C:$C,0),MATCH('index match'!H$1,ECOMMERS_SALES[#Headers],0))</f>
        <v>Pune</v>
      </c>
      <c r="I156" t="str">
        <f>INDEX('ECOMMERS SALES'!$A:$J,MATCH('index match'!$A156,'ECOMMERS SALES'!$C:$C,0),MATCH('index match'!I$1,ECOMMERS_SALES[#Headers],0))</f>
        <v>New</v>
      </c>
      <c r="J156" t="str">
        <f>INDEX('ECOMMERS SALES'!$A:$J,MATCH('index match'!$A156,'ECOMMERS SALES'!$C:$C,0),MATCH('index match'!J$1,ECOMMERS_SALES[#Headers],0))</f>
        <v>UPI</v>
      </c>
    </row>
    <row r="157" spans="1:10" x14ac:dyDescent="0.35">
      <c r="A157" t="s">
        <v>31</v>
      </c>
      <c r="B157">
        <f>INDEX('ECOMMERS SALES'!$A:$J,MATCH('index match'!$A157,'ECOMMERS SALES'!$C:$C,0),MATCH('index match'!B$1,ECOMMERS_SALES[#Headers],0))</f>
        <v>1006</v>
      </c>
      <c r="C157" t="str">
        <f>INDEX('ECOMMERS SALES'!$A:$J,MATCH('index match'!$A157,'ECOMMERS SALES'!$C:$C,0),MATCH('index match'!C$1,ECOMMERS_SALES[#Headers],0))</f>
        <v>07-01-2025</v>
      </c>
      <c r="D157" t="str">
        <f>INDEX('ECOMMERS SALES'!$A:$J,MATCH('index match'!$A157,'ECOMMERS SALES'!$C:$C,0),MATCH('index match'!D$1,ECOMMERS_SALES[#Headers],0))</f>
        <v>Electronics</v>
      </c>
      <c r="E157">
        <f>INDEX('ECOMMERS SALES'!$A:$J,MATCH('index match'!$A157,'ECOMMERS SALES'!$C:$C,0),MATCH('index match'!E$1,ECOMMERS_SALES[#Headers],0))</f>
        <v>1</v>
      </c>
      <c r="F157">
        <f>INDEX('ECOMMERS SALES'!$A:$J,MATCH('index match'!$A157,'ECOMMERS SALES'!$C:$C,0),MATCH('index match'!F$1,ECOMMERS_SALES[#Headers],0))</f>
        <v>13225</v>
      </c>
      <c r="G157">
        <f>INDEX('ECOMMERS SALES'!$A:$J,MATCH('index match'!$A157,'ECOMMERS SALES'!$C:$C,0),MATCH('index match'!G$1,ECOMMERS_SALES[#Headers],0))</f>
        <v>13225</v>
      </c>
      <c r="H157" t="str">
        <f>INDEX('ECOMMERS SALES'!$A:$J,MATCH('index match'!$A157,'ECOMMERS SALES'!$C:$C,0),MATCH('index match'!H$1,ECOMMERS_SALES[#Headers],0))</f>
        <v>Delhi</v>
      </c>
      <c r="I157" t="str">
        <f>INDEX('ECOMMERS SALES'!$A:$J,MATCH('index match'!$A157,'ECOMMERS SALES'!$C:$C,0),MATCH('index match'!I$1,ECOMMERS_SALES[#Headers],0))</f>
        <v>Returning</v>
      </c>
      <c r="J157" t="str">
        <f>INDEX('ECOMMERS SALES'!$A:$J,MATCH('index match'!$A157,'ECOMMERS SALES'!$C:$C,0),MATCH('index match'!J$1,ECOMMERS_SALES[#Headers],0))</f>
        <v>COD</v>
      </c>
    </row>
    <row r="158" spans="1:10" x14ac:dyDescent="0.35">
      <c r="A158" t="s">
        <v>35</v>
      </c>
      <c r="B158">
        <f>INDEX('ECOMMERS SALES'!$A:$J,MATCH('index match'!$A158,'ECOMMERS SALES'!$C:$C,0),MATCH('index match'!B$1,ECOMMERS_SALES[#Headers],0))</f>
        <v>1007</v>
      </c>
      <c r="C158" t="str">
        <f>INDEX('ECOMMERS SALES'!$A:$J,MATCH('index match'!$A158,'ECOMMERS SALES'!$C:$C,0),MATCH('index match'!C$1,ECOMMERS_SALES[#Headers],0))</f>
        <v>08-01-2025</v>
      </c>
      <c r="D158" t="str">
        <f>INDEX('ECOMMERS SALES'!$A:$J,MATCH('index match'!$A158,'ECOMMERS SALES'!$C:$C,0),MATCH('index match'!D$1,ECOMMERS_SALES[#Headers],0))</f>
        <v>Books</v>
      </c>
      <c r="E158">
        <f>INDEX('ECOMMERS SALES'!$A:$J,MATCH('index match'!$A158,'ECOMMERS SALES'!$C:$C,0),MATCH('index match'!E$1,ECOMMERS_SALES[#Headers],0))</f>
        <v>3</v>
      </c>
      <c r="F158">
        <f>INDEX('ECOMMERS SALES'!$A:$J,MATCH('index match'!$A158,'ECOMMERS SALES'!$C:$C,0),MATCH('index match'!F$1,ECOMMERS_SALES[#Headers],0))</f>
        <v>621</v>
      </c>
      <c r="G158">
        <f>INDEX('ECOMMERS SALES'!$A:$J,MATCH('index match'!$A158,'ECOMMERS SALES'!$C:$C,0),MATCH('index match'!G$1,ECOMMERS_SALES[#Headers],0))</f>
        <v>1863</v>
      </c>
      <c r="H158" t="str">
        <f>INDEX('ECOMMERS SALES'!$A:$J,MATCH('index match'!$A158,'ECOMMERS SALES'!$C:$C,0),MATCH('index match'!H$1,ECOMMERS_SALES[#Headers],0))</f>
        <v>Hyderabad</v>
      </c>
      <c r="I158" t="str">
        <f>INDEX('ECOMMERS SALES'!$A:$J,MATCH('index match'!$A158,'ECOMMERS SALES'!$C:$C,0),MATCH('index match'!I$1,ECOMMERS_SALES[#Headers],0))</f>
        <v>Premimum</v>
      </c>
      <c r="J158" t="str">
        <f>INDEX('ECOMMERS SALES'!$A:$J,MATCH('index match'!$A158,'ECOMMERS SALES'!$C:$C,0),MATCH('index match'!J$1,ECOMMERS_SALES[#Headers],0))</f>
        <v>UPI</v>
      </c>
    </row>
    <row r="159" spans="1:10" x14ac:dyDescent="0.35">
      <c r="A159" t="s">
        <v>39</v>
      </c>
      <c r="B159">
        <f>INDEX('ECOMMERS SALES'!$A:$J,MATCH('index match'!$A159,'ECOMMERS SALES'!$C:$C,0),MATCH('index match'!B$1,ECOMMERS_SALES[#Headers],0))</f>
        <v>1008</v>
      </c>
      <c r="C159" t="str">
        <f>INDEX('ECOMMERS SALES'!$A:$J,MATCH('index match'!$A159,'ECOMMERS SALES'!$C:$C,0),MATCH('index match'!C$1,ECOMMERS_SALES[#Headers],0))</f>
        <v>09-01-2025</v>
      </c>
      <c r="D159" t="str">
        <f>INDEX('ECOMMERS SALES'!$A:$J,MATCH('index match'!$A159,'ECOMMERS SALES'!$C:$C,0),MATCH('index match'!D$1,ECOMMERS_SALES[#Headers],0))</f>
        <v>Fashion</v>
      </c>
      <c r="E159">
        <f>INDEX('ECOMMERS SALES'!$A:$J,MATCH('index match'!$A159,'ECOMMERS SALES'!$C:$C,0),MATCH('index match'!E$1,ECOMMERS_SALES[#Headers],0))</f>
        <v>2</v>
      </c>
      <c r="F159">
        <f>INDEX('ECOMMERS SALES'!$A:$J,MATCH('index match'!$A159,'ECOMMERS SALES'!$C:$C,0),MATCH('index match'!F$1,ECOMMERS_SALES[#Headers],0))</f>
        <v>905</v>
      </c>
      <c r="G159">
        <f>INDEX('ECOMMERS SALES'!$A:$J,MATCH('index match'!$A159,'ECOMMERS SALES'!$C:$C,0),MATCH('index match'!G$1,ECOMMERS_SALES[#Headers],0))</f>
        <v>1810</v>
      </c>
      <c r="H159" t="str">
        <f>INDEX('ECOMMERS SALES'!$A:$J,MATCH('index match'!$A159,'ECOMMERS SALES'!$C:$C,0),MATCH('index match'!H$1,ECOMMERS_SALES[#Headers],0))</f>
        <v>Bangalore</v>
      </c>
      <c r="I159" t="str">
        <f>INDEX('ECOMMERS SALES'!$A:$J,MATCH('index match'!$A159,'ECOMMERS SALES'!$C:$C,0),MATCH('index match'!I$1,ECOMMERS_SALES[#Headers],0))</f>
        <v>New</v>
      </c>
      <c r="J159" t="str">
        <f>INDEX('ECOMMERS SALES'!$A:$J,MATCH('index match'!$A159,'ECOMMERS SALES'!$C:$C,0),MATCH('index match'!J$1,ECOMMERS_SALES[#Headers],0))</f>
        <v>COD</v>
      </c>
    </row>
    <row r="160" spans="1:10" x14ac:dyDescent="0.35">
      <c r="A160" t="s">
        <v>42</v>
      </c>
      <c r="B160">
        <f>INDEX('ECOMMERS SALES'!$A:$J,MATCH('index match'!$A160,'ECOMMERS SALES'!$C:$C,0),MATCH('index match'!B$1,ECOMMERS_SALES[#Headers],0))</f>
        <v>1009</v>
      </c>
      <c r="C160" t="str">
        <f>INDEX('ECOMMERS SALES'!$A:$J,MATCH('index match'!$A160,'ECOMMERS SALES'!$C:$C,0),MATCH('index match'!C$1,ECOMMERS_SALES[#Headers],0))</f>
        <v>10-01-2025</v>
      </c>
      <c r="D160" t="str">
        <f>INDEX('ECOMMERS SALES'!$A:$J,MATCH('index match'!$A160,'ECOMMERS SALES'!$C:$C,0),MATCH('index match'!D$1,ECOMMERS_SALES[#Headers],0))</f>
        <v>Electronics</v>
      </c>
      <c r="E160">
        <f>INDEX('ECOMMERS SALES'!$A:$J,MATCH('index match'!$A160,'ECOMMERS SALES'!$C:$C,0),MATCH('index match'!E$1,ECOMMERS_SALES[#Headers],0))</f>
        <v>1</v>
      </c>
      <c r="F160">
        <f>INDEX('ECOMMERS SALES'!$A:$J,MATCH('index match'!$A160,'ECOMMERS SALES'!$C:$C,0),MATCH('index match'!F$1,ECOMMERS_SALES[#Headers],0))</f>
        <v>8563</v>
      </c>
      <c r="G160">
        <f>INDEX('ECOMMERS SALES'!$A:$J,MATCH('index match'!$A160,'ECOMMERS SALES'!$C:$C,0),MATCH('index match'!G$1,ECOMMERS_SALES[#Headers],0))</f>
        <v>8563</v>
      </c>
      <c r="H160" t="str">
        <f>INDEX('ECOMMERS SALES'!$A:$J,MATCH('index match'!$A160,'ECOMMERS SALES'!$C:$C,0),MATCH('index match'!H$1,ECOMMERS_SALES[#Headers],0))</f>
        <v>Hyderabad</v>
      </c>
      <c r="I160" t="str">
        <f>INDEX('ECOMMERS SALES'!$A:$J,MATCH('index match'!$A160,'ECOMMERS SALES'!$C:$C,0),MATCH('index match'!I$1,ECOMMERS_SALES[#Headers],0))</f>
        <v>Returning</v>
      </c>
      <c r="J160" t="str">
        <f>INDEX('ECOMMERS SALES'!$A:$J,MATCH('index match'!$A160,'ECOMMERS SALES'!$C:$C,0),MATCH('index match'!J$1,ECOMMERS_SALES[#Headers],0))</f>
        <v>Card</v>
      </c>
    </row>
    <row r="161" spans="1:10" x14ac:dyDescent="0.35">
      <c r="A161" t="s">
        <v>44</v>
      </c>
      <c r="B161">
        <f>INDEX('ECOMMERS SALES'!$A:$J,MATCH('index match'!$A161,'ECOMMERS SALES'!$C:$C,0),MATCH('index match'!B$1,ECOMMERS_SALES[#Headers],0))</f>
        <v>1010</v>
      </c>
      <c r="C161" t="str">
        <f>INDEX('ECOMMERS SALES'!$A:$J,MATCH('index match'!$A161,'ECOMMERS SALES'!$C:$C,0),MATCH('index match'!C$1,ECOMMERS_SALES[#Headers],0))</f>
        <v>11-01-2025</v>
      </c>
      <c r="D161" t="str">
        <f>INDEX('ECOMMERS SALES'!$A:$J,MATCH('index match'!$A161,'ECOMMERS SALES'!$C:$C,0),MATCH('index match'!D$1,ECOMMERS_SALES[#Headers],0))</f>
        <v>Other</v>
      </c>
      <c r="E161">
        <f>INDEX('ECOMMERS SALES'!$A:$J,MATCH('index match'!$A161,'ECOMMERS SALES'!$C:$C,0),MATCH('index match'!E$1,ECOMMERS_SALES[#Headers],0))</f>
        <v>1</v>
      </c>
      <c r="F161">
        <f>INDEX('ECOMMERS SALES'!$A:$J,MATCH('index match'!$A161,'ECOMMERS SALES'!$C:$C,0),MATCH('index match'!F$1,ECOMMERS_SALES[#Headers],0))</f>
        <v>268</v>
      </c>
      <c r="G161">
        <f>INDEX('ECOMMERS SALES'!$A:$J,MATCH('index match'!$A161,'ECOMMERS SALES'!$C:$C,0),MATCH('index match'!G$1,ECOMMERS_SALES[#Headers],0))</f>
        <v>268</v>
      </c>
      <c r="H161" t="str">
        <f>INDEX('ECOMMERS SALES'!$A:$J,MATCH('index match'!$A161,'ECOMMERS SALES'!$C:$C,0),MATCH('index match'!H$1,ECOMMERS_SALES[#Headers],0))</f>
        <v>Chennai</v>
      </c>
      <c r="I161" t="str">
        <f>INDEX('ECOMMERS SALES'!$A:$J,MATCH('index match'!$A161,'ECOMMERS SALES'!$C:$C,0),MATCH('index match'!I$1,ECOMMERS_SALES[#Headers],0))</f>
        <v>New</v>
      </c>
      <c r="J161" t="str">
        <f>INDEX('ECOMMERS SALES'!$A:$J,MATCH('index match'!$A161,'ECOMMERS SALES'!$C:$C,0),MATCH('index match'!J$1,ECOMMERS_SALES[#Headers],0))</f>
        <v>UPI</v>
      </c>
    </row>
    <row r="162" spans="1:10" x14ac:dyDescent="0.35">
      <c r="A162" t="s">
        <v>11</v>
      </c>
      <c r="B162">
        <f>INDEX('ECOMMERS SALES'!$A:$J,MATCH('index match'!$A162,'ECOMMERS SALES'!$C:$C,0),MATCH('index match'!B$1,ECOMMERS_SALES[#Headers],0))</f>
        <v>1001</v>
      </c>
      <c r="C162" t="str">
        <f>INDEX('ECOMMERS SALES'!$A:$J,MATCH('index match'!$A162,'ECOMMERS SALES'!$C:$C,0),MATCH('index match'!C$1,ECOMMERS_SALES[#Headers],0))</f>
        <v>02-01-2025</v>
      </c>
      <c r="D162" t="str">
        <f>INDEX('ECOMMERS SALES'!$A:$J,MATCH('index match'!$A162,'ECOMMERS SALES'!$C:$C,0),MATCH('index match'!D$1,ECOMMERS_SALES[#Headers],0))</f>
        <v>Electronics</v>
      </c>
      <c r="E162">
        <f>INDEX('ECOMMERS SALES'!$A:$J,MATCH('index match'!$A162,'ECOMMERS SALES'!$C:$C,0),MATCH('index match'!E$1,ECOMMERS_SALES[#Headers],0))</f>
        <v>2</v>
      </c>
      <c r="F162">
        <f>INDEX('ECOMMERS SALES'!$A:$J,MATCH('index match'!$A162,'ECOMMERS SALES'!$C:$C,0),MATCH('index match'!F$1,ECOMMERS_SALES[#Headers],0))</f>
        <v>50353</v>
      </c>
      <c r="G162">
        <f>INDEX('ECOMMERS SALES'!$A:$J,MATCH('index match'!$A162,'ECOMMERS SALES'!$C:$C,0),MATCH('index match'!G$1,ECOMMERS_SALES[#Headers],0))</f>
        <v>100706</v>
      </c>
      <c r="H162" t="str">
        <f>INDEX('ECOMMERS SALES'!$A:$J,MATCH('index match'!$A162,'ECOMMERS SALES'!$C:$C,0),MATCH('index match'!H$1,ECOMMERS_SALES[#Headers],0))</f>
        <v>Chennai</v>
      </c>
      <c r="I162" t="str">
        <f>INDEX('ECOMMERS SALES'!$A:$J,MATCH('index match'!$A162,'ECOMMERS SALES'!$C:$C,0),MATCH('index match'!I$1,ECOMMERS_SALES[#Headers],0))</f>
        <v>Premimum</v>
      </c>
      <c r="J162" t="str">
        <f>INDEX('ECOMMERS SALES'!$A:$J,MATCH('index match'!$A162,'ECOMMERS SALES'!$C:$C,0),MATCH('index match'!J$1,ECOMMERS_SALES[#Headers],0))</f>
        <v>Card</v>
      </c>
    </row>
    <row r="163" spans="1:10" x14ac:dyDescent="0.35">
      <c r="A163" t="s">
        <v>17</v>
      </c>
      <c r="B163">
        <f>INDEX('ECOMMERS SALES'!$A:$J,MATCH('index match'!$A163,'ECOMMERS SALES'!$C:$C,0),MATCH('index match'!B$1,ECOMMERS_SALES[#Headers],0))</f>
        <v>1002</v>
      </c>
      <c r="C163" t="str">
        <f>INDEX('ECOMMERS SALES'!$A:$J,MATCH('index match'!$A163,'ECOMMERS SALES'!$C:$C,0),MATCH('index match'!C$1,ECOMMERS_SALES[#Headers],0))</f>
        <v>03-01-2025</v>
      </c>
      <c r="D163" t="str">
        <f>INDEX('ECOMMERS SALES'!$A:$J,MATCH('index match'!$A163,'ECOMMERS SALES'!$C:$C,0),MATCH('index match'!D$1,ECOMMERS_SALES[#Headers],0))</f>
        <v>Electronics</v>
      </c>
      <c r="E163">
        <f>INDEX('ECOMMERS SALES'!$A:$J,MATCH('index match'!$A163,'ECOMMERS SALES'!$C:$C,0),MATCH('index match'!E$1,ECOMMERS_SALES[#Headers],0))</f>
        <v>2</v>
      </c>
      <c r="F163">
        <f>INDEX('ECOMMERS SALES'!$A:$J,MATCH('index match'!$A163,'ECOMMERS SALES'!$C:$C,0),MATCH('index match'!F$1,ECOMMERS_SALES[#Headers],0))</f>
        <v>2008</v>
      </c>
      <c r="G163">
        <f>INDEX('ECOMMERS SALES'!$A:$J,MATCH('index match'!$A163,'ECOMMERS SALES'!$C:$C,0),MATCH('index match'!G$1,ECOMMERS_SALES[#Headers],0))</f>
        <v>4016</v>
      </c>
      <c r="H163" t="str">
        <f>INDEX('ECOMMERS SALES'!$A:$J,MATCH('index match'!$A163,'ECOMMERS SALES'!$C:$C,0),MATCH('index match'!H$1,ECOMMERS_SALES[#Headers],0))</f>
        <v>Delhi</v>
      </c>
      <c r="I163" t="str">
        <f>INDEX('ECOMMERS SALES'!$A:$J,MATCH('index match'!$A163,'ECOMMERS SALES'!$C:$C,0),MATCH('index match'!I$1,ECOMMERS_SALES[#Headers],0))</f>
        <v>New</v>
      </c>
      <c r="J163" t="str">
        <f>INDEX('ECOMMERS SALES'!$A:$J,MATCH('index match'!$A163,'ECOMMERS SALES'!$C:$C,0),MATCH('index match'!J$1,ECOMMERS_SALES[#Headers],0))</f>
        <v>UPI</v>
      </c>
    </row>
    <row r="164" spans="1:10" x14ac:dyDescent="0.35">
      <c r="A164" t="s">
        <v>22</v>
      </c>
      <c r="B164">
        <f>INDEX('ECOMMERS SALES'!$A:$J,MATCH('index match'!$A164,'ECOMMERS SALES'!$C:$C,0),MATCH('index match'!B$1,ECOMMERS_SALES[#Headers],0))</f>
        <v>1003</v>
      </c>
      <c r="C164" t="str">
        <f>INDEX('ECOMMERS SALES'!$A:$J,MATCH('index match'!$A164,'ECOMMERS SALES'!$C:$C,0),MATCH('index match'!C$1,ECOMMERS_SALES[#Headers],0))</f>
        <v>04-01-2025</v>
      </c>
      <c r="D164" t="str">
        <f>INDEX('ECOMMERS SALES'!$A:$J,MATCH('index match'!$A164,'ECOMMERS SALES'!$C:$C,0),MATCH('index match'!D$1,ECOMMERS_SALES[#Headers],0))</f>
        <v>Fashion</v>
      </c>
      <c r="E164">
        <f>INDEX('ECOMMERS SALES'!$A:$J,MATCH('index match'!$A164,'ECOMMERS SALES'!$C:$C,0),MATCH('index match'!E$1,ECOMMERS_SALES[#Headers],0))</f>
        <v>1</v>
      </c>
      <c r="F164">
        <f>INDEX('ECOMMERS SALES'!$A:$J,MATCH('index match'!$A164,'ECOMMERS SALES'!$C:$C,0),MATCH('index match'!F$1,ECOMMERS_SALES[#Headers],0))</f>
        <v>4736</v>
      </c>
      <c r="G164">
        <f>INDEX('ECOMMERS SALES'!$A:$J,MATCH('index match'!$A164,'ECOMMERS SALES'!$C:$C,0),MATCH('index match'!G$1,ECOMMERS_SALES[#Headers],0))</f>
        <v>4736</v>
      </c>
      <c r="H164" t="str">
        <f>INDEX('ECOMMERS SALES'!$A:$J,MATCH('index match'!$A164,'ECOMMERS SALES'!$C:$C,0),MATCH('index match'!H$1,ECOMMERS_SALES[#Headers],0))</f>
        <v>Chennai</v>
      </c>
      <c r="I164" t="str">
        <f>INDEX('ECOMMERS SALES'!$A:$J,MATCH('index match'!$A164,'ECOMMERS SALES'!$C:$C,0),MATCH('index match'!I$1,ECOMMERS_SALES[#Headers],0))</f>
        <v>New</v>
      </c>
      <c r="J164" t="str">
        <f>INDEX('ECOMMERS SALES'!$A:$J,MATCH('index match'!$A164,'ECOMMERS SALES'!$C:$C,0),MATCH('index match'!J$1,ECOMMERS_SALES[#Headers],0))</f>
        <v>UPI</v>
      </c>
    </row>
    <row r="165" spans="1:10" x14ac:dyDescent="0.35">
      <c r="A165" t="s">
        <v>25</v>
      </c>
      <c r="B165">
        <f>INDEX('ECOMMERS SALES'!$A:$J,MATCH('index match'!$A165,'ECOMMERS SALES'!$C:$C,0),MATCH('index match'!B$1,ECOMMERS_SALES[#Headers],0))</f>
        <v>1004</v>
      </c>
      <c r="C165" t="str">
        <f>INDEX('ECOMMERS SALES'!$A:$J,MATCH('index match'!$A165,'ECOMMERS SALES'!$C:$C,0),MATCH('index match'!C$1,ECOMMERS_SALES[#Headers],0))</f>
        <v>05-01-2025</v>
      </c>
      <c r="D165" t="str">
        <f>INDEX('ECOMMERS SALES'!$A:$J,MATCH('index match'!$A165,'ECOMMERS SALES'!$C:$C,0),MATCH('index match'!D$1,ECOMMERS_SALES[#Headers],0))</f>
        <v>Other</v>
      </c>
      <c r="E165">
        <f>INDEX('ECOMMERS SALES'!$A:$J,MATCH('index match'!$A165,'ECOMMERS SALES'!$C:$C,0),MATCH('index match'!E$1,ECOMMERS_SALES[#Headers],0))</f>
        <v>2</v>
      </c>
      <c r="F165">
        <f>INDEX('ECOMMERS SALES'!$A:$J,MATCH('index match'!$A165,'ECOMMERS SALES'!$C:$C,0),MATCH('index match'!F$1,ECOMMERS_SALES[#Headers],0))</f>
        <v>10072</v>
      </c>
      <c r="G165">
        <f>INDEX('ECOMMERS SALES'!$A:$J,MATCH('index match'!$A165,'ECOMMERS SALES'!$C:$C,0),MATCH('index match'!G$1,ECOMMERS_SALES[#Headers],0))</f>
        <v>20144</v>
      </c>
      <c r="H165" t="str">
        <f>INDEX('ECOMMERS SALES'!$A:$J,MATCH('index match'!$A165,'ECOMMERS SALES'!$C:$C,0),MATCH('index match'!H$1,ECOMMERS_SALES[#Headers],0))</f>
        <v>Pune</v>
      </c>
      <c r="I165" t="str">
        <f>INDEX('ECOMMERS SALES'!$A:$J,MATCH('index match'!$A165,'ECOMMERS SALES'!$C:$C,0),MATCH('index match'!I$1,ECOMMERS_SALES[#Headers],0))</f>
        <v>Premimum</v>
      </c>
      <c r="J165" t="str">
        <f>INDEX('ECOMMERS SALES'!$A:$J,MATCH('index match'!$A165,'ECOMMERS SALES'!$C:$C,0),MATCH('index match'!J$1,ECOMMERS_SALES[#Headers],0))</f>
        <v>Card</v>
      </c>
    </row>
    <row r="166" spans="1:10" x14ac:dyDescent="0.35">
      <c r="A166" t="s">
        <v>29</v>
      </c>
      <c r="B166">
        <f>INDEX('ECOMMERS SALES'!$A:$J,MATCH('index match'!$A166,'ECOMMERS SALES'!$C:$C,0),MATCH('index match'!B$1,ECOMMERS_SALES[#Headers],0))</f>
        <v>1005</v>
      </c>
      <c r="C166" t="str">
        <f>INDEX('ECOMMERS SALES'!$A:$J,MATCH('index match'!$A166,'ECOMMERS SALES'!$C:$C,0),MATCH('index match'!C$1,ECOMMERS_SALES[#Headers],0))</f>
        <v>06-01-2025</v>
      </c>
      <c r="D166" t="str">
        <f>INDEX('ECOMMERS SALES'!$A:$J,MATCH('index match'!$A166,'ECOMMERS SALES'!$C:$C,0),MATCH('index match'!D$1,ECOMMERS_SALES[#Headers],0))</f>
        <v>Other</v>
      </c>
      <c r="E166">
        <f>INDEX('ECOMMERS SALES'!$A:$J,MATCH('index match'!$A166,'ECOMMERS SALES'!$C:$C,0),MATCH('index match'!E$1,ECOMMERS_SALES[#Headers],0))</f>
        <v>2</v>
      </c>
      <c r="F166">
        <f>INDEX('ECOMMERS SALES'!$A:$J,MATCH('index match'!$A166,'ECOMMERS SALES'!$C:$C,0),MATCH('index match'!F$1,ECOMMERS_SALES[#Headers],0))</f>
        <v>920</v>
      </c>
      <c r="G166">
        <f>INDEX('ECOMMERS SALES'!$A:$J,MATCH('index match'!$A166,'ECOMMERS SALES'!$C:$C,0),MATCH('index match'!G$1,ECOMMERS_SALES[#Headers],0))</f>
        <v>1840</v>
      </c>
      <c r="H166" t="str">
        <f>INDEX('ECOMMERS SALES'!$A:$J,MATCH('index match'!$A166,'ECOMMERS SALES'!$C:$C,0),MATCH('index match'!H$1,ECOMMERS_SALES[#Headers],0))</f>
        <v>Pune</v>
      </c>
      <c r="I166" t="str">
        <f>INDEX('ECOMMERS SALES'!$A:$J,MATCH('index match'!$A166,'ECOMMERS SALES'!$C:$C,0),MATCH('index match'!I$1,ECOMMERS_SALES[#Headers],0))</f>
        <v>New</v>
      </c>
      <c r="J166" t="str">
        <f>INDEX('ECOMMERS SALES'!$A:$J,MATCH('index match'!$A166,'ECOMMERS SALES'!$C:$C,0),MATCH('index match'!J$1,ECOMMERS_SALES[#Headers],0))</f>
        <v>UPI</v>
      </c>
    </row>
    <row r="167" spans="1:10" x14ac:dyDescent="0.35">
      <c r="A167" t="s">
        <v>31</v>
      </c>
      <c r="B167">
        <f>INDEX('ECOMMERS SALES'!$A:$J,MATCH('index match'!$A167,'ECOMMERS SALES'!$C:$C,0),MATCH('index match'!B$1,ECOMMERS_SALES[#Headers],0))</f>
        <v>1006</v>
      </c>
      <c r="C167" t="str">
        <f>INDEX('ECOMMERS SALES'!$A:$J,MATCH('index match'!$A167,'ECOMMERS SALES'!$C:$C,0),MATCH('index match'!C$1,ECOMMERS_SALES[#Headers],0))</f>
        <v>07-01-2025</v>
      </c>
      <c r="D167" t="str">
        <f>INDEX('ECOMMERS SALES'!$A:$J,MATCH('index match'!$A167,'ECOMMERS SALES'!$C:$C,0),MATCH('index match'!D$1,ECOMMERS_SALES[#Headers],0))</f>
        <v>Electronics</v>
      </c>
      <c r="E167">
        <f>INDEX('ECOMMERS SALES'!$A:$J,MATCH('index match'!$A167,'ECOMMERS SALES'!$C:$C,0),MATCH('index match'!E$1,ECOMMERS_SALES[#Headers],0))</f>
        <v>1</v>
      </c>
      <c r="F167">
        <f>INDEX('ECOMMERS SALES'!$A:$J,MATCH('index match'!$A167,'ECOMMERS SALES'!$C:$C,0),MATCH('index match'!F$1,ECOMMERS_SALES[#Headers],0))</f>
        <v>13225</v>
      </c>
      <c r="G167">
        <f>INDEX('ECOMMERS SALES'!$A:$J,MATCH('index match'!$A167,'ECOMMERS SALES'!$C:$C,0),MATCH('index match'!G$1,ECOMMERS_SALES[#Headers],0))</f>
        <v>13225</v>
      </c>
      <c r="H167" t="str">
        <f>INDEX('ECOMMERS SALES'!$A:$J,MATCH('index match'!$A167,'ECOMMERS SALES'!$C:$C,0),MATCH('index match'!H$1,ECOMMERS_SALES[#Headers],0))</f>
        <v>Delhi</v>
      </c>
      <c r="I167" t="str">
        <f>INDEX('ECOMMERS SALES'!$A:$J,MATCH('index match'!$A167,'ECOMMERS SALES'!$C:$C,0),MATCH('index match'!I$1,ECOMMERS_SALES[#Headers],0))</f>
        <v>Returning</v>
      </c>
      <c r="J167" t="str">
        <f>INDEX('ECOMMERS SALES'!$A:$J,MATCH('index match'!$A167,'ECOMMERS SALES'!$C:$C,0),MATCH('index match'!J$1,ECOMMERS_SALES[#Headers],0))</f>
        <v>COD</v>
      </c>
    </row>
    <row r="168" spans="1:10" x14ac:dyDescent="0.35">
      <c r="A168" t="s">
        <v>35</v>
      </c>
      <c r="B168">
        <f>INDEX('ECOMMERS SALES'!$A:$J,MATCH('index match'!$A168,'ECOMMERS SALES'!$C:$C,0),MATCH('index match'!B$1,ECOMMERS_SALES[#Headers],0))</f>
        <v>1007</v>
      </c>
      <c r="C168" t="str">
        <f>INDEX('ECOMMERS SALES'!$A:$J,MATCH('index match'!$A168,'ECOMMERS SALES'!$C:$C,0),MATCH('index match'!C$1,ECOMMERS_SALES[#Headers],0))</f>
        <v>08-01-2025</v>
      </c>
      <c r="D168" t="str">
        <f>INDEX('ECOMMERS SALES'!$A:$J,MATCH('index match'!$A168,'ECOMMERS SALES'!$C:$C,0),MATCH('index match'!D$1,ECOMMERS_SALES[#Headers],0))</f>
        <v>Books</v>
      </c>
      <c r="E168">
        <f>INDEX('ECOMMERS SALES'!$A:$J,MATCH('index match'!$A168,'ECOMMERS SALES'!$C:$C,0),MATCH('index match'!E$1,ECOMMERS_SALES[#Headers],0))</f>
        <v>3</v>
      </c>
      <c r="F168">
        <f>INDEX('ECOMMERS SALES'!$A:$J,MATCH('index match'!$A168,'ECOMMERS SALES'!$C:$C,0),MATCH('index match'!F$1,ECOMMERS_SALES[#Headers],0))</f>
        <v>621</v>
      </c>
      <c r="G168">
        <f>INDEX('ECOMMERS SALES'!$A:$J,MATCH('index match'!$A168,'ECOMMERS SALES'!$C:$C,0),MATCH('index match'!G$1,ECOMMERS_SALES[#Headers],0))</f>
        <v>1863</v>
      </c>
      <c r="H168" t="str">
        <f>INDEX('ECOMMERS SALES'!$A:$J,MATCH('index match'!$A168,'ECOMMERS SALES'!$C:$C,0),MATCH('index match'!H$1,ECOMMERS_SALES[#Headers],0))</f>
        <v>Hyderabad</v>
      </c>
      <c r="I168" t="str">
        <f>INDEX('ECOMMERS SALES'!$A:$J,MATCH('index match'!$A168,'ECOMMERS SALES'!$C:$C,0),MATCH('index match'!I$1,ECOMMERS_SALES[#Headers],0))</f>
        <v>Premimum</v>
      </c>
      <c r="J168" t="str">
        <f>INDEX('ECOMMERS SALES'!$A:$J,MATCH('index match'!$A168,'ECOMMERS SALES'!$C:$C,0),MATCH('index match'!J$1,ECOMMERS_SALES[#Headers],0))</f>
        <v>UPI</v>
      </c>
    </row>
    <row r="169" spans="1:10" x14ac:dyDescent="0.35">
      <c r="A169" t="s">
        <v>39</v>
      </c>
      <c r="B169">
        <f>INDEX('ECOMMERS SALES'!$A:$J,MATCH('index match'!$A169,'ECOMMERS SALES'!$C:$C,0),MATCH('index match'!B$1,ECOMMERS_SALES[#Headers],0))</f>
        <v>1008</v>
      </c>
      <c r="C169" t="str">
        <f>INDEX('ECOMMERS SALES'!$A:$J,MATCH('index match'!$A169,'ECOMMERS SALES'!$C:$C,0),MATCH('index match'!C$1,ECOMMERS_SALES[#Headers],0))</f>
        <v>09-01-2025</v>
      </c>
      <c r="D169" t="str">
        <f>INDEX('ECOMMERS SALES'!$A:$J,MATCH('index match'!$A169,'ECOMMERS SALES'!$C:$C,0),MATCH('index match'!D$1,ECOMMERS_SALES[#Headers],0))</f>
        <v>Fashion</v>
      </c>
      <c r="E169">
        <f>INDEX('ECOMMERS SALES'!$A:$J,MATCH('index match'!$A169,'ECOMMERS SALES'!$C:$C,0),MATCH('index match'!E$1,ECOMMERS_SALES[#Headers],0))</f>
        <v>2</v>
      </c>
      <c r="F169">
        <f>INDEX('ECOMMERS SALES'!$A:$J,MATCH('index match'!$A169,'ECOMMERS SALES'!$C:$C,0),MATCH('index match'!F$1,ECOMMERS_SALES[#Headers],0))</f>
        <v>905</v>
      </c>
      <c r="G169">
        <f>INDEX('ECOMMERS SALES'!$A:$J,MATCH('index match'!$A169,'ECOMMERS SALES'!$C:$C,0),MATCH('index match'!G$1,ECOMMERS_SALES[#Headers],0))</f>
        <v>1810</v>
      </c>
      <c r="H169" t="str">
        <f>INDEX('ECOMMERS SALES'!$A:$J,MATCH('index match'!$A169,'ECOMMERS SALES'!$C:$C,0),MATCH('index match'!H$1,ECOMMERS_SALES[#Headers],0))</f>
        <v>Bangalore</v>
      </c>
      <c r="I169" t="str">
        <f>INDEX('ECOMMERS SALES'!$A:$J,MATCH('index match'!$A169,'ECOMMERS SALES'!$C:$C,0),MATCH('index match'!I$1,ECOMMERS_SALES[#Headers],0))</f>
        <v>New</v>
      </c>
      <c r="J169" t="str">
        <f>INDEX('ECOMMERS SALES'!$A:$J,MATCH('index match'!$A169,'ECOMMERS SALES'!$C:$C,0),MATCH('index match'!J$1,ECOMMERS_SALES[#Headers],0))</f>
        <v>COD</v>
      </c>
    </row>
    <row r="170" spans="1:10" x14ac:dyDescent="0.35">
      <c r="A170" t="s">
        <v>42</v>
      </c>
      <c r="B170">
        <f>INDEX('ECOMMERS SALES'!$A:$J,MATCH('index match'!$A170,'ECOMMERS SALES'!$C:$C,0),MATCH('index match'!B$1,ECOMMERS_SALES[#Headers],0))</f>
        <v>1009</v>
      </c>
      <c r="C170" t="str">
        <f>INDEX('ECOMMERS SALES'!$A:$J,MATCH('index match'!$A170,'ECOMMERS SALES'!$C:$C,0),MATCH('index match'!C$1,ECOMMERS_SALES[#Headers],0))</f>
        <v>10-01-2025</v>
      </c>
      <c r="D170" t="str">
        <f>INDEX('ECOMMERS SALES'!$A:$J,MATCH('index match'!$A170,'ECOMMERS SALES'!$C:$C,0),MATCH('index match'!D$1,ECOMMERS_SALES[#Headers],0))</f>
        <v>Electronics</v>
      </c>
      <c r="E170">
        <f>INDEX('ECOMMERS SALES'!$A:$J,MATCH('index match'!$A170,'ECOMMERS SALES'!$C:$C,0),MATCH('index match'!E$1,ECOMMERS_SALES[#Headers],0))</f>
        <v>1</v>
      </c>
      <c r="F170">
        <f>INDEX('ECOMMERS SALES'!$A:$J,MATCH('index match'!$A170,'ECOMMERS SALES'!$C:$C,0),MATCH('index match'!F$1,ECOMMERS_SALES[#Headers],0))</f>
        <v>8563</v>
      </c>
      <c r="G170">
        <f>INDEX('ECOMMERS SALES'!$A:$J,MATCH('index match'!$A170,'ECOMMERS SALES'!$C:$C,0),MATCH('index match'!G$1,ECOMMERS_SALES[#Headers],0))</f>
        <v>8563</v>
      </c>
      <c r="H170" t="str">
        <f>INDEX('ECOMMERS SALES'!$A:$J,MATCH('index match'!$A170,'ECOMMERS SALES'!$C:$C,0),MATCH('index match'!H$1,ECOMMERS_SALES[#Headers],0))</f>
        <v>Hyderabad</v>
      </c>
      <c r="I170" t="str">
        <f>INDEX('ECOMMERS SALES'!$A:$J,MATCH('index match'!$A170,'ECOMMERS SALES'!$C:$C,0),MATCH('index match'!I$1,ECOMMERS_SALES[#Headers],0))</f>
        <v>Returning</v>
      </c>
      <c r="J170" t="str">
        <f>INDEX('ECOMMERS SALES'!$A:$J,MATCH('index match'!$A170,'ECOMMERS SALES'!$C:$C,0),MATCH('index match'!J$1,ECOMMERS_SALES[#Headers],0))</f>
        <v>Card</v>
      </c>
    </row>
    <row r="171" spans="1:10" x14ac:dyDescent="0.35">
      <c r="A171" t="s">
        <v>44</v>
      </c>
      <c r="B171">
        <f>INDEX('ECOMMERS SALES'!$A:$J,MATCH('index match'!$A171,'ECOMMERS SALES'!$C:$C,0),MATCH('index match'!B$1,ECOMMERS_SALES[#Headers],0))</f>
        <v>1010</v>
      </c>
      <c r="C171" t="str">
        <f>INDEX('ECOMMERS SALES'!$A:$J,MATCH('index match'!$A171,'ECOMMERS SALES'!$C:$C,0),MATCH('index match'!C$1,ECOMMERS_SALES[#Headers],0))</f>
        <v>11-01-2025</v>
      </c>
      <c r="D171" t="str">
        <f>INDEX('ECOMMERS SALES'!$A:$J,MATCH('index match'!$A171,'ECOMMERS SALES'!$C:$C,0),MATCH('index match'!D$1,ECOMMERS_SALES[#Headers],0))</f>
        <v>Other</v>
      </c>
      <c r="E171">
        <f>INDEX('ECOMMERS SALES'!$A:$J,MATCH('index match'!$A171,'ECOMMERS SALES'!$C:$C,0),MATCH('index match'!E$1,ECOMMERS_SALES[#Headers],0))</f>
        <v>1</v>
      </c>
      <c r="F171">
        <f>INDEX('ECOMMERS SALES'!$A:$J,MATCH('index match'!$A171,'ECOMMERS SALES'!$C:$C,0),MATCH('index match'!F$1,ECOMMERS_SALES[#Headers],0))</f>
        <v>268</v>
      </c>
      <c r="G171">
        <f>INDEX('ECOMMERS SALES'!$A:$J,MATCH('index match'!$A171,'ECOMMERS SALES'!$C:$C,0),MATCH('index match'!G$1,ECOMMERS_SALES[#Headers],0))</f>
        <v>268</v>
      </c>
      <c r="H171" t="str">
        <f>INDEX('ECOMMERS SALES'!$A:$J,MATCH('index match'!$A171,'ECOMMERS SALES'!$C:$C,0),MATCH('index match'!H$1,ECOMMERS_SALES[#Headers],0))</f>
        <v>Chennai</v>
      </c>
      <c r="I171" t="str">
        <f>INDEX('ECOMMERS SALES'!$A:$J,MATCH('index match'!$A171,'ECOMMERS SALES'!$C:$C,0),MATCH('index match'!I$1,ECOMMERS_SALES[#Headers],0))</f>
        <v>New</v>
      </c>
      <c r="J171" t="str">
        <f>INDEX('ECOMMERS SALES'!$A:$J,MATCH('index match'!$A171,'ECOMMERS SALES'!$C:$C,0),MATCH('index match'!J$1,ECOMMERS_SALES[#Headers],0))</f>
        <v>UPI</v>
      </c>
    </row>
    <row r="172" spans="1:10" x14ac:dyDescent="0.35">
      <c r="A172" t="s">
        <v>11</v>
      </c>
      <c r="B172">
        <f>INDEX('ECOMMERS SALES'!$A:$J,MATCH('index match'!$A172,'ECOMMERS SALES'!$C:$C,0),MATCH('index match'!B$1,ECOMMERS_SALES[#Headers],0))</f>
        <v>1001</v>
      </c>
      <c r="C172" t="str">
        <f>INDEX('ECOMMERS SALES'!$A:$J,MATCH('index match'!$A172,'ECOMMERS SALES'!$C:$C,0),MATCH('index match'!C$1,ECOMMERS_SALES[#Headers],0))</f>
        <v>02-01-2025</v>
      </c>
      <c r="D172" t="str">
        <f>INDEX('ECOMMERS SALES'!$A:$J,MATCH('index match'!$A172,'ECOMMERS SALES'!$C:$C,0),MATCH('index match'!D$1,ECOMMERS_SALES[#Headers],0))</f>
        <v>Electronics</v>
      </c>
      <c r="E172">
        <f>INDEX('ECOMMERS SALES'!$A:$J,MATCH('index match'!$A172,'ECOMMERS SALES'!$C:$C,0),MATCH('index match'!E$1,ECOMMERS_SALES[#Headers],0))</f>
        <v>2</v>
      </c>
      <c r="F172">
        <f>INDEX('ECOMMERS SALES'!$A:$J,MATCH('index match'!$A172,'ECOMMERS SALES'!$C:$C,0),MATCH('index match'!F$1,ECOMMERS_SALES[#Headers],0))</f>
        <v>50353</v>
      </c>
      <c r="G172">
        <f>INDEX('ECOMMERS SALES'!$A:$J,MATCH('index match'!$A172,'ECOMMERS SALES'!$C:$C,0),MATCH('index match'!G$1,ECOMMERS_SALES[#Headers],0))</f>
        <v>100706</v>
      </c>
      <c r="H172" t="str">
        <f>INDEX('ECOMMERS SALES'!$A:$J,MATCH('index match'!$A172,'ECOMMERS SALES'!$C:$C,0),MATCH('index match'!H$1,ECOMMERS_SALES[#Headers],0))</f>
        <v>Chennai</v>
      </c>
      <c r="I172" t="str">
        <f>INDEX('ECOMMERS SALES'!$A:$J,MATCH('index match'!$A172,'ECOMMERS SALES'!$C:$C,0),MATCH('index match'!I$1,ECOMMERS_SALES[#Headers],0))</f>
        <v>Premimum</v>
      </c>
      <c r="J172" t="str">
        <f>INDEX('ECOMMERS SALES'!$A:$J,MATCH('index match'!$A172,'ECOMMERS SALES'!$C:$C,0),MATCH('index match'!J$1,ECOMMERS_SALES[#Headers],0))</f>
        <v>Card</v>
      </c>
    </row>
    <row r="173" spans="1:10" x14ac:dyDescent="0.35">
      <c r="A173" t="s">
        <v>17</v>
      </c>
      <c r="B173">
        <f>INDEX('ECOMMERS SALES'!$A:$J,MATCH('index match'!$A173,'ECOMMERS SALES'!$C:$C,0),MATCH('index match'!B$1,ECOMMERS_SALES[#Headers],0))</f>
        <v>1002</v>
      </c>
      <c r="C173" t="str">
        <f>INDEX('ECOMMERS SALES'!$A:$J,MATCH('index match'!$A173,'ECOMMERS SALES'!$C:$C,0),MATCH('index match'!C$1,ECOMMERS_SALES[#Headers],0))</f>
        <v>03-01-2025</v>
      </c>
      <c r="D173" t="str">
        <f>INDEX('ECOMMERS SALES'!$A:$J,MATCH('index match'!$A173,'ECOMMERS SALES'!$C:$C,0),MATCH('index match'!D$1,ECOMMERS_SALES[#Headers],0))</f>
        <v>Electronics</v>
      </c>
      <c r="E173">
        <f>INDEX('ECOMMERS SALES'!$A:$J,MATCH('index match'!$A173,'ECOMMERS SALES'!$C:$C,0),MATCH('index match'!E$1,ECOMMERS_SALES[#Headers],0))</f>
        <v>2</v>
      </c>
      <c r="F173">
        <f>INDEX('ECOMMERS SALES'!$A:$J,MATCH('index match'!$A173,'ECOMMERS SALES'!$C:$C,0),MATCH('index match'!F$1,ECOMMERS_SALES[#Headers],0))</f>
        <v>2008</v>
      </c>
      <c r="G173">
        <f>INDEX('ECOMMERS SALES'!$A:$J,MATCH('index match'!$A173,'ECOMMERS SALES'!$C:$C,0),MATCH('index match'!G$1,ECOMMERS_SALES[#Headers],0))</f>
        <v>4016</v>
      </c>
      <c r="H173" t="str">
        <f>INDEX('ECOMMERS SALES'!$A:$J,MATCH('index match'!$A173,'ECOMMERS SALES'!$C:$C,0),MATCH('index match'!H$1,ECOMMERS_SALES[#Headers],0))</f>
        <v>Delhi</v>
      </c>
      <c r="I173" t="str">
        <f>INDEX('ECOMMERS SALES'!$A:$J,MATCH('index match'!$A173,'ECOMMERS SALES'!$C:$C,0),MATCH('index match'!I$1,ECOMMERS_SALES[#Headers],0))</f>
        <v>New</v>
      </c>
      <c r="J173" t="str">
        <f>INDEX('ECOMMERS SALES'!$A:$J,MATCH('index match'!$A173,'ECOMMERS SALES'!$C:$C,0),MATCH('index match'!J$1,ECOMMERS_SALES[#Headers],0))</f>
        <v>UPI</v>
      </c>
    </row>
    <row r="174" spans="1:10" x14ac:dyDescent="0.35">
      <c r="A174" t="s">
        <v>22</v>
      </c>
      <c r="B174">
        <f>INDEX('ECOMMERS SALES'!$A:$J,MATCH('index match'!$A174,'ECOMMERS SALES'!$C:$C,0),MATCH('index match'!B$1,ECOMMERS_SALES[#Headers],0))</f>
        <v>1003</v>
      </c>
      <c r="C174" t="str">
        <f>INDEX('ECOMMERS SALES'!$A:$J,MATCH('index match'!$A174,'ECOMMERS SALES'!$C:$C,0),MATCH('index match'!C$1,ECOMMERS_SALES[#Headers],0))</f>
        <v>04-01-2025</v>
      </c>
      <c r="D174" t="str">
        <f>INDEX('ECOMMERS SALES'!$A:$J,MATCH('index match'!$A174,'ECOMMERS SALES'!$C:$C,0),MATCH('index match'!D$1,ECOMMERS_SALES[#Headers],0))</f>
        <v>Fashion</v>
      </c>
      <c r="E174">
        <f>INDEX('ECOMMERS SALES'!$A:$J,MATCH('index match'!$A174,'ECOMMERS SALES'!$C:$C,0),MATCH('index match'!E$1,ECOMMERS_SALES[#Headers],0))</f>
        <v>1</v>
      </c>
      <c r="F174">
        <f>INDEX('ECOMMERS SALES'!$A:$J,MATCH('index match'!$A174,'ECOMMERS SALES'!$C:$C,0),MATCH('index match'!F$1,ECOMMERS_SALES[#Headers],0))</f>
        <v>4736</v>
      </c>
      <c r="G174">
        <f>INDEX('ECOMMERS SALES'!$A:$J,MATCH('index match'!$A174,'ECOMMERS SALES'!$C:$C,0),MATCH('index match'!G$1,ECOMMERS_SALES[#Headers],0))</f>
        <v>4736</v>
      </c>
      <c r="H174" t="str">
        <f>INDEX('ECOMMERS SALES'!$A:$J,MATCH('index match'!$A174,'ECOMMERS SALES'!$C:$C,0),MATCH('index match'!H$1,ECOMMERS_SALES[#Headers],0))</f>
        <v>Chennai</v>
      </c>
      <c r="I174" t="str">
        <f>INDEX('ECOMMERS SALES'!$A:$J,MATCH('index match'!$A174,'ECOMMERS SALES'!$C:$C,0),MATCH('index match'!I$1,ECOMMERS_SALES[#Headers],0))</f>
        <v>New</v>
      </c>
      <c r="J174" t="str">
        <f>INDEX('ECOMMERS SALES'!$A:$J,MATCH('index match'!$A174,'ECOMMERS SALES'!$C:$C,0),MATCH('index match'!J$1,ECOMMERS_SALES[#Headers],0))</f>
        <v>UPI</v>
      </c>
    </row>
    <row r="175" spans="1:10" x14ac:dyDescent="0.35">
      <c r="A175" t="s">
        <v>25</v>
      </c>
      <c r="B175">
        <f>INDEX('ECOMMERS SALES'!$A:$J,MATCH('index match'!$A175,'ECOMMERS SALES'!$C:$C,0),MATCH('index match'!B$1,ECOMMERS_SALES[#Headers],0))</f>
        <v>1004</v>
      </c>
      <c r="C175" t="str">
        <f>INDEX('ECOMMERS SALES'!$A:$J,MATCH('index match'!$A175,'ECOMMERS SALES'!$C:$C,0),MATCH('index match'!C$1,ECOMMERS_SALES[#Headers],0))</f>
        <v>05-01-2025</v>
      </c>
      <c r="D175" t="str">
        <f>INDEX('ECOMMERS SALES'!$A:$J,MATCH('index match'!$A175,'ECOMMERS SALES'!$C:$C,0),MATCH('index match'!D$1,ECOMMERS_SALES[#Headers],0))</f>
        <v>Other</v>
      </c>
      <c r="E175">
        <f>INDEX('ECOMMERS SALES'!$A:$J,MATCH('index match'!$A175,'ECOMMERS SALES'!$C:$C,0),MATCH('index match'!E$1,ECOMMERS_SALES[#Headers],0))</f>
        <v>2</v>
      </c>
      <c r="F175">
        <f>INDEX('ECOMMERS SALES'!$A:$J,MATCH('index match'!$A175,'ECOMMERS SALES'!$C:$C,0),MATCH('index match'!F$1,ECOMMERS_SALES[#Headers],0))</f>
        <v>10072</v>
      </c>
      <c r="G175">
        <f>INDEX('ECOMMERS SALES'!$A:$J,MATCH('index match'!$A175,'ECOMMERS SALES'!$C:$C,0),MATCH('index match'!G$1,ECOMMERS_SALES[#Headers],0))</f>
        <v>20144</v>
      </c>
      <c r="H175" t="str">
        <f>INDEX('ECOMMERS SALES'!$A:$J,MATCH('index match'!$A175,'ECOMMERS SALES'!$C:$C,0),MATCH('index match'!H$1,ECOMMERS_SALES[#Headers],0))</f>
        <v>Pune</v>
      </c>
      <c r="I175" t="str">
        <f>INDEX('ECOMMERS SALES'!$A:$J,MATCH('index match'!$A175,'ECOMMERS SALES'!$C:$C,0),MATCH('index match'!I$1,ECOMMERS_SALES[#Headers],0))</f>
        <v>Premimum</v>
      </c>
      <c r="J175" t="str">
        <f>INDEX('ECOMMERS SALES'!$A:$J,MATCH('index match'!$A175,'ECOMMERS SALES'!$C:$C,0),MATCH('index match'!J$1,ECOMMERS_SALES[#Headers],0))</f>
        <v>Card</v>
      </c>
    </row>
    <row r="176" spans="1:10" x14ac:dyDescent="0.35">
      <c r="A176" t="s">
        <v>29</v>
      </c>
      <c r="B176">
        <f>INDEX('ECOMMERS SALES'!$A:$J,MATCH('index match'!$A176,'ECOMMERS SALES'!$C:$C,0),MATCH('index match'!B$1,ECOMMERS_SALES[#Headers],0))</f>
        <v>1005</v>
      </c>
      <c r="C176" t="str">
        <f>INDEX('ECOMMERS SALES'!$A:$J,MATCH('index match'!$A176,'ECOMMERS SALES'!$C:$C,0),MATCH('index match'!C$1,ECOMMERS_SALES[#Headers],0))</f>
        <v>06-01-2025</v>
      </c>
      <c r="D176" t="str">
        <f>INDEX('ECOMMERS SALES'!$A:$J,MATCH('index match'!$A176,'ECOMMERS SALES'!$C:$C,0),MATCH('index match'!D$1,ECOMMERS_SALES[#Headers],0))</f>
        <v>Other</v>
      </c>
      <c r="E176">
        <f>INDEX('ECOMMERS SALES'!$A:$J,MATCH('index match'!$A176,'ECOMMERS SALES'!$C:$C,0),MATCH('index match'!E$1,ECOMMERS_SALES[#Headers],0))</f>
        <v>2</v>
      </c>
      <c r="F176">
        <f>INDEX('ECOMMERS SALES'!$A:$J,MATCH('index match'!$A176,'ECOMMERS SALES'!$C:$C,0),MATCH('index match'!F$1,ECOMMERS_SALES[#Headers],0))</f>
        <v>920</v>
      </c>
      <c r="G176">
        <f>INDEX('ECOMMERS SALES'!$A:$J,MATCH('index match'!$A176,'ECOMMERS SALES'!$C:$C,0),MATCH('index match'!G$1,ECOMMERS_SALES[#Headers],0))</f>
        <v>1840</v>
      </c>
      <c r="H176" t="str">
        <f>INDEX('ECOMMERS SALES'!$A:$J,MATCH('index match'!$A176,'ECOMMERS SALES'!$C:$C,0),MATCH('index match'!H$1,ECOMMERS_SALES[#Headers],0))</f>
        <v>Pune</v>
      </c>
      <c r="I176" t="str">
        <f>INDEX('ECOMMERS SALES'!$A:$J,MATCH('index match'!$A176,'ECOMMERS SALES'!$C:$C,0),MATCH('index match'!I$1,ECOMMERS_SALES[#Headers],0))</f>
        <v>New</v>
      </c>
      <c r="J176" t="str">
        <f>INDEX('ECOMMERS SALES'!$A:$J,MATCH('index match'!$A176,'ECOMMERS SALES'!$C:$C,0),MATCH('index match'!J$1,ECOMMERS_SALES[#Headers],0))</f>
        <v>UPI</v>
      </c>
    </row>
    <row r="177" spans="1:10" x14ac:dyDescent="0.35">
      <c r="A177" t="s">
        <v>31</v>
      </c>
      <c r="B177">
        <f>INDEX('ECOMMERS SALES'!$A:$J,MATCH('index match'!$A177,'ECOMMERS SALES'!$C:$C,0),MATCH('index match'!B$1,ECOMMERS_SALES[#Headers],0))</f>
        <v>1006</v>
      </c>
      <c r="C177" t="str">
        <f>INDEX('ECOMMERS SALES'!$A:$J,MATCH('index match'!$A177,'ECOMMERS SALES'!$C:$C,0),MATCH('index match'!C$1,ECOMMERS_SALES[#Headers],0))</f>
        <v>07-01-2025</v>
      </c>
      <c r="D177" t="str">
        <f>INDEX('ECOMMERS SALES'!$A:$J,MATCH('index match'!$A177,'ECOMMERS SALES'!$C:$C,0),MATCH('index match'!D$1,ECOMMERS_SALES[#Headers],0))</f>
        <v>Electronics</v>
      </c>
      <c r="E177">
        <f>INDEX('ECOMMERS SALES'!$A:$J,MATCH('index match'!$A177,'ECOMMERS SALES'!$C:$C,0),MATCH('index match'!E$1,ECOMMERS_SALES[#Headers],0))</f>
        <v>1</v>
      </c>
      <c r="F177">
        <f>INDEX('ECOMMERS SALES'!$A:$J,MATCH('index match'!$A177,'ECOMMERS SALES'!$C:$C,0),MATCH('index match'!F$1,ECOMMERS_SALES[#Headers],0))</f>
        <v>13225</v>
      </c>
      <c r="G177">
        <f>INDEX('ECOMMERS SALES'!$A:$J,MATCH('index match'!$A177,'ECOMMERS SALES'!$C:$C,0),MATCH('index match'!G$1,ECOMMERS_SALES[#Headers],0))</f>
        <v>13225</v>
      </c>
      <c r="H177" t="str">
        <f>INDEX('ECOMMERS SALES'!$A:$J,MATCH('index match'!$A177,'ECOMMERS SALES'!$C:$C,0),MATCH('index match'!H$1,ECOMMERS_SALES[#Headers],0))</f>
        <v>Delhi</v>
      </c>
      <c r="I177" t="str">
        <f>INDEX('ECOMMERS SALES'!$A:$J,MATCH('index match'!$A177,'ECOMMERS SALES'!$C:$C,0),MATCH('index match'!I$1,ECOMMERS_SALES[#Headers],0))</f>
        <v>Returning</v>
      </c>
      <c r="J177" t="str">
        <f>INDEX('ECOMMERS SALES'!$A:$J,MATCH('index match'!$A177,'ECOMMERS SALES'!$C:$C,0),MATCH('index match'!J$1,ECOMMERS_SALES[#Headers],0))</f>
        <v>COD</v>
      </c>
    </row>
    <row r="178" spans="1:10" x14ac:dyDescent="0.35">
      <c r="A178" t="s">
        <v>35</v>
      </c>
      <c r="B178">
        <f>INDEX('ECOMMERS SALES'!$A:$J,MATCH('index match'!$A178,'ECOMMERS SALES'!$C:$C,0),MATCH('index match'!B$1,ECOMMERS_SALES[#Headers],0))</f>
        <v>1007</v>
      </c>
      <c r="C178" t="str">
        <f>INDEX('ECOMMERS SALES'!$A:$J,MATCH('index match'!$A178,'ECOMMERS SALES'!$C:$C,0),MATCH('index match'!C$1,ECOMMERS_SALES[#Headers],0))</f>
        <v>08-01-2025</v>
      </c>
      <c r="D178" t="str">
        <f>INDEX('ECOMMERS SALES'!$A:$J,MATCH('index match'!$A178,'ECOMMERS SALES'!$C:$C,0),MATCH('index match'!D$1,ECOMMERS_SALES[#Headers],0))</f>
        <v>Books</v>
      </c>
      <c r="E178">
        <f>INDEX('ECOMMERS SALES'!$A:$J,MATCH('index match'!$A178,'ECOMMERS SALES'!$C:$C,0),MATCH('index match'!E$1,ECOMMERS_SALES[#Headers],0))</f>
        <v>3</v>
      </c>
      <c r="F178">
        <f>INDEX('ECOMMERS SALES'!$A:$J,MATCH('index match'!$A178,'ECOMMERS SALES'!$C:$C,0),MATCH('index match'!F$1,ECOMMERS_SALES[#Headers],0))</f>
        <v>621</v>
      </c>
      <c r="G178">
        <f>INDEX('ECOMMERS SALES'!$A:$J,MATCH('index match'!$A178,'ECOMMERS SALES'!$C:$C,0),MATCH('index match'!G$1,ECOMMERS_SALES[#Headers],0))</f>
        <v>1863</v>
      </c>
      <c r="H178" t="str">
        <f>INDEX('ECOMMERS SALES'!$A:$J,MATCH('index match'!$A178,'ECOMMERS SALES'!$C:$C,0),MATCH('index match'!H$1,ECOMMERS_SALES[#Headers],0))</f>
        <v>Hyderabad</v>
      </c>
      <c r="I178" t="str">
        <f>INDEX('ECOMMERS SALES'!$A:$J,MATCH('index match'!$A178,'ECOMMERS SALES'!$C:$C,0),MATCH('index match'!I$1,ECOMMERS_SALES[#Headers],0))</f>
        <v>Premimum</v>
      </c>
      <c r="J178" t="str">
        <f>INDEX('ECOMMERS SALES'!$A:$J,MATCH('index match'!$A178,'ECOMMERS SALES'!$C:$C,0),MATCH('index match'!J$1,ECOMMERS_SALES[#Headers],0))</f>
        <v>UPI</v>
      </c>
    </row>
    <row r="179" spans="1:10" x14ac:dyDescent="0.35">
      <c r="A179" t="s">
        <v>39</v>
      </c>
      <c r="B179">
        <f>INDEX('ECOMMERS SALES'!$A:$J,MATCH('index match'!$A179,'ECOMMERS SALES'!$C:$C,0),MATCH('index match'!B$1,ECOMMERS_SALES[#Headers],0))</f>
        <v>1008</v>
      </c>
      <c r="C179" t="str">
        <f>INDEX('ECOMMERS SALES'!$A:$J,MATCH('index match'!$A179,'ECOMMERS SALES'!$C:$C,0),MATCH('index match'!C$1,ECOMMERS_SALES[#Headers],0))</f>
        <v>09-01-2025</v>
      </c>
      <c r="D179" t="str">
        <f>INDEX('ECOMMERS SALES'!$A:$J,MATCH('index match'!$A179,'ECOMMERS SALES'!$C:$C,0),MATCH('index match'!D$1,ECOMMERS_SALES[#Headers],0))</f>
        <v>Fashion</v>
      </c>
      <c r="E179">
        <f>INDEX('ECOMMERS SALES'!$A:$J,MATCH('index match'!$A179,'ECOMMERS SALES'!$C:$C,0),MATCH('index match'!E$1,ECOMMERS_SALES[#Headers],0))</f>
        <v>2</v>
      </c>
      <c r="F179">
        <f>INDEX('ECOMMERS SALES'!$A:$J,MATCH('index match'!$A179,'ECOMMERS SALES'!$C:$C,0),MATCH('index match'!F$1,ECOMMERS_SALES[#Headers],0))</f>
        <v>905</v>
      </c>
      <c r="G179">
        <f>INDEX('ECOMMERS SALES'!$A:$J,MATCH('index match'!$A179,'ECOMMERS SALES'!$C:$C,0),MATCH('index match'!G$1,ECOMMERS_SALES[#Headers],0))</f>
        <v>1810</v>
      </c>
      <c r="H179" t="str">
        <f>INDEX('ECOMMERS SALES'!$A:$J,MATCH('index match'!$A179,'ECOMMERS SALES'!$C:$C,0),MATCH('index match'!H$1,ECOMMERS_SALES[#Headers],0))</f>
        <v>Bangalore</v>
      </c>
      <c r="I179" t="str">
        <f>INDEX('ECOMMERS SALES'!$A:$J,MATCH('index match'!$A179,'ECOMMERS SALES'!$C:$C,0),MATCH('index match'!I$1,ECOMMERS_SALES[#Headers],0))</f>
        <v>New</v>
      </c>
      <c r="J179" t="str">
        <f>INDEX('ECOMMERS SALES'!$A:$J,MATCH('index match'!$A179,'ECOMMERS SALES'!$C:$C,0),MATCH('index match'!J$1,ECOMMERS_SALES[#Headers],0))</f>
        <v>COD</v>
      </c>
    </row>
    <row r="180" spans="1:10" x14ac:dyDescent="0.35">
      <c r="A180" t="s">
        <v>42</v>
      </c>
      <c r="B180">
        <f>INDEX('ECOMMERS SALES'!$A:$J,MATCH('index match'!$A180,'ECOMMERS SALES'!$C:$C,0),MATCH('index match'!B$1,ECOMMERS_SALES[#Headers],0))</f>
        <v>1009</v>
      </c>
      <c r="C180" t="str">
        <f>INDEX('ECOMMERS SALES'!$A:$J,MATCH('index match'!$A180,'ECOMMERS SALES'!$C:$C,0),MATCH('index match'!C$1,ECOMMERS_SALES[#Headers],0))</f>
        <v>10-01-2025</v>
      </c>
      <c r="D180" t="str">
        <f>INDEX('ECOMMERS SALES'!$A:$J,MATCH('index match'!$A180,'ECOMMERS SALES'!$C:$C,0),MATCH('index match'!D$1,ECOMMERS_SALES[#Headers],0))</f>
        <v>Electronics</v>
      </c>
      <c r="E180">
        <f>INDEX('ECOMMERS SALES'!$A:$J,MATCH('index match'!$A180,'ECOMMERS SALES'!$C:$C,0),MATCH('index match'!E$1,ECOMMERS_SALES[#Headers],0))</f>
        <v>1</v>
      </c>
      <c r="F180">
        <f>INDEX('ECOMMERS SALES'!$A:$J,MATCH('index match'!$A180,'ECOMMERS SALES'!$C:$C,0),MATCH('index match'!F$1,ECOMMERS_SALES[#Headers],0))</f>
        <v>8563</v>
      </c>
      <c r="G180">
        <f>INDEX('ECOMMERS SALES'!$A:$J,MATCH('index match'!$A180,'ECOMMERS SALES'!$C:$C,0),MATCH('index match'!G$1,ECOMMERS_SALES[#Headers],0))</f>
        <v>8563</v>
      </c>
      <c r="H180" t="str">
        <f>INDEX('ECOMMERS SALES'!$A:$J,MATCH('index match'!$A180,'ECOMMERS SALES'!$C:$C,0),MATCH('index match'!H$1,ECOMMERS_SALES[#Headers],0))</f>
        <v>Hyderabad</v>
      </c>
      <c r="I180" t="str">
        <f>INDEX('ECOMMERS SALES'!$A:$J,MATCH('index match'!$A180,'ECOMMERS SALES'!$C:$C,0),MATCH('index match'!I$1,ECOMMERS_SALES[#Headers],0))</f>
        <v>Returning</v>
      </c>
      <c r="J180" t="str">
        <f>INDEX('ECOMMERS SALES'!$A:$J,MATCH('index match'!$A180,'ECOMMERS SALES'!$C:$C,0),MATCH('index match'!J$1,ECOMMERS_SALES[#Headers],0))</f>
        <v>Card</v>
      </c>
    </row>
    <row r="181" spans="1:10" x14ac:dyDescent="0.35">
      <c r="A181" t="s">
        <v>44</v>
      </c>
      <c r="B181">
        <f>INDEX('ECOMMERS SALES'!$A:$J,MATCH('index match'!$A181,'ECOMMERS SALES'!$C:$C,0),MATCH('index match'!B$1,ECOMMERS_SALES[#Headers],0))</f>
        <v>1010</v>
      </c>
      <c r="C181" t="str">
        <f>INDEX('ECOMMERS SALES'!$A:$J,MATCH('index match'!$A181,'ECOMMERS SALES'!$C:$C,0),MATCH('index match'!C$1,ECOMMERS_SALES[#Headers],0))</f>
        <v>11-01-2025</v>
      </c>
      <c r="D181" t="str">
        <f>INDEX('ECOMMERS SALES'!$A:$J,MATCH('index match'!$A181,'ECOMMERS SALES'!$C:$C,0),MATCH('index match'!D$1,ECOMMERS_SALES[#Headers],0))</f>
        <v>Other</v>
      </c>
      <c r="E181">
        <f>INDEX('ECOMMERS SALES'!$A:$J,MATCH('index match'!$A181,'ECOMMERS SALES'!$C:$C,0),MATCH('index match'!E$1,ECOMMERS_SALES[#Headers],0))</f>
        <v>1</v>
      </c>
      <c r="F181">
        <f>INDEX('ECOMMERS SALES'!$A:$J,MATCH('index match'!$A181,'ECOMMERS SALES'!$C:$C,0),MATCH('index match'!F$1,ECOMMERS_SALES[#Headers],0))</f>
        <v>268</v>
      </c>
      <c r="G181">
        <f>INDEX('ECOMMERS SALES'!$A:$J,MATCH('index match'!$A181,'ECOMMERS SALES'!$C:$C,0),MATCH('index match'!G$1,ECOMMERS_SALES[#Headers],0))</f>
        <v>268</v>
      </c>
      <c r="H181" t="str">
        <f>INDEX('ECOMMERS SALES'!$A:$J,MATCH('index match'!$A181,'ECOMMERS SALES'!$C:$C,0),MATCH('index match'!H$1,ECOMMERS_SALES[#Headers],0))</f>
        <v>Chennai</v>
      </c>
      <c r="I181" t="str">
        <f>INDEX('ECOMMERS SALES'!$A:$J,MATCH('index match'!$A181,'ECOMMERS SALES'!$C:$C,0),MATCH('index match'!I$1,ECOMMERS_SALES[#Headers],0))</f>
        <v>New</v>
      </c>
      <c r="J181" t="str">
        <f>INDEX('ECOMMERS SALES'!$A:$J,MATCH('index match'!$A181,'ECOMMERS SALES'!$C:$C,0),MATCH('index match'!J$1,ECOMMERS_SALES[#Headers],0))</f>
        <v>UPI</v>
      </c>
    </row>
    <row r="182" spans="1:10" x14ac:dyDescent="0.35">
      <c r="A182" t="s">
        <v>11</v>
      </c>
      <c r="B182">
        <f>INDEX('ECOMMERS SALES'!$A:$J,MATCH('index match'!$A182,'ECOMMERS SALES'!$C:$C,0),MATCH('index match'!B$1,ECOMMERS_SALES[#Headers],0))</f>
        <v>1001</v>
      </c>
      <c r="C182" t="str">
        <f>INDEX('ECOMMERS SALES'!$A:$J,MATCH('index match'!$A182,'ECOMMERS SALES'!$C:$C,0),MATCH('index match'!C$1,ECOMMERS_SALES[#Headers],0))</f>
        <v>02-01-2025</v>
      </c>
      <c r="D182" t="str">
        <f>INDEX('ECOMMERS SALES'!$A:$J,MATCH('index match'!$A182,'ECOMMERS SALES'!$C:$C,0),MATCH('index match'!D$1,ECOMMERS_SALES[#Headers],0))</f>
        <v>Electronics</v>
      </c>
      <c r="E182">
        <f>INDEX('ECOMMERS SALES'!$A:$J,MATCH('index match'!$A182,'ECOMMERS SALES'!$C:$C,0),MATCH('index match'!E$1,ECOMMERS_SALES[#Headers],0))</f>
        <v>2</v>
      </c>
      <c r="F182">
        <f>INDEX('ECOMMERS SALES'!$A:$J,MATCH('index match'!$A182,'ECOMMERS SALES'!$C:$C,0),MATCH('index match'!F$1,ECOMMERS_SALES[#Headers],0))</f>
        <v>50353</v>
      </c>
      <c r="G182">
        <f>INDEX('ECOMMERS SALES'!$A:$J,MATCH('index match'!$A182,'ECOMMERS SALES'!$C:$C,0),MATCH('index match'!G$1,ECOMMERS_SALES[#Headers],0))</f>
        <v>100706</v>
      </c>
      <c r="H182" t="str">
        <f>INDEX('ECOMMERS SALES'!$A:$J,MATCH('index match'!$A182,'ECOMMERS SALES'!$C:$C,0),MATCH('index match'!H$1,ECOMMERS_SALES[#Headers],0))</f>
        <v>Chennai</v>
      </c>
      <c r="I182" t="str">
        <f>INDEX('ECOMMERS SALES'!$A:$J,MATCH('index match'!$A182,'ECOMMERS SALES'!$C:$C,0),MATCH('index match'!I$1,ECOMMERS_SALES[#Headers],0))</f>
        <v>Premimum</v>
      </c>
      <c r="J182" t="str">
        <f>INDEX('ECOMMERS SALES'!$A:$J,MATCH('index match'!$A182,'ECOMMERS SALES'!$C:$C,0),MATCH('index match'!J$1,ECOMMERS_SALES[#Headers],0))</f>
        <v>Card</v>
      </c>
    </row>
    <row r="183" spans="1:10" x14ac:dyDescent="0.35">
      <c r="A183" t="s">
        <v>17</v>
      </c>
      <c r="B183">
        <f>INDEX('ECOMMERS SALES'!$A:$J,MATCH('index match'!$A183,'ECOMMERS SALES'!$C:$C,0),MATCH('index match'!B$1,ECOMMERS_SALES[#Headers],0))</f>
        <v>1002</v>
      </c>
      <c r="C183" t="str">
        <f>INDEX('ECOMMERS SALES'!$A:$J,MATCH('index match'!$A183,'ECOMMERS SALES'!$C:$C,0),MATCH('index match'!C$1,ECOMMERS_SALES[#Headers],0))</f>
        <v>03-01-2025</v>
      </c>
      <c r="D183" t="str">
        <f>INDEX('ECOMMERS SALES'!$A:$J,MATCH('index match'!$A183,'ECOMMERS SALES'!$C:$C,0),MATCH('index match'!D$1,ECOMMERS_SALES[#Headers],0))</f>
        <v>Electronics</v>
      </c>
      <c r="E183">
        <f>INDEX('ECOMMERS SALES'!$A:$J,MATCH('index match'!$A183,'ECOMMERS SALES'!$C:$C,0),MATCH('index match'!E$1,ECOMMERS_SALES[#Headers],0))</f>
        <v>2</v>
      </c>
      <c r="F183">
        <f>INDEX('ECOMMERS SALES'!$A:$J,MATCH('index match'!$A183,'ECOMMERS SALES'!$C:$C,0),MATCH('index match'!F$1,ECOMMERS_SALES[#Headers],0))</f>
        <v>2008</v>
      </c>
      <c r="G183">
        <f>INDEX('ECOMMERS SALES'!$A:$J,MATCH('index match'!$A183,'ECOMMERS SALES'!$C:$C,0),MATCH('index match'!G$1,ECOMMERS_SALES[#Headers],0))</f>
        <v>4016</v>
      </c>
      <c r="H183" t="str">
        <f>INDEX('ECOMMERS SALES'!$A:$J,MATCH('index match'!$A183,'ECOMMERS SALES'!$C:$C,0),MATCH('index match'!H$1,ECOMMERS_SALES[#Headers],0))</f>
        <v>Delhi</v>
      </c>
      <c r="I183" t="str">
        <f>INDEX('ECOMMERS SALES'!$A:$J,MATCH('index match'!$A183,'ECOMMERS SALES'!$C:$C,0),MATCH('index match'!I$1,ECOMMERS_SALES[#Headers],0))</f>
        <v>New</v>
      </c>
      <c r="J183" t="str">
        <f>INDEX('ECOMMERS SALES'!$A:$J,MATCH('index match'!$A183,'ECOMMERS SALES'!$C:$C,0),MATCH('index match'!J$1,ECOMMERS_SALES[#Headers],0))</f>
        <v>UPI</v>
      </c>
    </row>
    <row r="184" spans="1:10" x14ac:dyDescent="0.35">
      <c r="A184" t="s">
        <v>22</v>
      </c>
      <c r="B184">
        <f>INDEX('ECOMMERS SALES'!$A:$J,MATCH('index match'!$A184,'ECOMMERS SALES'!$C:$C,0),MATCH('index match'!B$1,ECOMMERS_SALES[#Headers],0))</f>
        <v>1003</v>
      </c>
      <c r="C184" t="str">
        <f>INDEX('ECOMMERS SALES'!$A:$J,MATCH('index match'!$A184,'ECOMMERS SALES'!$C:$C,0),MATCH('index match'!C$1,ECOMMERS_SALES[#Headers],0))</f>
        <v>04-01-2025</v>
      </c>
      <c r="D184" t="str">
        <f>INDEX('ECOMMERS SALES'!$A:$J,MATCH('index match'!$A184,'ECOMMERS SALES'!$C:$C,0),MATCH('index match'!D$1,ECOMMERS_SALES[#Headers],0))</f>
        <v>Fashion</v>
      </c>
      <c r="E184">
        <f>INDEX('ECOMMERS SALES'!$A:$J,MATCH('index match'!$A184,'ECOMMERS SALES'!$C:$C,0),MATCH('index match'!E$1,ECOMMERS_SALES[#Headers],0))</f>
        <v>1</v>
      </c>
      <c r="F184">
        <f>INDEX('ECOMMERS SALES'!$A:$J,MATCH('index match'!$A184,'ECOMMERS SALES'!$C:$C,0),MATCH('index match'!F$1,ECOMMERS_SALES[#Headers],0))</f>
        <v>4736</v>
      </c>
      <c r="G184">
        <f>INDEX('ECOMMERS SALES'!$A:$J,MATCH('index match'!$A184,'ECOMMERS SALES'!$C:$C,0),MATCH('index match'!G$1,ECOMMERS_SALES[#Headers],0))</f>
        <v>4736</v>
      </c>
      <c r="H184" t="str">
        <f>INDEX('ECOMMERS SALES'!$A:$J,MATCH('index match'!$A184,'ECOMMERS SALES'!$C:$C,0),MATCH('index match'!H$1,ECOMMERS_SALES[#Headers],0))</f>
        <v>Chennai</v>
      </c>
      <c r="I184" t="str">
        <f>INDEX('ECOMMERS SALES'!$A:$J,MATCH('index match'!$A184,'ECOMMERS SALES'!$C:$C,0),MATCH('index match'!I$1,ECOMMERS_SALES[#Headers],0))</f>
        <v>New</v>
      </c>
      <c r="J184" t="str">
        <f>INDEX('ECOMMERS SALES'!$A:$J,MATCH('index match'!$A184,'ECOMMERS SALES'!$C:$C,0),MATCH('index match'!J$1,ECOMMERS_SALES[#Headers],0))</f>
        <v>UPI</v>
      </c>
    </row>
    <row r="185" spans="1:10" x14ac:dyDescent="0.35">
      <c r="A185" t="s">
        <v>25</v>
      </c>
      <c r="B185">
        <f>INDEX('ECOMMERS SALES'!$A:$J,MATCH('index match'!$A185,'ECOMMERS SALES'!$C:$C,0),MATCH('index match'!B$1,ECOMMERS_SALES[#Headers],0))</f>
        <v>1004</v>
      </c>
      <c r="C185" t="str">
        <f>INDEX('ECOMMERS SALES'!$A:$J,MATCH('index match'!$A185,'ECOMMERS SALES'!$C:$C,0),MATCH('index match'!C$1,ECOMMERS_SALES[#Headers],0))</f>
        <v>05-01-2025</v>
      </c>
      <c r="D185" t="str">
        <f>INDEX('ECOMMERS SALES'!$A:$J,MATCH('index match'!$A185,'ECOMMERS SALES'!$C:$C,0),MATCH('index match'!D$1,ECOMMERS_SALES[#Headers],0))</f>
        <v>Other</v>
      </c>
      <c r="E185">
        <f>INDEX('ECOMMERS SALES'!$A:$J,MATCH('index match'!$A185,'ECOMMERS SALES'!$C:$C,0),MATCH('index match'!E$1,ECOMMERS_SALES[#Headers],0))</f>
        <v>2</v>
      </c>
      <c r="F185">
        <f>INDEX('ECOMMERS SALES'!$A:$J,MATCH('index match'!$A185,'ECOMMERS SALES'!$C:$C,0),MATCH('index match'!F$1,ECOMMERS_SALES[#Headers],0))</f>
        <v>10072</v>
      </c>
      <c r="G185">
        <f>INDEX('ECOMMERS SALES'!$A:$J,MATCH('index match'!$A185,'ECOMMERS SALES'!$C:$C,0),MATCH('index match'!G$1,ECOMMERS_SALES[#Headers],0))</f>
        <v>20144</v>
      </c>
      <c r="H185" t="str">
        <f>INDEX('ECOMMERS SALES'!$A:$J,MATCH('index match'!$A185,'ECOMMERS SALES'!$C:$C,0),MATCH('index match'!H$1,ECOMMERS_SALES[#Headers],0))</f>
        <v>Pune</v>
      </c>
      <c r="I185" t="str">
        <f>INDEX('ECOMMERS SALES'!$A:$J,MATCH('index match'!$A185,'ECOMMERS SALES'!$C:$C,0),MATCH('index match'!I$1,ECOMMERS_SALES[#Headers],0))</f>
        <v>Premimum</v>
      </c>
      <c r="J185" t="str">
        <f>INDEX('ECOMMERS SALES'!$A:$J,MATCH('index match'!$A185,'ECOMMERS SALES'!$C:$C,0),MATCH('index match'!J$1,ECOMMERS_SALES[#Headers],0))</f>
        <v>Card</v>
      </c>
    </row>
    <row r="186" spans="1:10" x14ac:dyDescent="0.35">
      <c r="A186" t="s">
        <v>29</v>
      </c>
      <c r="B186">
        <f>INDEX('ECOMMERS SALES'!$A:$J,MATCH('index match'!$A186,'ECOMMERS SALES'!$C:$C,0),MATCH('index match'!B$1,ECOMMERS_SALES[#Headers],0))</f>
        <v>1005</v>
      </c>
      <c r="C186" t="str">
        <f>INDEX('ECOMMERS SALES'!$A:$J,MATCH('index match'!$A186,'ECOMMERS SALES'!$C:$C,0),MATCH('index match'!C$1,ECOMMERS_SALES[#Headers],0))</f>
        <v>06-01-2025</v>
      </c>
      <c r="D186" t="str">
        <f>INDEX('ECOMMERS SALES'!$A:$J,MATCH('index match'!$A186,'ECOMMERS SALES'!$C:$C,0),MATCH('index match'!D$1,ECOMMERS_SALES[#Headers],0))</f>
        <v>Other</v>
      </c>
      <c r="E186">
        <f>INDEX('ECOMMERS SALES'!$A:$J,MATCH('index match'!$A186,'ECOMMERS SALES'!$C:$C,0),MATCH('index match'!E$1,ECOMMERS_SALES[#Headers],0))</f>
        <v>2</v>
      </c>
      <c r="F186">
        <f>INDEX('ECOMMERS SALES'!$A:$J,MATCH('index match'!$A186,'ECOMMERS SALES'!$C:$C,0),MATCH('index match'!F$1,ECOMMERS_SALES[#Headers],0))</f>
        <v>920</v>
      </c>
      <c r="G186">
        <f>INDEX('ECOMMERS SALES'!$A:$J,MATCH('index match'!$A186,'ECOMMERS SALES'!$C:$C,0),MATCH('index match'!G$1,ECOMMERS_SALES[#Headers],0))</f>
        <v>1840</v>
      </c>
      <c r="H186" t="str">
        <f>INDEX('ECOMMERS SALES'!$A:$J,MATCH('index match'!$A186,'ECOMMERS SALES'!$C:$C,0),MATCH('index match'!H$1,ECOMMERS_SALES[#Headers],0))</f>
        <v>Pune</v>
      </c>
      <c r="I186" t="str">
        <f>INDEX('ECOMMERS SALES'!$A:$J,MATCH('index match'!$A186,'ECOMMERS SALES'!$C:$C,0),MATCH('index match'!I$1,ECOMMERS_SALES[#Headers],0))</f>
        <v>New</v>
      </c>
      <c r="J186" t="str">
        <f>INDEX('ECOMMERS SALES'!$A:$J,MATCH('index match'!$A186,'ECOMMERS SALES'!$C:$C,0),MATCH('index match'!J$1,ECOMMERS_SALES[#Headers],0))</f>
        <v>UPI</v>
      </c>
    </row>
    <row r="187" spans="1:10" x14ac:dyDescent="0.35">
      <c r="A187" t="s">
        <v>31</v>
      </c>
      <c r="B187">
        <f>INDEX('ECOMMERS SALES'!$A:$J,MATCH('index match'!$A187,'ECOMMERS SALES'!$C:$C,0),MATCH('index match'!B$1,ECOMMERS_SALES[#Headers],0))</f>
        <v>1006</v>
      </c>
      <c r="C187" t="str">
        <f>INDEX('ECOMMERS SALES'!$A:$J,MATCH('index match'!$A187,'ECOMMERS SALES'!$C:$C,0),MATCH('index match'!C$1,ECOMMERS_SALES[#Headers],0))</f>
        <v>07-01-2025</v>
      </c>
      <c r="D187" t="str">
        <f>INDEX('ECOMMERS SALES'!$A:$J,MATCH('index match'!$A187,'ECOMMERS SALES'!$C:$C,0),MATCH('index match'!D$1,ECOMMERS_SALES[#Headers],0))</f>
        <v>Electronics</v>
      </c>
      <c r="E187">
        <f>INDEX('ECOMMERS SALES'!$A:$J,MATCH('index match'!$A187,'ECOMMERS SALES'!$C:$C,0),MATCH('index match'!E$1,ECOMMERS_SALES[#Headers],0))</f>
        <v>1</v>
      </c>
      <c r="F187">
        <f>INDEX('ECOMMERS SALES'!$A:$J,MATCH('index match'!$A187,'ECOMMERS SALES'!$C:$C,0),MATCH('index match'!F$1,ECOMMERS_SALES[#Headers],0))</f>
        <v>13225</v>
      </c>
      <c r="G187">
        <f>INDEX('ECOMMERS SALES'!$A:$J,MATCH('index match'!$A187,'ECOMMERS SALES'!$C:$C,0),MATCH('index match'!G$1,ECOMMERS_SALES[#Headers],0))</f>
        <v>13225</v>
      </c>
      <c r="H187" t="str">
        <f>INDEX('ECOMMERS SALES'!$A:$J,MATCH('index match'!$A187,'ECOMMERS SALES'!$C:$C,0),MATCH('index match'!H$1,ECOMMERS_SALES[#Headers],0))</f>
        <v>Delhi</v>
      </c>
      <c r="I187" t="str">
        <f>INDEX('ECOMMERS SALES'!$A:$J,MATCH('index match'!$A187,'ECOMMERS SALES'!$C:$C,0),MATCH('index match'!I$1,ECOMMERS_SALES[#Headers],0))</f>
        <v>Returning</v>
      </c>
      <c r="J187" t="str">
        <f>INDEX('ECOMMERS SALES'!$A:$J,MATCH('index match'!$A187,'ECOMMERS SALES'!$C:$C,0),MATCH('index match'!J$1,ECOMMERS_SALES[#Headers],0))</f>
        <v>COD</v>
      </c>
    </row>
    <row r="188" spans="1:10" x14ac:dyDescent="0.35">
      <c r="A188" t="s">
        <v>35</v>
      </c>
      <c r="B188">
        <f>INDEX('ECOMMERS SALES'!$A:$J,MATCH('index match'!$A188,'ECOMMERS SALES'!$C:$C,0),MATCH('index match'!B$1,ECOMMERS_SALES[#Headers],0))</f>
        <v>1007</v>
      </c>
      <c r="C188" t="str">
        <f>INDEX('ECOMMERS SALES'!$A:$J,MATCH('index match'!$A188,'ECOMMERS SALES'!$C:$C,0),MATCH('index match'!C$1,ECOMMERS_SALES[#Headers],0))</f>
        <v>08-01-2025</v>
      </c>
      <c r="D188" t="str">
        <f>INDEX('ECOMMERS SALES'!$A:$J,MATCH('index match'!$A188,'ECOMMERS SALES'!$C:$C,0),MATCH('index match'!D$1,ECOMMERS_SALES[#Headers],0))</f>
        <v>Books</v>
      </c>
      <c r="E188">
        <f>INDEX('ECOMMERS SALES'!$A:$J,MATCH('index match'!$A188,'ECOMMERS SALES'!$C:$C,0),MATCH('index match'!E$1,ECOMMERS_SALES[#Headers],0))</f>
        <v>3</v>
      </c>
      <c r="F188">
        <f>INDEX('ECOMMERS SALES'!$A:$J,MATCH('index match'!$A188,'ECOMMERS SALES'!$C:$C,0),MATCH('index match'!F$1,ECOMMERS_SALES[#Headers],0))</f>
        <v>621</v>
      </c>
      <c r="G188">
        <f>INDEX('ECOMMERS SALES'!$A:$J,MATCH('index match'!$A188,'ECOMMERS SALES'!$C:$C,0),MATCH('index match'!G$1,ECOMMERS_SALES[#Headers],0))</f>
        <v>1863</v>
      </c>
      <c r="H188" t="str">
        <f>INDEX('ECOMMERS SALES'!$A:$J,MATCH('index match'!$A188,'ECOMMERS SALES'!$C:$C,0),MATCH('index match'!H$1,ECOMMERS_SALES[#Headers],0))</f>
        <v>Hyderabad</v>
      </c>
      <c r="I188" t="str">
        <f>INDEX('ECOMMERS SALES'!$A:$J,MATCH('index match'!$A188,'ECOMMERS SALES'!$C:$C,0),MATCH('index match'!I$1,ECOMMERS_SALES[#Headers],0))</f>
        <v>Premimum</v>
      </c>
      <c r="J188" t="str">
        <f>INDEX('ECOMMERS SALES'!$A:$J,MATCH('index match'!$A188,'ECOMMERS SALES'!$C:$C,0),MATCH('index match'!J$1,ECOMMERS_SALES[#Headers],0))</f>
        <v>UPI</v>
      </c>
    </row>
    <row r="189" spans="1:10" x14ac:dyDescent="0.35">
      <c r="A189" t="s">
        <v>39</v>
      </c>
      <c r="B189">
        <f>INDEX('ECOMMERS SALES'!$A:$J,MATCH('index match'!$A189,'ECOMMERS SALES'!$C:$C,0),MATCH('index match'!B$1,ECOMMERS_SALES[#Headers],0))</f>
        <v>1008</v>
      </c>
      <c r="C189" t="str">
        <f>INDEX('ECOMMERS SALES'!$A:$J,MATCH('index match'!$A189,'ECOMMERS SALES'!$C:$C,0),MATCH('index match'!C$1,ECOMMERS_SALES[#Headers],0))</f>
        <v>09-01-2025</v>
      </c>
      <c r="D189" t="str">
        <f>INDEX('ECOMMERS SALES'!$A:$J,MATCH('index match'!$A189,'ECOMMERS SALES'!$C:$C,0),MATCH('index match'!D$1,ECOMMERS_SALES[#Headers],0))</f>
        <v>Fashion</v>
      </c>
      <c r="E189">
        <f>INDEX('ECOMMERS SALES'!$A:$J,MATCH('index match'!$A189,'ECOMMERS SALES'!$C:$C,0),MATCH('index match'!E$1,ECOMMERS_SALES[#Headers],0))</f>
        <v>2</v>
      </c>
      <c r="F189">
        <f>INDEX('ECOMMERS SALES'!$A:$J,MATCH('index match'!$A189,'ECOMMERS SALES'!$C:$C,0),MATCH('index match'!F$1,ECOMMERS_SALES[#Headers],0))</f>
        <v>905</v>
      </c>
      <c r="G189">
        <f>INDEX('ECOMMERS SALES'!$A:$J,MATCH('index match'!$A189,'ECOMMERS SALES'!$C:$C,0),MATCH('index match'!G$1,ECOMMERS_SALES[#Headers],0))</f>
        <v>1810</v>
      </c>
      <c r="H189" t="str">
        <f>INDEX('ECOMMERS SALES'!$A:$J,MATCH('index match'!$A189,'ECOMMERS SALES'!$C:$C,0),MATCH('index match'!H$1,ECOMMERS_SALES[#Headers],0))</f>
        <v>Bangalore</v>
      </c>
      <c r="I189" t="str">
        <f>INDEX('ECOMMERS SALES'!$A:$J,MATCH('index match'!$A189,'ECOMMERS SALES'!$C:$C,0),MATCH('index match'!I$1,ECOMMERS_SALES[#Headers],0))</f>
        <v>New</v>
      </c>
      <c r="J189" t="str">
        <f>INDEX('ECOMMERS SALES'!$A:$J,MATCH('index match'!$A189,'ECOMMERS SALES'!$C:$C,0),MATCH('index match'!J$1,ECOMMERS_SALES[#Headers],0))</f>
        <v>COD</v>
      </c>
    </row>
    <row r="190" spans="1:10" x14ac:dyDescent="0.35">
      <c r="A190" t="s">
        <v>42</v>
      </c>
      <c r="B190">
        <f>INDEX('ECOMMERS SALES'!$A:$J,MATCH('index match'!$A190,'ECOMMERS SALES'!$C:$C,0),MATCH('index match'!B$1,ECOMMERS_SALES[#Headers],0))</f>
        <v>1009</v>
      </c>
      <c r="C190" t="str">
        <f>INDEX('ECOMMERS SALES'!$A:$J,MATCH('index match'!$A190,'ECOMMERS SALES'!$C:$C,0),MATCH('index match'!C$1,ECOMMERS_SALES[#Headers],0))</f>
        <v>10-01-2025</v>
      </c>
      <c r="D190" t="str">
        <f>INDEX('ECOMMERS SALES'!$A:$J,MATCH('index match'!$A190,'ECOMMERS SALES'!$C:$C,0),MATCH('index match'!D$1,ECOMMERS_SALES[#Headers],0))</f>
        <v>Electronics</v>
      </c>
      <c r="E190">
        <f>INDEX('ECOMMERS SALES'!$A:$J,MATCH('index match'!$A190,'ECOMMERS SALES'!$C:$C,0),MATCH('index match'!E$1,ECOMMERS_SALES[#Headers],0))</f>
        <v>1</v>
      </c>
      <c r="F190">
        <f>INDEX('ECOMMERS SALES'!$A:$J,MATCH('index match'!$A190,'ECOMMERS SALES'!$C:$C,0),MATCH('index match'!F$1,ECOMMERS_SALES[#Headers],0))</f>
        <v>8563</v>
      </c>
      <c r="G190">
        <f>INDEX('ECOMMERS SALES'!$A:$J,MATCH('index match'!$A190,'ECOMMERS SALES'!$C:$C,0),MATCH('index match'!G$1,ECOMMERS_SALES[#Headers],0))</f>
        <v>8563</v>
      </c>
      <c r="H190" t="str">
        <f>INDEX('ECOMMERS SALES'!$A:$J,MATCH('index match'!$A190,'ECOMMERS SALES'!$C:$C,0),MATCH('index match'!H$1,ECOMMERS_SALES[#Headers],0))</f>
        <v>Hyderabad</v>
      </c>
      <c r="I190" t="str">
        <f>INDEX('ECOMMERS SALES'!$A:$J,MATCH('index match'!$A190,'ECOMMERS SALES'!$C:$C,0),MATCH('index match'!I$1,ECOMMERS_SALES[#Headers],0))</f>
        <v>Returning</v>
      </c>
      <c r="J190" t="str">
        <f>INDEX('ECOMMERS SALES'!$A:$J,MATCH('index match'!$A190,'ECOMMERS SALES'!$C:$C,0),MATCH('index match'!J$1,ECOMMERS_SALES[#Headers],0))</f>
        <v>Card</v>
      </c>
    </row>
    <row r="191" spans="1:10" x14ac:dyDescent="0.35">
      <c r="A191" t="s">
        <v>44</v>
      </c>
      <c r="B191">
        <f>INDEX('ECOMMERS SALES'!$A:$J,MATCH('index match'!$A191,'ECOMMERS SALES'!$C:$C,0),MATCH('index match'!B$1,ECOMMERS_SALES[#Headers],0))</f>
        <v>1010</v>
      </c>
      <c r="C191" t="str">
        <f>INDEX('ECOMMERS SALES'!$A:$J,MATCH('index match'!$A191,'ECOMMERS SALES'!$C:$C,0),MATCH('index match'!C$1,ECOMMERS_SALES[#Headers],0))</f>
        <v>11-01-2025</v>
      </c>
      <c r="D191" t="str">
        <f>INDEX('ECOMMERS SALES'!$A:$J,MATCH('index match'!$A191,'ECOMMERS SALES'!$C:$C,0),MATCH('index match'!D$1,ECOMMERS_SALES[#Headers],0))</f>
        <v>Other</v>
      </c>
      <c r="E191">
        <f>INDEX('ECOMMERS SALES'!$A:$J,MATCH('index match'!$A191,'ECOMMERS SALES'!$C:$C,0),MATCH('index match'!E$1,ECOMMERS_SALES[#Headers],0))</f>
        <v>1</v>
      </c>
      <c r="F191">
        <f>INDEX('ECOMMERS SALES'!$A:$J,MATCH('index match'!$A191,'ECOMMERS SALES'!$C:$C,0),MATCH('index match'!F$1,ECOMMERS_SALES[#Headers],0))</f>
        <v>268</v>
      </c>
      <c r="G191">
        <f>INDEX('ECOMMERS SALES'!$A:$J,MATCH('index match'!$A191,'ECOMMERS SALES'!$C:$C,0),MATCH('index match'!G$1,ECOMMERS_SALES[#Headers],0))</f>
        <v>268</v>
      </c>
      <c r="H191" t="str">
        <f>INDEX('ECOMMERS SALES'!$A:$J,MATCH('index match'!$A191,'ECOMMERS SALES'!$C:$C,0),MATCH('index match'!H$1,ECOMMERS_SALES[#Headers],0))</f>
        <v>Chennai</v>
      </c>
      <c r="I191" t="str">
        <f>INDEX('ECOMMERS SALES'!$A:$J,MATCH('index match'!$A191,'ECOMMERS SALES'!$C:$C,0),MATCH('index match'!I$1,ECOMMERS_SALES[#Headers],0))</f>
        <v>New</v>
      </c>
      <c r="J191" t="str">
        <f>INDEX('ECOMMERS SALES'!$A:$J,MATCH('index match'!$A191,'ECOMMERS SALES'!$C:$C,0),MATCH('index match'!J$1,ECOMMERS_SALES[#Headers],0))</f>
        <v>UPI</v>
      </c>
    </row>
    <row r="192" spans="1:10" x14ac:dyDescent="0.35">
      <c r="A192" t="s">
        <v>11</v>
      </c>
      <c r="B192">
        <f>INDEX('ECOMMERS SALES'!$A:$J,MATCH('index match'!$A192,'ECOMMERS SALES'!$C:$C,0),MATCH('index match'!B$1,ECOMMERS_SALES[#Headers],0))</f>
        <v>1001</v>
      </c>
      <c r="C192" t="str">
        <f>INDEX('ECOMMERS SALES'!$A:$J,MATCH('index match'!$A192,'ECOMMERS SALES'!$C:$C,0),MATCH('index match'!C$1,ECOMMERS_SALES[#Headers],0))</f>
        <v>02-01-2025</v>
      </c>
      <c r="D192" t="str">
        <f>INDEX('ECOMMERS SALES'!$A:$J,MATCH('index match'!$A192,'ECOMMERS SALES'!$C:$C,0),MATCH('index match'!D$1,ECOMMERS_SALES[#Headers],0))</f>
        <v>Electronics</v>
      </c>
      <c r="E192">
        <f>INDEX('ECOMMERS SALES'!$A:$J,MATCH('index match'!$A192,'ECOMMERS SALES'!$C:$C,0),MATCH('index match'!E$1,ECOMMERS_SALES[#Headers],0))</f>
        <v>2</v>
      </c>
      <c r="F192">
        <f>INDEX('ECOMMERS SALES'!$A:$J,MATCH('index match'!$A192,'ECOMMERS SALES'!$C:$C,0),MATCH('index match'!F$1,ECOMMERS_SALES[#Headers],0))</f>
        <v>50353</v>
      </c>
      <c r="G192">
        <f>INDEX('ECOMMERS SALES'!$A:$J,MATCH('index match'!$A192,'ECOMMERS SALES'!$C:$C,0),MATCH('index match'!G$1,ECOMMERS_SALES[#Headers],0))</f>
        <v>100706</v>
      </c>
      <c r="H192" t="str">
        <f>INDEX('ECOMMERS SALES'!$A:$J,MATCH('index match'!$A192,'ECOMMERS SALES'!$C:$C,0),MATCH('index match'!H$1,ECOMMERS_SALES[#Headers],0))</f>
        <v>Chennai</v>
      </c>
      <c r="I192" t="str">
        <f>INDEX('ECOMMERS SALES'!$A:$J,MATCH('index match'!$A192,'ECOMMERS SALES'!$C:$C,0),MATCH('index match'!I$1,ECOMMERS_SALES[#Headers],0))</f>
        <v>Premimum</v>
      </c>
      <c r="J192" t="str">
        <f>INDEX('ECOMMERS SALES'!$A:$J,MATCH('index match'!$A192,'ECOMMERS SALES'!$C:$C,0),MATCH('index match'!J$1,ECOMMERS_SALES[#Headers],0))</f>
        <v>Card</v>
      </c>
    </row>
    <row r="193" spans="1:10" x14ac:dyDescent="0.35">
      <c r="A193" t="s">
        <v>17</v>
      </c>
      <c r="B193">
        <f>INDEX('ECOMMERS SALES'!$A:$J,MATCH('index match'!$A193,'ECOMMERS SALES'!$C:$C,0),MATCH('index match'!B$1,ECOMMERS_SALES[#Headers],0))</f>
        <v>1002</v>
      </c>
      <c r="C193" t="str">
        <f>INDEX('ECOMMERS SALES'!$A:$J,MATCH('index match'!$A193,'ECOMMERS SALES'!$C:$C,0),MATCH('index match'!C$1,ECOMMERS_SALES[#Headers],0))</f>
        <v>03-01-2025</v>
      </c>
      <c r="D193" t="str">
        <f>INDEX('ECOMMERS SALES'!$A:$J,MATCH('index match'!$A193,'ECOMMERS SALES'!$C:$C,0),MATCH('index match'!D$1,ECOMMERS_SALES[#Headers],0))</f>
        <v>Electronics</v>
      </c>
      <c r="E193">
        <f>INDEX('ECOMMERS SALES'!$A:$J,MATCH('index match'!$A193,'ECOMMERS SALES'!$C:$C,0),MATCH('index match'!E$1,ECOMMERS_SALES[#Headers],0))</f>
        <v>2</v>
      </c>
      <c r="F193">
        <f>INDEX('ECOMMERS SALES'!$A:$J,MATCH('index match'!$A193,'ECOMMERS SALES'!$C:$C,0),MATCH('index match'!F$1,ECOMMERS_SALES[#Headers],0))</f>
        <v>2008</v>
      </c>
      <c r="G193">
        <f>INDEX('ECOMMERS SALES'!$A:$J,MATCH('index match'!$A193,'ECOMMERS SALES'!$C:$C,0),MATCH('index match'!G$1,ECOMMERS_SALES[#Headers],0))</f>
        <v>4016</v>
      </c>
      <c r="H193" t="str">
        <f>INDEX('ECOMMERS SALES'!$A:$J,MATCH('index match'!$A193,'ECOMMERS SALES'!$C:$C,0),MATCH('index match'!H$1,ECOMMERS_SALES[#Headers],0))</f>
        <v>Delhi</v>
      </c>
      <c r="I193" t="str">
        <f>INDEX('ECOMMERS SALES'!$A:$J,MATCH('index match'!$A193,'ECOMMERS SALES'!$C:$C,0),MATCH('index match'!I$1,ECOMMERS_SALES[#Headers],0))</f>
        <v>New</v>
      </c>
      <c r="J193" t="str">
        <f>INDEX('ECOMMERS SALES'!$A:$J,MATCH('index match'!$A193,'ECOMMERS SALES'!$C:$C,0),MATCH('index match'!J$1,ECOMMERS_SALES[#Headers],0))</f>
        <v>UPI</v>
      </c>
    </row>
    <row r="194" spans="1:10" x14ac:dyDescent="0.35">
      <c r="A194" t="s">
        <v>22</v>
      </c>
      <c r="B194">
        <f>INDEX('ECOMMERS SALES'!$A:$J,MATCH('index match'!$A194,'ECOMMERS SALES'!$C:$C,0),MATCH('index match'!B$1,ECOMMERS_SALES[#Headers],0))</f>
        <v>1003</v>
      </c>
      <c r="C194" t="str">
        <f>INDEX('ECOMMERS SALES'!$A:$J,MATCH('index match'!$A194,'ECOMMERS SALES'!$C:$C,0),MATCH('index match'!C$1,ECOMMERS_SALES[#Headers],0))</f>
        <v>04-01-2025</v>
      </c>
      <c r="D194" t="str">
        <f>INDEX('ECOMMERS SALES'!$A:$J,MATCH('index match'!$A194,'ECOMMERS SALES'!$C:$C,0),MATCH('index match'!D$1,ECOMMERS_SALES[#Headers],0))</f>
        <v>Fashion</v>
      </c>
      <c r="E194">
        <f>INDEX('ECOMMERS SALES'!$A:$J,MATCH('index match'!$A194,'ECOMMERS SALES'!$C:$C,0),MATCH('index match'!E$1,ECOMMERS_SALES[#Headers],0))</f>
        <v>1</v>
      </c>
      <c r="F194">
        <f>INDEX('ECOMMERS SALES'!$A:$J,MATCH('index match'!$A194,'ECOMMERS SALES'!$C:$C,0),MATCH('index match'!F$1,ECOMMERS_SALES[#Headers],0))</f>
        <v>4736</v>
      </c>
      <c r="G194">
        <f>INDEX('ECOMMERS SALES'!$A:$J,MATCH('index match'!$A194,'ECOMMERS SALES'!$C:$C,0),MATCH('index match'!G$1,ECOMMERS_SALES[#Headers],0))</f>
        <v>4736</v>
      </c>
      <c r="H194" t="str">
        <f>INDEX('ECOMMERS SALES'!$A:$J,MATCH('index match'!$A194,'ECOMMERS SALES'!$C:$C,0),MATCH('index match'!H$1,ECOMMERS_SALES[#Headers],0))</f>
        <v>Chennai</v>
      </c>
      <c r="I194" t="str">
        <f>INDEX('ECOMMERS SALES'!$A:$J,MATCH('index match'!$A194,'ECOMMERS SALES'!$C:$C,0),MATCH('index match'!I$1,ECOMMERS_SALES[#Headers],0))</f>
        <v>New</v>
      </c>
      <c r="J194" t="str">
        <f>INDEX('ECOMMERS SALES'!$A:$J,MATCH('index match'!$A194,'ECOMMERS SALES'!$C:$C,0),MATCH('index match'!J$1,ECOMMERS_SALES[#Headers],0))</f>
        <v>UPI</v>
      </c>
    </row>
    <row r="195" spans="1:10" x14ac:dyDescent="0.35">
      <c r="A195" t="s">
        <v>25</v>
      </c>
      <c r="B195">
        <f>INDEX('ECOMMERS SALES'!$A:$J,MATCH('index match'!$A195,'ECOMMERS SALES'!$C:$C,0),MATCH('index match'!B$1,ECOMMERS_SALES[#Headers],0))</f>
        <v>1004</v>
      </c>
      <c r="C195" t="str">
        <f>INDEX('ECOMMERS SALES'!$A:$J,MATCH('index match'!$A195,'ECOMMERS SALES'!$C:$C,0),MATCH('index match'!C$1,ECOMMERS_SALES[#Headers],0))</f>
        <v>05-01-2025</v>
      </c>
      <c r="D195" t="str">
        <f>INDEX('ECOMMERS SALES'!$A:$J,MATCH('index match'!$A195,'ECOMMERS SALES'!$C:$C,0),MATCH('index match'!D$1,ECOMMERS_SALES[#Headers],0))</f>
        <v>Other</v>
      </c>
      <c r="E195">
        <f>INDEX('ECOMMERS SALES'!$A:$J,MATCH('index match'!$A195,'ECOMMERS SALES'!$C:$C,0),MATCH('index match'!E$1,ECOMMERS_SALES[#Headers],0))</f>
        <v>2</v>
      </c>
      <c r="F195">
        <f>INDEX('ECOMMERS SALES'!$A:$J,MATCH('index match'!$A195,'ECOMMERS SALES'!$C:$C,0),MATCH('index match'!F$1,ECOMMERS_SALES[#Headers],0))</f>
        <v>10072</v>
      </c>
      <c r="G195">
        <f>INDEX('ECOMMERS SALES'!$A:$J,MATCH('index match'!$A195,'ECOMMERS SALES'!$C:$C,0),MATCH('index match'!G$1,ECOMMERS_SALES[#Headers],0))</f>
        <v>20144</v>
      </c>
      <c r="H195" t="str">
        <f>INDEX('ECOMMERS SALES'!$A:$J,MATCH('index match'!$A195,'ECOMMERS SALES'!$C:$C,0),MATCH('index match'!H$1,ECOMMERS_SALES[#Headers],0))</f>
        <v>Pune</v>
      </c>
      <c r="I195" t="str">
        <f>INDEX('ECOMMERS SALES'!$A:$J,MATCH('index match'!$A195,'ECOMMERS SALES'!$C:$C,0),MATCH('index match'!I$1,ECOMMERS_SALES[#Headers],0))</f>
        <v>Premimum</v>
      </c>
      <c r="J195" t="str">
        <f>INDEX('ECOMMERS SALES'!$A:$J,MATCH('index match'!$A195,'ECOMMERS SALES'!$C:$C,0),MATCH('index match'!J$1,ECOMMERS_SALES[#Headers],0))</f>
        <v>Card</v>
      </c>
    </row>
    <row r="196" spans="1:10" x14ac:dyDescent="0.35">
      <c r="A196" t="s">
        <v>29</v>
      </c>
      <c r="B196">
        <f>INDEX('ECOMMERS SALES'!$A:$J,MATCH('index match'!$A196,'ECOMMERS SALES'!$C:$C,0),MATCH('index match'!B$1,ECOMMERS_SALES[#Headers],0))</f>
        <v>1005</v>
      </c>
      <c r="C196" t="str">
        <f>INDEX('ECOMMERS SALES'!$A:$J,MATCH('index match'!$A196,'ECOMMERS SALES'!$C:$C,0),MATCH('index match'!C$1,ECOMMERS_SALES[#Headers],0))</f>
        <v>06-01-2025</v>
      </c>
      <c r="D196" t="str">
        <f>INDEX('ECOMMERS SALES'!$A:$J,MATCH('index match'!$A196,'ECOMMERS SALES'!$C:$C,0),MATCH('index match'!D$1,ECOMMERS_SALES[#Headers],0))</f>
        <v>Other</v>
      </c>
      <c r="E196">
        <f>INDEX('ECOMMERS SALES'!$A:$J,MATCH('index match'!$A196,'ECOMMERS SALES'!$C:$C,0),MATCH('index match'!E$1,ECOMMERS_SALES[#Headers],0))</f>
        <v>2</v>
      </c>
      <c r="F196">
        <f>INDEX('ECOMMERS SALES'!$A:$J,MATCH('index match'!$A196,'ECOMMERS SALES'!$C:$C,0),MATCH('index match'!F$1,ECOMMERS_SALES[#Headers],0))</f>
        <v>920</v>
      </c>
      <c r="G196">
        <f>INDEX('ECOMMERS SALES'!$A:$J,MATCH('index match'!$A196,'ECOMMERS SALES'!$C:$C,0),MATCH('index match'!G$1,ECOMMERS_SALES[#Headers],0))</f>
        <v>1840</v>
      </c>
      <c r="H196" t="str">
        <f>INDEX('ECOMMERS SALES'!$A:$J,MATCH('index match'!$A196,'ECOMMERS SALES'!$C:$C,0),MATCH('index match'!H$1,ECOMMERS_SALES[#Headers],0))</f>
        <v>Pune</v>
      </c>
      <c r="I196" t="str">
        <f>INDEX('ECOMMERS SALES'!$A:$J,MATCH('index match'!$A196,'ECOMMERS SALES'!$C:$C,0),MATCH('index match'!I$1,ECOMMERS_SALES[#Headers],0))</f>
        <v>New</v>
      </c>
      <c r="J196" t="str">
        <f>INDEX('ECOMMERS SALES'!$A:$J,MATCH('index match'!$A196,'ECOMMERS SALES'!$C:$C,0),MATCH('index match'!J$1,ECOMMERS_SALES[#Headers],0))</f>
        <v>UPI</v>
      </c>
    </row>
    <row r="197" spans="1:10" x14ac:dyDescent="0.35">
      <c r="A197" t="s">
        <v>31</v>
      </c>
      <c r="B197">
        <f>INDEX('ECOMMERS SALES'!$A:$J,MATCH('index match'!$A197,'ECOMMERS SALES'!$C:$C,0),MATCH('index match'!B$1,ECOMMERS_SALES[#Headers],0))</f>
        <v>1006</v>
      </c>
      <c r="C197" t="str">
        <f>INDEX('ECOMMERS SALES'!$A:$J,MATCH('index match'!$A197,'ECOMMERS SALES'!$C:$C,0),MATCH('index match'!C$1,ECOMMERS_SALES[#Headers],0))</f>
        <v>07-01-2025</v>
      </c>
      <c r="D197" t="str">
        <f>INDEX('ECOMMERS SALES'!$A:$J,MATCH('index match'!$A197,'ECOMMERS SALES'!$C:$C,0),MATCH('index match'!D$1,ECOMMERS_SALES[#Headers],0))</f>
        <v>Electronics</v>
      </c>
      <c r="E197">
        <f>INDEX('ECOMMERS SALES'!$A:$J,MATCH('index match'!$A197,'ECOMMERS SALES'!$C:$C,0),MATCH('index match'!E$1,ECOMMERS_SALES[#Headers],0))</f>
        <v>1</v>
      </c>
      <c r="F197">
        <f>INDEX('ECOMMERS SALES'!$A:$J,MATCH('index match'!$A197,'ECOMMERS SALES'!$C:$C,0),MATCH('index match'!F$1,ECOMMERS_SALES[#Headers],0))</f>
        <v>13225</v>
      </c>
      <c r="G197">
        <f>INDEX('ECOMMERS SALES'!$A:$J,MATCH('index match'!$A197,'ECOMMERS SALES'!$C:$C,0),MATCH('index match'!G$1,ECOMMERS_SALES[#Headers],0))</f>
        <v>13225</v>
      </c>
      <c r="H197" t="str">
        <f>INDEX('ECOMMERS SALES'!$A:$J,MATCH('index match'!$A197,'ECOMMERS SALES'!$C:$C,0),MATCH('index match'!H$1,ECOMMERS_SALES[#Headers],0))</f>
        <v>Delhi</v>
      </c>
      <c r="I197" t="str">
        <f>INDEX('ECOMMERS SALES'!$A:$J,MATCH('index match'!$A197,'ECOMMERS SALES'!$C:$C,0),MATCH('index match'!I$1,ECOMMERS_SALES[#Headers],0))</f>
        <v>Returning</v>
      </c>
      <c r="J197" t="str">
        <f>INDEX('ECOMMERS SALES'!$A:$J,MATCH('index match'!$A197,'ECOMMERS SALES'!$C:$C,0),MATCH('index match'!J$1,ECOMMERS_SALES[#Headers],0))</f>
        <v>COD</v>
      </c>
    </row>
    <row r="198" spans="1:10" x14ac:dyDescent="0.35">
      <c r="A198" t="s">
        <v>35</v>
      </c>
      <c r="B198">
        <f>INDEX('ECOMMERS SALES'!$A:$J,MATCH('index match'!$A198,'ECOMMERS SALES'!$C:$C,0),MATCH('index match'!B$1,ECOMMERS_SALES[#Headers],0))</f>
        <v>1007</v>
      </c>
      <c r="C198" t="str">
        <f>INDEX('ECOMMERS SALES'!$A:$J,MATCH('index match'!$A198,'ECOMMERS SALES'!$C:$C,0),MATCH('index match'!C$1,ECOMMERS_SALES[#Headers],0))</f>
        <v>08-01-2025</v>
      </c>
      <c r="D198" t="str">
        <f>INDEX('ECOMMERS SALES'!$A:$J,MATCH('index match'!$A198,'ECOMMERS SALES'!$C:$C,0),MATCH('index match'!D$1,ECOMMERS_SALES[#Headers],0))</f>
        <v>Books</v>
      </c>
      <c r="E198">
        <f>INDEX('ECOMMERS SALES'!$A:$J,MATCH('index match'!$A198,'ECOMMERS SALES'!$C:$C,0),MATCH('index match'!E$1,ECOMMERS_SALES[#Headers],0))</f>
        <v>3</v>
      </c>
      <c r="F198">
        <f>INDEX('ECOMMERS SALES'!$A:$J,MATCH('index match'!$A198,'ECOMMERS SALES'!$C:$C,0),MATCH('index match'!F$1,ECOMMERS_SALES[#Headers],0))</f>
        <v>621</v>
      </c>
      <c r="G198">
        <f>INDEX('ECOMMERS SALES'!$A:$J,MATCH('index match'!$A198,'ECOMMERS SALES'!$C:$C,0),MATCH('index match'!G$1,ECOMMERS_SALES[#Headers],0))</f>
        <v>1863</v>
      </c>
      <c r="H198" t="str">
        <f>INDEX('ECOMMERS SALES'!$A:$J,MATCH('index match'!$A198,'ECOMMERS SALES'!$C:$C,0),MATCH('index match'!H$1,ECOMMERS_SALES[#Headers],0))</f>
        <v>Hyderabad</v>
      </c>
      <c r="I198" t="str">
        <f>INDEX('ECOMMERS SALES'!$A:$J,MATCH('index match'!$A198,'ECOMMERS SALES'!$C:$C,0),MATCH('index match'!I$1,ECOMMERS_SALES[#Headers],0))</f>
        <v>Premimum</v>
      </c>
      <c r="J198" t="str">
        <f>INDEX('ECOMMERS SALES'!$A:$J,MATCH('index match'!$A198,'ECOMMERS SALES'!$C:$C,0),MATCH('index match'!J$1,ECOMMERS_SALES[#Headers],0))</f>
        <v>UPI</v>
      </c>
    </row>
    <row r="199" spans="1:10" x14ac:dyDescent="0.35">
      <c r="A199" t="s">
        <v>39</v>
      </c>
      <c r="B199">
        <f>INDEX('ECOMMERS SALES'!$A:$J,MATCH('index match'!$A199,'ECOMMERS SALES'!$C:$C,0),MATCH('index match'!B$1,ECOMMERS_SALES[#Headers],0))</f>
        <v>1008</v>
      </c>
      <c r="C199" t="str">
        <f>INDEX('ECOMMERS SALES'!$A:$J,MATCH('index match'!$A199,'ECOMMERS SALES'!$C:$C,0),MATCH('index match'!C$1,ECOMMERS_SALES[#Headers],0))</f>
        <v>09-01-2025</v>
      </c>
      <c r="D199" t="str">
        <f>INDEX('ECOMMERS SALES'!$A:$J,MATCH('index match'!$A199,'ECOMMERS SALES'!$C:$C,0),MATCH('index match'!D$1,ECOMMERS_SALES[#Headers],0))</f>
        <v>Fashion</v>
      </c>
      <c r="E199">
        <f>INDEX('ECOMMERS SALES'!$A:$J,MATCH('index match'!$A199,'ECOMMERS SALES'!$C:$C,0),MATCH('index match'!E$1,ECOMMERS_SALES[#Headers],0))</f>
        <v>2</v>
      </c>
      <c r="F199">
        <f>INDEX('ECOMMERS SALES'!$A:$J,MATCH('index match'!$A199,'ECOMMERS SALES'!$C:$C,0),MATCH('index match'!F$1,ECOMMERS_SALES[#Headers],0))</f>
        <v>905</v>
      </c>
      <c r="G199">
        <f>INDEX('ECOMMERS SALES'!$A:$J,MATCH('index match'!$A199,'ECOMMERS SALES'!$C:$C,0),MATCH('index match'!G$1,ECOMMERS_SALES[#Headers],0))</f>
        <v>1810</v>
      </c>
      <c r="H199" t="str">
        <f>INDEX('ECOMMERS SALES'!$A:$J,MATCH('index match'!$A199,'ECOMMERS SALES'!$C:$C,0),MATCH('index match'!H$1,ECOMMERS_SALES[#Headers],0))</f>
        <v>Bangalore</v>
      </c>
      <c r="I199" t="str">
        <f>INDEX('ECOMMERS SALES'!$A:$J,MATCH('index match'!$A199,'ECOMMERS SALES'!$C:$C,0),MATCH('index match'!I$1,ECOMMERS_SALES[#Headers],0))</f>
        <v>New</v>
      </c>
      <c r="J199" t="str">
        <f>INDEX('ECOMMERS SALES'!$A:$J,MATCH('index match'!$A199,'ECOMMERS SALES'!$C:$C,0),MATCH('index match'!J$1,ECOMMERS_SALES[#Headers],0))</f>
        <v>COD</v>
      </c>
    </row>
    <row r="200" spans="1:10" x14ac:dyDescent="0.35">
      <c r="A200" t="s">
        <v>42</v>
      </c>
      <c r="B200">
        <f>INDEX('ECOMMERS SALES'!$A:$J,MATCH('index match'!$A200,'ECOMMERS SALES'!$C:$C,0),MATCH('index match'!B$1,ECOMMERS_SALES[#Headers],0))</f>
        <v>1009</v>
      </c>
      <c r="C200" t="str">
        <f>INDEX('ECOMMERS SALES'!$A:$J,MATCH('index match'!$A200,'ECOMMERS SALES'!$C:$C,0),MATCH('index match'!C$1,ECOMMERS_SALES[#Headers],0))</f>
        <v>10-01-2025</v>
      </c>
      <c r="D200" t="str">
        <f>INDEX('ECOMMERS SALES'!$A:$J,MATCH('index match'!$A200,'ECOMMERS SALES'!$C:$C,0),MATCH('index match'!D$1,ECOMMERS_SALES[#Headers],0))</f>
        <v>Electronics</v>
      </c>
      <c r="E200">
        <f>INDEX('ECOMMERS SALES'!$A:$J,MATCH('index match'!$A200,'ECOMMERS SALES'!$C:$C,0),MATCH('index match'!E$1,ECOMMERS_SALES[#Headers],0))</f>
        <v>1</v>
      </c>
      <c r="F200">
        <f>INDEX('ECOMMERS SALES'!$A:$J,MATCH('index match'!$A200,'ECOMMERS SALES'!$C:$C,0),MATCH('index match'!F$1,ECOMMERS_SALES[#Headers],0))</f>
        <v>8563</v>
      </c>
      <c r="G200">
        <f>INDEX('ECOMMERS SALES'!$A:$J,MATCH('index match'!$A200,'ECOMMERS SALES'!$C:$C,0),MATCH('index match'!G$1,ECOMMERS_SALES[#Headers],0))</f>
        <v>8563</v>
      </c>
      <c r="H200" t="str">
        <f>INDEX('ECOMMERS SALES'!$A:$J,MATCH('index match'!$A200,'ECOMMERS SALES'!$C:$C,0),MATCH('index match'!H$1,ECOMMERS_SALES[#Headers],0))</f>
        <v>Hyderabad</v>
      </c>
      <c r="I200" t="str">
        <f>INDEX('ECOMMERS SALES'!$A:$J,MATCH('index match'!$A200,'ECOMMERS SALES'!$C:$C,0),MATCH('index match'!I$1,ECOMMERS_SALES[#Headers],0))</f>
        <v>Returning</v>
      </c>
      <c r="J200" t="str">
        <f>INDEX('ECOMMERS SALES'!$A:$J,MATCH('index match'!$A200,'ECOMMERS SALES'!$C:$C,0),MATCH('index match'!J$1,ECOMMERS_SALES[#Headers],0))</f>
        <v>Card</v>
      </c>
    </row>
    <row r="201" spans="1:10" x14ac:dyDescent="0.35">
      <c r="A201" t="s">
        <v>44</v>
      </c>
      <c r="B201">
        <f>INDEX('ECOMMERS SALES'!$A:$J,MATCH('index match'!$A201,'ECOMMERS SALES'!$C:$C,0),MATCH('index match'!B$1,ECOMMERS_SALES[#Headers],0))</f>
        <v>1010</v>
      </c>
      <c r="C201" t="str">
        <f>INDEX('ECOMMERS SALES'!$A:$J,MATCH('index match'!$A201,'ECOMMERS SALES'!$C:$C,0),MATCH('index match'!C$1,ECOMMERS_SALES[#Headers],0))</f>
        <v>11-01-2025</v>
      </c>
      <c r="D201" t="str">
        <f>INDEX('ECOMMERS SALES'!$A:$J,MATCH('index match'!$A201,'ECOMMERS SALES'!$C:$C,0),MATCH('index match'!D$1,ECOMMERS_SALES[#Headers],0))</f>
        <v>Other</v>
      </c>
      <c r="E201">
        <f>INDEX('ECOMMERS SALES'!$A:$J,MATCH('index match'!$A201,'ECOMMERS SALES'!$C:$C,0),MATCH('index match'!E$1,ECOMMERS_SALES[#Headers],0))</f>
        <v>1</v>
      </c>
      <c r="F201">
        <f>INDEX('ECOMMERS SALES'!$A:$J,MATCH('index match'!$A201,'ECOMMERS SALES'!$C:$C,0),MATCH('index match'!F$1,ECOMMERS_SALES[#Headers],0))</f>
        <v>268</v>
      </c>
      <c r="G201">
        <f>INDEX('ECOMMERS SALES'!$A:$J,MATCH('index match'!$A201,'ECOMMERS SALES'!$C:$C,0),MATCH('index match'!G$1,ECOMMERS_SALES[#Headers],0))</f>
        <v>268</v>
      </c>
      <c r="H201" t="str">
        <f>INDEX('ECOMMERS SALES'!$A:$J,MATCH('index match'!$A201,'ECOMMERS SALES'!$C:$C,0),MATCH('index match'!H$1,ECOMMERS_SALES[#Headers],0))</f>
        <v>Chennai</v>
      </c>
      <c r="I201" t="str">
        <f>INDEX('ECOMMERS SALES'!$A:$J,MATCH('index match'!$A201,'ECOMMERS SALES'!$C:$C,0),MATCH('index match'!I$1,ECOMMERS_SALES[#Headers],0))</f>
        <v>New</v>
      </c>
      <c r="J201" t="str">
        <f>INDEX('ECOMMERS SALES'!$A:$J,MATCH('index match'!$A201,'ECOMMERS SALES'!$C:$C,0),MATCH('index match'!J$1,ECOMMERS_SALES[#Headers],0))</f>
        <v>UPI</v>
      </c>
    </row>
    <row r="202" spans="1:10" x14ac:dyDescent="0.35">
      <c r="A202" t="s">
        <v>11</v>
      </c>
      <c r="B202">
        <f>INDEX('ECOMMERS SALES'!$A:$J,MATCH('index match'!$A202,'ECOMMERS SALES'!$C:$C,0),MATCH('index match'!B$1,ECOMMERS_SALES[#Headers],0))</f>
        <v>1001</v>
      </c>
      <c r="C202" t="str">
        <f>INDEX('ECOMMERS SALES'!$A:$J,MATCH('index match'!$A202,'ECOMMERS SALES'!$C:$C,0),MATCH('index match'!C$1,ECOMMERS_SALES[#Headers],0))</f>
        <v>02-01-2025</v>
      </c>
      <c r="D202" t="str">
        <f>INDEX('ECOMMERS SALES'!$A:$J,MATCH('index match'!$A202,'ECOMMERS SALES'!$C:$C,0),MATCH('index match'!D$1,ECOMMERS_SALES[#Headers],0))</f>
        <v>Electronics</v>
      </c>
      <c r="E202">
        <f>INDEX('ECOMMERS SALES'!$A:$J,MATCH('index match'!$A202,'ECOMMERS SALES'!$C:$C,0),MATCH('index match'!E$1,ECOMMERS_SALES[#Headers],0))</f>
        <v>2</v>
      </c>
      <c r="F202">
        <f>INDEX('ECOMMERS SALES'!$A:$J,MATCH('index match'!$A202,'ECOMMERS SALES'!$C:$C,0),MATCH('index match'!F$1,ECOMMERS_SALES[#Headers],0))</f>
        <v>50353</v>
      </c>
      <c r="G202">
        <f>INDEX('ECOMMERS SALES'!$A:$J,MATCH('index match'!$A202,'ECOMMERS SALES'!$C:$C,0),MATCH('index match'!G$1,ECOMMERS_SALES[#Headers],0))</f>
        <v>100706</v>
      </c>
      <c r="H202" t="str">
        <f>INDEX('ECOMMERS SALES'!$A:$J,MATCH('index match'!$A202,'ECOMMERS SALES'!$C:$C,0),MATCH('index match'!H$1,ECOMMERS_SALES[#Headers],0))</f>
        <v>Chennai</v>
      </c>
      <c r="I202" t="str">
        <f>INDEX('ECOMMERS SALES'!$A:$J,MATCH('index match'!$A202,'ECOMMERS SALES'!$C:$C,0),MATCH('index match'!I$1,ECOMMERS_SALES[#Headers],0))</f>
        <v>Premimum</v>
      </c>
      <c r="J202" t="str">
        <f>INDEX('ECOMMERS SALES'!$A:$J,MATCH('index match'!$A202,'ECOMMERS SALES'!$C:$C,0),MATCH('index match'!J$1,ECOMMERS_SALES[#Headers],0))</f>
        <v>Card</v>
      </c>
    </row>
    <row r="203" spans="1:10" x14ac:dyDescent="0.35">
      <c r="A203" t="s">
        <v>17</v>
      </c>
      <c r="B203">
        <f>INDEX('ECOMMERS SALES'!$A:$J,MATCH('index match'!$A203,'ECOMMERS SALES'!$C:$C,0),MATCH('index match'!B$1,ECOMMERS_SALES[#Headers],0))</f>
        <v>1002</v>
      </c>
      <c r="C203" t="str">
        <f>INDEX('ECOMMERS SALES'!$A:$J,MATCH('index match'!$A203,'ECOMMERS SALES'!$C:$C,0),MATCH('index match'!C$1,ECOMMERS_SALES[#Headers],0))</f>
        <v>03-01-2025</v>
      </c>
      <c r="D203" t="str">
        <f>INDEX('ECOMMERS SALES'!$A:$J,MATCH('index match'!$A203,'ECOMMERS SALES'!$C:$C,0),MATCH('index match'!D$1,ECOMMERS_SALES[#Headers],0))</f>
        <v>Electronics</v>
      </c>
      <c r="E203">
        <f>INDEX('ECOMMERS SALES'!$A:$J,MATCH('index match'!$A203,'ECOMMERS SALES'!$C:$C,0),MATCH('index match'!E$1,ECOMMERS_SALES[#Headers],0))</f>
        <v>2</v>
      </c>
      <c r="F203">
        <f>INDEX('ECOMMERS SALES'!$A:$J,MATCH('index match'!$A203,'ECOMMERS SALES'!$C:$C,0),MATCH('index match'!F$1,ECOMMERS_SALES[#Headers],0))</f>
        <v>2008</v>
      </c>
      <c r="G203">
        <f>INDEX('ECOMMERS SALES'!$A:$J,MATCH('index match'!$A203,'ECOMMERS SALES'!$C:$C,0),MATCH('index match'!G$1,ECOMMERS_SALES[#Headers],0))</f>
        <v>4016</v>
      </c>
      <c r="H203" t="str">
        <f>INDEX('ECOMMERS SALES'!$A:$J,MATCH('index match'!$A203,'ECOMMERS SALES'!$C:$C,0),MATCH('index match'!H$1,ECOMMERS_SALES[#Headers],0))</f>
        <v>Delhi</v>
      </c>
      <c r="I203" t="str">
        <f>INDEX('ECOMMERS SALES'!$A:$J,MATCH('index match'!$A203,'ECOMMERS SALES'!$C:$C,0),MATCH('index match'!I$1,ECOMMERS_SALES[#Headers],0))</f>
        <v>New</v>
      </c>
      <c r="J203" t="str">
        <f>INDEX('ECOMMERS SALES'!$A:$J,MATCH('index match'!$A203,'ECOMMERS SALES'!$C:$C,0),MATCH('index match'!J$1,ECOMMERS_SALES[#Headers],0))</f>
        <v>UPI</v>
      </c>
    </row>
    <row r="204" spans="1:10" x14ac:dyDescent="0.35">
      <c r="A204" t="s">
        <v>22</v>
      </c>
      <c r="B204">
        <f>INDEX('ECOMMERS SALES'!$A:$J,MATCH('index match'!$A204,'ECOMMERS SALES'!$C:$C,0),MATCH('index match'!B$1,ECOMMERS_SALES[#Headers],0))</f>
        <v>1003</v>
      </c>
      <c r="C204" t="str">
        <f>INDEX('ECOMMERS SALES'!$A:$J,MATCH('index match'!$A204,'ECOMMERS SALES'!$C:$C,0),MATCH('index match'!C$1,ECOMMERS_SALES[#Headers],0))</f>
        <v>04-01-2025</v>
      </c>
      <c r="D204" t="str">
        <f>INDEX('ECOMMERS SALES'!$A:$J,MATCH('index match'!$A204,'ECOMMERS SALES'!$C:$C,0),MATCH('index match'!D$1,ECOMMERS_SALES[#Headers],0))</f>
        <v>Fashion</v>
      </c>
      <c r="E204">
        <f>INDEX('ECOMMERS SALES'!$A:$J,MATCH('index match'!$A204,'ECOMMERS SALES'!$C:$C,0),MATCH('index match'!E$1,ECOMMERS_SALES[#Headers],0))</f>
        <v>1</v>
      </c>
      <c r="F204">
        <f>INDEX('ECOMMERS SALES'!$A:$J,MATCH('index match'!$A204,'ECOMMERS SALES'!$C:$C,0),MATCH('index match'!F$1,ECOMMERS_SALES[#Headers],0))</f>
        <v>4736</v>
      </c>
      <c r="G204">
        <f>INDEX('ECOMMERS SALES'!$A:$J,MATCH('index match'!$A204,'ECOMMERS SALES'!$C:$C,0),MATCH('index match'!G$1,ECOMMERS_SALES[#Headers],0))</f>
        <v>4736</v>
      </c>
      <c r="H204" t="str">
        <f>INDEX('ECOMMERS SALES'!$A:$J,MATCH('index match'!$A204,'ECOMMERS SALES'!$C:$C,0),MATCH('index match'!H$1,ECOMMERS_SALES[#Headers],0))</f>
        <v>Chennai</v>
      </c>
      <c r="I204" t="str">
        <f>INDEX('ECOMMERS SALES'!$A:$J,MATCH('index match'!$A204,'ECOMMERS SALES'!$C:$C,0),MATCH('index match'!I$1,ECOMMERS_SALES[#Headers],0))</f>
        <v>New</v>
      </c>
      <c r="J204" t="str">
        <f>INDEX('ECOMMERS SALES'!$A:$J,MATCH('index match'!$A204,'ECOMMERS SALES'!$C:$C,0),MATCH('index match'!J$1,ECOMMERS_SALES[#Headers],0))</f>
        <v>UPI</v>
      </c>
    </row>
    <row r="205" spans="1:10" x14ac:dyDescent="0.35">
      <c r="A205" t="s">
        <v>25</v>
      </c>
      <c r="B205">
        <f>INDEX('ECOMMERS SALES'!$A:$J,MATCH('index match'!$A205,'ECOMMERS SALES'!$C:$C,0),MATCH('index match'!B$1,ECOMMERS_SALES[#Headers],0))</f>
        <v>1004</v>
      </c>
      <c r="C205" t="str">
        <f>INDEX('ECOMMERS SALES'!$A:$J,MATCH('index match'!$A205,'ECOMMERS SALES'!$C:$C,0),MATCH('index match'!C$1,ECOMMERS_SALES[#Headers],0))</f>
        <v>05-01-2025</v>
      </c>
      <c r="D205" t="str">
        <f>INDEX('ECOMMERS SALES'!$A:$J,MATCH('index match'!$A205,'ECOMMERS SALES'!$C:$C,0),MATCH('index match'!D$1,ECOMMERS_SALES[#Headers],0))</f>
        <v>Other</v>
      </c>
      <c r="E205">
        <f>INDEX('ECOMMERS SALES'!$A:$J,MATCH('index match'!$A205,'ECOMMERS SALES'!$C:$C,0),MATCH('index match'!E$1,ECOMMERS_SALES[#Headers],0))</f>
        <v>2</v>
      </c>
      <c r="F205">
        <f>INDEX('ECOMMERS SALES'!$A:$J,MATCH('index match'!$A205,'ECOMMERS SALES'!$C:$C,0),MATCH('index match'!F$1,ECOMMERS_SALES[#Headers],0))</f>
        <v>10072</v>
      </c>
      <c r="G205">
        <f>INDEX('ECOMMERS SALES'!$A:$J,MATCH('index match'!$A205,'ECOMMERS SALES'!$C:$C,0),MATCH('index match'!G$1,ECOMMERS_SALES[#Headers],0))</f>
        <v>20144</v>
      </c>
      <c r="H205" t="str">
        <f>INDEX('ECOMMERS SALES'!$A:$J,MATCH('index match'!$A205,'ECOMMERS SALES'!$C:$C,0),MATCH('index match'!H$1,ECOMMERS_SALES[#Headers],0))</f>
        <v>Pune</v>
      </c>
      <c r="I205" t="str">
        <f>INDEX('ECOMMERS SALES'!$A:$J,MATCH('index match'!$A205,'ECOMMERS SALES'!$C:$C,0),MATCH('index match'!I$1,ECOMMERS_SALES[#Headers],0))</f>
        <v>Premimum</v>
      </c>
      <c r="J205" t="str">
        <f>INDEX('ECOMMERS SALES'!$A:$J,MATCH('index match'!$A205,'ECOMMERS SALES'!$C:$C,0),MATCH('index match'!J$1,ECOMMERS_SALES[#Headers],0))</f>
        <v>Card</v>
      </c>
    </row>
    <row r="206" spans="1:10" x14ac:dyDescent="0.35">
      <c r="A206" t="s">
        <v>29</v>
      </c>
      <c r="B206">
        <f>INDEX('ECOMMERS SALES'!$A:$J,MATCH('index match'!$A206,'ECOMMERS SALES'!$C:$C,0),MATCH('index match'!B$1,ECOMMERS_SALES[#Headers],0))</f>
        <v>1005</v>
      </c>
      <c r="C206" t="str">
        <f>INDEX('ECOMMERS SALES'!$A:$J,MATCH('index match'!$A206,'ECOMMERS SALES'!$C:$C,0),MATCH('index match'!C$1,ECOMMERS_SALES[#Headers],0))</f>
        <v>06-01-2025</v>
      </c>
      <c r="D206" t="str">
        <f>INDEX('ECOMMERS SALES'!$A:$J,MATCH('index match'!$A206,'ECOMMERS SALES'!$C:$C,0),MATCH('index match'!D$1,ECOMMERS_SALES[#Headers],0))</f>
        <v>Other</v>
      </c>
      <c r="E206">
        <f>INDEX('ECOMMERS SALES'!$A:$J,MATCH('index match'!$A206,'ECOMMERS SALES'!$C:$C,0),MATCH('index match'!E$1,ECOMMERS_SALES[#Headers],0))</f>
        <v>2</v>
      </c>
      <c r="F206">
        <f>INDEX('ECOMMERS SALES'!$A:$J,MATCH('index match'!$A206,'ECOMMERS SALES'!$C:$C,0),MATCH('index match'!F$1,ECOMMERS_SALES[#Headers],0))</f>
        <v>920</v>
      </c>
      <c r="G206">
        <f>INDEX('ECOMMERS SALES'!$A:$J,MATCH('index match'!$A206,'ECOMMERS SALES'!$C:$C,0),MATCH('index match'!G$1,ECOMMERS_SALES[#Headers],0))</f>
        <v>1840</v>
      </c>
      <c r="H206" t="str">
        <f>INDEX('ECOMMERS SALES'!$A:$J,MATCH('index match'!$A206,'ECOMMERS SALES'!$C:$C,0),MATCH('index match'!H$1,ECOMMERS_SALES[#Headers],0))</f>
        <v>Pune</v>
      </c>
      <c r="I206" t="str">
        <f>INDEX('ECOMMERS SALES'!$A:$J,MATCH('index match'!$A206,'ECOMMERS SALES'!$C:$C,0),MATCH('index match'!I$1,ECOMMERS_SALES[#Headers],0))</f>
        <v>New</v>
      </c>
      <c r="J206" t="str">
        <f>INDEX('ECOMMERS SALES'!$A:$J,MATCH('index match'!$A206,'ECOMMERS SALES'!$C:$C,0),MATCH('index match'!J$1,ECOMMERS_SALES[#Headers],0))</f>
        <v>UPI</v>
      </c>
    </row>
    <row r="207" spans="1:10" x14ac:dyDescent="0.35">
      <c r="A207" t="s">
        <v>31</v>
      </c>
      <c r="B207">
        <f>INDEX('ECOMMERS SALES'!$A:$J,MATCH('index match'!$A207,'ECOMMERS SALES'!$C:$C,0),MATCH('index match'!B$1,ECOMMERS_SALES[#Headers],0))</f>
        <v>1006</v>
      </c>
      <c r="C207" t="str">
        <f>INDEX('ECOMMERS SALES'!$A:$J,MATCH('index match'!$A207,'ECOMMERS SALES'!$C:$C,0),MATCH('index match'!C$1,ECOMMERS_SALES[#Headers],0))</f>
        <v>07-01-2025</v>
      </c>
      <c r="D207" t="str">
        <f>INDEX('ECOMMERS SALES'!$A:$J,MATCH('index match'!$A207,'ECOMMERS SALES'!$C:$C,0),MATCH('index match'!D$1,ECOMMERS_SALES[#Headers],0))</f>
        <v>Electronics</v>
      </c>
      <c r="E207">
        <f>INDEX('ECOMMERS SALES'!$A:$J,MATCH('index match'!$A207,'ECOMMERS SALES'!$C:$C,0),MATCH('index match'!E$1,ECOMMERS_SALES[#Headers],0))</f>
        <v>1</v>
      </c>
      <c r="F207">
        <f>INDEX('ECOMMERS SALES'!$A:$J,MATCH('index match'!$A207,'ECOMMERS SALES'!$C:$C,0),MATCH('index match'!F$1,ECOMMERS_SALES[#Headers],0))</f>
        <v>13225</v>
      </c>
      <c r="G207">
        <f>INDEX('ECOMMERS SALES'!$A:$J,MATCH('index match'!$A207,'ECOMMERS SALES'!$C:$C,0),MATCH('index match'!G$1,ECOMMERS_SALES[#Headers],0))</f>
        <v>13225</v>
      </c>
      <c r="H207" t="str">
        <f>INDEX('ECOMMERS SALES'!$A:$J,MATCH('index match'!$A207,'ECOMMERS SALES'!$C:$C,0),MATCH('index match'!H$1,ECOMMERS_SALES[#Headers],0))</f>
        <v>Delhi</v>
      </c>
      <c r="I207" t="str">
        <f>INDEX('ECOMMERS SALES'!$A:$J,MATCH('index match'!$A207,'ECOMMERS SALES'!$C:$C,0),MATCH('index match'!I$1,ECOMMERS_SALES[#Headers],0))</f>
        <v>Returning</v>
      </c>
      <c r="J207" t="str">
        <f>INDEX('ECOMMERS SALES'!$A:$J,MATCH('index match'!$A207,'ECOMMERS SALES'!$C:$C,0),MATCH('index match'!J$1,ECOMMERS_SALES[#Headers],0))</f>
        <v>COD</v>
      </c>
    </row>
    <row r="208" spans="1:10" x14ac:dyDescent="0.35">
      <c r="A208" t="s">
        <v>35</v>
      </c>
      <c r="B208">
        <f>INDEX('ECOMMERS SALES'!$A:$J,MATCH('index match'!$A208,'ECOMMERS SALES'!$C:$C,0),MATCH('index match'!B$1,ECOMMERS_SALES[#Headers],0))</f>
        <v>1007</v>
      </c>
      <c r="C208" t="str">
        <f>INDEX('ECOMMERS SALES'!$A:$J,MATCH('index match'!$A208,'ECOMMERS SALES'!$C:$C,0),MATCH('index match'!C$1,ECOMMERS_SALES[#Headers],0))</f>
        <v>08-01-2025</v>
      </c>
      <c r="D208" t="str">
        <f>INDEX('ECOMMERS SALES'!$A:$J,MATCH('index match'!$A208,'ECOMMERS SALES'!$C:$C,0),MATCH('index match'!D$1,ECOMMERS_SALES[#Headers],0))</f>
        <v>Books</v>
      </c>
      <c r="E208">
        <f>INDEX('ECOMMERS SALES'!$A:$J,MATCH('index match'!$A208,'ECOMMERS SALES'!$C:$C,0),MATCH('index match'!E$1,ECOMMERS_SALES[#Headers],0))</f>
        <v>3</v>
      </c>
      <c r="F208">
        <f>INDEX('ECOMMERS SALES'!$A:$J,MATCH('index match'!$A208,'ECOMMERS SALES'!$C:$C,0),MATCH('index match'!F$1,ECOMMERS_SALES[#Headers],0))</f>
        <v>621</v>
      </c>
      <c r="G208">
        <f>INDEX('ECOMMERS SALES'!$A:$J,MATCH('index match'!$A208,'ECOMMERS SALES'!$C:$C,0),MATCH('index match'!G$1,ECOMMERS_SALES[#Headers],0))</f>
        <v>1863</v>
      </c>
      <c r="H208" t="str">
        <f>INDEX('ECOMMERS SALES'!$A:$J,MATCH('index match'!$A208,'ECOMMERS SALES'!$C:$C,0),MATCH('index match'!H$1,ECOMMERS_SALES[#Headers],0))</f>
        <v>Hyderabad</v>
      </c>
      <c r="I208" t="str">
        <f>INDEX('ECOMMERS SALES'!$A:$J,MATCH('index match'!$A208,'ECOMMERS SALES'!$C:$C,0),MATCH('index match'!I$1,ECOMMERS_SALES[#Headers],0))</f>
        <v>Premimum</v>
      </c>
      <c r="J208" t="str">
        <f>INDEX('ECOMMERS SALES'!$A:$J,MATCH('index match'!$A208,'ECOMMERS SALES'!$C:$C,0),MATCH('index match'!J$1,ECOMMERS_SALES[#Headers],0))</f>
        <v>UPI</v>
      </c>
    </row>
    <row r="209" spans="1:10" x14ac:dyDescent="0.35">
      <c r="A209" t="s">
        <v>39</v>
      </c>
      <c r="B209">
        <f>INDEX('ECOMMERS SALES'!$A:$J,MATCH('index match'!$A209,'ECOMMERS SALES'!$C:$C,0),MATCH('index match'!B$1,ECOMMERS_SALES[#Headers],0))</f>
        <v>1008</v>
      </c>
      <c r="C209" t="str">
        <f>INDEX('ECOMMERS SALES'!$A:$J,MATCH('index match'!$A209,'ECOMMERS SALES'!$C:$C,0),MATCH('index match'!C$1,ECOMMERS_SALES[#Headers],0))</f>
        <v>09-01-2025</v>
      </c>
      <c r="D209" t="str">
        <f>INDEX('ECOMMERS SALES'!$A:$J,MATCH('index match'!$A209,'ECOMMERS SALES'!$C:$C,0),MATCH('index match'!D$1,ECOMMERS_SALES[#Headers],0))</f>
        <v>Fashion</v>
      </c>
      <c r="E209">
        <f>INDEX('ECOMMERS SALES'!$A:$J,MATCH('index match'!$A209,'ECOMMERS SALES'!$C:$C,0),MATCH('index match'!E$1,ECOMMERS_SALES[#Headers],0))</f>
        <v>2</v>
      </c>
      <c r="F209">
        <f>INDEX('ECOMMERS SALES'!$A:$J,MATCH('index match'!$A209,'ECOMMERS SALES'!$C:$C,0),MATCH('index match'!F$1,ECOMMERS_SALES[#Headers],0))</f>
        <v>905</v>
      </c>
      <c r="G209">
        <f>INDEX('ECOMMERS SALES'!$A:$J,MATCH('index match'!$A209,'ECOMMERS SALES'!$C:$C,0),MATCH('index match'!G$1,ECOMMERS_SALES[#Headers],0))</f>
        <v>1810</v>
      </c>
      <c r="H209" t="str">
        <f>INDEX('ECOMMERS SALES'!$A:$J,MATCH('index match'!$A209,'ECOMMERS SALES'!$C:$C,0),MATCH('index match'!H$1,ECOMMERS_SALES[#Headers],0))</f>
        <v>Bangalore</v>
      </c>
      <c r="I209" t="str">
        <f>INDEX('ECOMMERS SALES'!$A:$J,MATCH('index match'!$A209,'ECOMMERS SALES'!$C:$C,0),MATCH('index match'!I$1,ECOMMERS_SALES[#Headers],0))</f>
        <v>New</v>
      </c>
      <c r="J209" t="str">
        <f>INDEX('ECOMMERS SALES'!$A:$J,MATCH('index match'!$A209,'ECOMMERS SALES'!$C:$C,0),MATCH('index match'!J$1,ECOMMERS_SALES[#Headers],0))</f>
        <v>COD</v>
      </c>
    </row>
    <row r="210" spans="1:10" x14ac:dyDescent="0.35">
      <c r="A210" t="s">
        <v>42</v>
      </c>
      <c r="B210">
        <f>INDEX('ECOMMERS SALES'!$A:$J,MATCH('index match'!$A210,'ECOMMERS SALES'!$C:$C,0),MATCH('index match'!B$1,ECOMMERS_SALES[#Headers],0))</f>
        <v>1009</v>
      </c>
      <c r="C210" t="str">
        <f>INDEX('ECOMMERS SALES'!$A:$J,MATCH('index match'!$A210,'ECOMMERS SALES'!$C:$C,0),MATCH('index match'!C$1,ECOMMERS_SALES[#Headers],0))</f>
        <v>10-01-2025</v>
      </c>
      <c r="D210" t="str">
        <f>INDEX('ECOMMERS SALES'!$A:$J,MATCH('index match'!$A210,'ECOMMERS SALES'!$C:$C,0),MATCH('index match'!D$1,ECOMMERS_SALES[#Headers],0))</f>
        <v>Electronics</v>
      </c>
      <c r="E210">
        <f>INDEX('ECOMMERS SALES'!$A:$J,MATCH('index match'!$A210,'ECOMMERS SALES'!$C:$C,0),MATCH('index match'!E$1,ECOMMERS_SALES[#Headers],0))</f>
        <v>1</v>
      </c>
      <c r="F210">
        <f>INDEX('ECOMMERS SALES'!$A:$J,MATCH('index match'!$A210,'ECOMMERS SALES'!$C:$C,0),MATCH('index match'!F$1,ECOMMERS_SALES[#Headers],0))</f>
        <v>8563</v>
      </c>
      <c r="G210">
        <f>INDEX('ECOMMERS SALES'!$A:$J,MATCH('index match'!$A210,'ECOMMERS SALES'!$C:$C,0),MATCH('index match'!G$1,ECOMMERS_SALES[#Headers],0))</f>
        <v>8563</v>
      </c>
      <c r="H210" t="str">
        <f>INDEX('ECOMMERS SALES'!$A:$J,MATCH('index match'!$A210,'ECOMMERS SALES'!$C:$C,0),MATCH('index match'!H$1,ECOMMERS_SALES[#Headers],0))</f>
        <v>Hyderabad</v>
      </c>
      <c r="I210" t="str">
        <f>INDEX('ECOMMERS SALES'!$A:$J,MATCH('index match'!$A210,'ECOMMERS SALES'!$C:$C,0),MATCH('index match'!I$1,ECOMMERS_SALES[#Headers],0))</f>
        <v>Returning</v>
      </c>
      <c r="J210" t="str">
        <f>INDEX('ECOMMERS SALES'!$A:$J,MATCH('index match'!$A210,'ECOMMERS SALES'!$C:$C,0),MATCH('index match'!J$1,ECOMMERS_SALES[#Headers],0))</f>
        <v>Card</v>
      </c>
    </row>
    <row r="211" spans="1:10" x14ac:dyDescent="0.35">
      <c r="A211" t="s">
        <v>44</v>
      </c>
      <c r="B211">
        <f>INDEX('ECOMMERS SALES'!$A:$J,MATCH('index match'!$A211,'ECOMMERS SALES'!$C:$C,0),MATCH('index match'!B$1,ECOMMERS_SALES[#Headers],0))</f>
        <v>1010</v>
      </c>
      <c r="C211" t="str">
        <f>INDEX('ECOMMERS SALES'!$A:$J,MATCH('index match'!$A211,'ECOMMERS SALES'!$C:$C,0),MATCH('index match'!C$1,ECOMMERS_SALES[#Headers],0))</f>
        <v>11-01-2025</v>
      </c>
      <c r="D211" t="str">
        <f>INDEX('ECOMMERS SALES'!$A:$J,MATCH('index match'!$A211,'ECOMMERS SALES'!$C:$C,0),MATCH('index match'!D$1,ECOMMERS_SALES[#Headers],0))</f>
        <v>Other</v>
      </c>
      <c r="E211">
        <f>INDEX('ECOMMERS SALES'!$A:$J,MATCH('index match'!$A211,'ECOMMERS SALES'!$C:$C,0),MATCH('index match'!E$1,ECOMMERS_SALES[#Headers],0))</f>
        <v>1</v>
      </c>
      <c r="F211">
        <f>INDEX('ECOMMERS SALES'!$A:$J,MATCH('index match'!$A211,'ECOMMERS SALES'!$C:$C,0),MATCH('index match'!F$1,ECOMMERS_SALES[#Headers],0))</f>
        <v>268</v>
      </c>
      <c r="G211">
        <f>INDEX('ECOMMERS SALES'!$A:$J,MATCH('index match'!$A211,'ECOMMERS SALES'!$C:$C,0),MATCH('index match'!G$1,ECOMMERS_SALES[#Headers],0))</f>
        <v>268</v>
      </c>
      <c r="H211" t="str">
        <f>INDEX('ECOMMERS SALES'!$A:$J,MATCH('index match'!$A211,'ECOMMERS SALES'!$C:$C,0),MATCH('index match'!H$1,ECOMMERS_SALES[#Headers],0))</f>
        <v>Chennai</v>
      </c>
      <c r="I211" t="str">
        <f>INDEX('ECOMMERS SALES'!$A:$J,MATCH('index match'!$A211,'ECOMMERS SALES'!$C:$C,0),MATCH('index match'!I$1,ECOMMERS_SALES[#Headers],0))</f>
        <v>New</v>
      </c>
      <c r="J211" t="str">
        <f>INDEX('ECOMMERS SALES'!$A:$J,MATCH('index match'!$A211,'ECOMMERS SALES'!$C:$C,0),MATCH('index match'!J$1,ECOMMERS_SALES[#Headers],0))</f>
        <v>UPI</v>
      </c>
    </row>
    <row r="212" spans="1:10" x14ac:dyDescent="0.35">
      <c r="A212" t="s">
        <v>11</v>
      </c>
      <c r="B212">
        <f>INDEX('ECOMMERS SALES'!$A:$J,MATCH('index match'!$A212,'ECOMMERS SALES'!$C:$C,0),MATCH('index match'!B$1,ECOMMERS_SALES[#Headers],0))</f>
        <v>1001</v>
      </c>
      <c r="C212" t="str">
        <f>INDEX('ECOMMERS SALES'!$A:$J,MATCH('index match'!$A212,'ECOMMERS SALES'!$C:$C,0),MATCH('index match'!C$1,ECOMMERS_SALES[#Headers],0))</f>
        <v>02-01-2025</v>
      </c>
      <c r="D212" t="str">
        <f>INDEX('ECOMMERS SALES'!$A:$J,MATCH('index match'!$A212,'ECOMMERS SALES'!$C:$C,0),MATCH('index match'!D$1,ECOMMERS_SALES[#Headers],0))</f>
        <v>Electronics</v>
      </c>
      <c r="E212">
        <f>INDEX('ECOMMERS SALES'!$A:$J,MATCH('index match'!$A212,'ECOMMERS SALES'!$C:$C,0),MATCH('index match'!E$1,ECOMMERS_SALES[#Headers],0))</f>
        <v>2</v>
      </c>
      <c r="F212">
        <f>INDEX('ECOMMERS SALES'!$A:$J,MATCH('index match'!$A212,'ECOMMERS SALES'!$C:$C,0),MATCH('index match'!F$1,ECOMMERS_SALES[#Headers],0))</f>
        <v>50353</v>
      </c>
      <c r="G212">
        <f>INDEX('ECOMMERS SALES'!$A:$J,MATCH('index match'!$A212,'ECOMMERS SALES'!$C:$C,0),MATCH('index match'!G$1,ECOMMERS_SALES[#Headers],0))</f>
        <v>100706</v>
      </c>
      <c r="H212" t="str">
        <f>INDEX('ECOMMERS SALES'!$A:$J,MATCH('index match'!$A212,'ECOMMERS SALES'!$C:$C,0),MATCH('index match'!H$1,ECOMMERS_SALES[#Headers],0))</f>
        <v>Chennai</v>
      </c>
      <c r="I212" t="str">
        <f>INDEX('ECOMMERS SALES'!$A:$J,MATCH('index match'!$A212,'ECOMMERS SALES'!$C:$C,0),MATCH('index match'!I$1,ECOMMERS_SALES[#Headers],0))</f>
        <v>Premimum</v>
      </c>
      <c r="J212" t="str">
        <f>INDEX('ECOMMERS SALES'!$A:$J,MATCH('index match'!$A212,'ECOMMERS SALES'!$C:$C,0),MATCH('index match'!J$1,ECOMMERS_SALES[#Headers],0))</f>
        <v>Card</v>
      </c>
    </row>
    <row r="213" spans="1:10" x14ac:dyDescent="0.35">
      <c r="A213" t="s">
        <v>17</v>
      </c>
      <c r="B213">
        <f>INDEX('ECOMMERS SALES'!$A:$J,MATCH('index match'!$A213,'ECOMMERS SALES'!$C:$C,0),MATCH('index match'!B$1,ECOMMERS_SALES[#Headers],0))</f>
        <v>1002</v>
      </c>
      <c r="C213" t="str">
        <f>INDEX('ECOMMERS SALES'!$A:$J,MATCH('index match'!$A213,'ECOMMERS SALES'!$C:$C,0),MATCH('index match'!C$1,ECOMMERS_SALES[#Headers],0))</f>
        <v>03-01-2025</v>
      </c>
      <c r="D213" t="str">
        <f>INDEX('ECOMMERS SALES'!$A:$J,MATCH('index match'!$A213,'ECOMMERS SALES'!$C:$C,0),MATCH('index match'!D$1,ECOMMERS_SALES[#Headers],0))</f>
        <v>Electronics</v>
      </c>
      <c r="E213">
        <f>INDEX('ECOMMERS SALES'!$A:$J,MATCH('index match'!$A213,'ECOMMERS SALES'!$C:$C,0),MATCH('index match'!E$1,ECOMMERS_SALES[#Headers],0))</f>
        <v>2</v>
      </c>
      <c r="F213">
        <f>INDEX('ECOMMERS SALES'!$A:$J,MATCH('index match'!$A213,'ECOMMERS SALES'!$C:$C,0),MATCH('index match'!F$1,ECOMMERS_SALES[#Headers],0))</f>
        <v>2008</v>
      </c>
      <c r="G213">
        <f>INDEX('ECOMMERS SALES'!$A:$J,MATCH('index match'!$A213,'ECOMMERS SALES'!$C:$C,0),MATCH('index match'!G$1,ECOMMERS_SALES[#Headers],0))</f>
        <v>4016</v>
      </c>
      <c r="H213" t="str">
        <f>INDEX('ECOMMERS SALES'!$A:$J,MATCH('index match'!$A213,'ECOMMERS SALES'!$C:$C,0),MATCH('index match'!H$1,ECOMMERS_SALES[#Headers],0))</f>
        <v>Delhi</v>
      </c>
      <c r="I213" t="str">
        <f>INDEX('ECOMMERS SALES'!$A:$J,MATCH('index match'!$A213,'ECOMMERS SALES'!$C:$C,0),MATCH('index match'!I$1,ECOMMERS_SALES[#Headers],0))</f>
        <v>New</v>
      </c>
      <c r="J213" t="str">
        <f>INDEX('ECOMMERS SALES'!$A:$J,MATCH('index match'!$A213,'ECOMMERS SALES'!$C:$C,0),MATCH('index match'!J$1,ECOMMERS_SALES[#Headers],0))</f>
        <v>UPI</v>
      </c>
    </row>
    <row r="214" spans="1:10" x14ac:dyDescent="0.35">
      <c r="A214" t="s">
        <v>22</v>
      </c>
      <c r="B214">
        <f>INDEX('ECOMMERS SALES'!$A:$J,MATCH('index match'!$A214,'ECOMMERS SALES'!$C:$C,0),MATCH('index match'!B$1,ECOMMERS_SALES[#Headers],0))</f>
        <v>1003</v>
      </c>
      <c r="C214" t="str">
        <f>INDEX('ECOMMERS SALES'!$A:$J,MATCH('index match'!$A214,'ECOMMERS SALES'!$C:$C,0),MATCH('index match'!C$1,ECOMMERS_SALES[#Headers],0))</f>
        <v>04-01-2025</v>
      </c>
      <c r="D214" t="str">
        <f>INDEX('ECOMMERS SALES'!$A:$J,MATCH('index match'!$A214,'ECOMMERS SALES'!$C:$C,0),MATCH('index match'!D$1,ECOMMERS_SALES[#Headers],0))</f>
        <v>Fashion</v>
      </c>
      <c r="E214">
        <f>INDEX('ECOMMERS SALES'!$A:$J,MATCH('index match'!$A214,'ECOMMERS SALES'!$C:$C,0),MATCH('index match'!E$1,ECOMMERS_SALES[#Headers],0))</f>
        <v>1</v>
      </c>
      <c r="F214">
        <f>INDEX('ECOMMERS SALES'!$A:$J,MATCH('index match'!$A214,'ECOMMERS SALES'!$C:$C,0),MATCH('index match'!F$1,ECOMMERS_SALES[#Headers],0))</f>
        <v>4736</v>
      </c>
      <c r="G214">
        <f>INDEX('ECOMMERS SALES'!$A:$J,MATCH('index match'!$A214,'ECOMMERS SALES'!$C:$C,0),MATCH('index match'!G$1,ECOMMERS_SALES[#Headers],0))</f>
        <v>4736</v>
      </c>
      <c r="H214" t="str">
        <f>INDEX('ECOMMERS SALES'!$A:$J,MATCH('index match'!$A214,'ECOMMERS SALES'!$C:$C,0),MATCH('index match'!H$1,ECOMMERS_SALES[#Headers],0))</f>
        <v>Chennai</v>
      </c>
      <c r="I214" t="str">
        <f>INDEX('ECOMMERS SALES'!$A:$J,MATCH('index match'!$A214,'ECOMMERS SALES'!$C:$C,0),MATCH('index match'!I$1,ECOMMERS_SALES[#Headers],0))</f>
        <v>New</v>
      </c>
      <c r="J214" t="str">
        <f>INDEX('ECOMMERS SALES'!$A:$J,MATCH('index match'!$A214,'ECOMMERS SALES'!$C:$C,0),MATCH('index match'!J$1,ECOMMERS_SALES[#Headers],0))</f>
        <v>UPI</v>
      </c>
    </row>
    <row r="215" spans="1:10" x14ac:dyDescent="0.35">
      <c r="A215" t="s">
        <v>25</v>
      </c>
      <c r="B215">
        <f>INDEX('ECOMMERS SALES'!$A:$J,MATCH('index match'!$A215,'ECOMMERS SALES'!$C:$C,0),MATCH('index match'!B$1,ECOMMERS_SALES[#Headers],0))</f>
        <v>1004</v>
      </c>
      <c r="C215" t="str">
        <f>INDEX('ECOMMERS SALES'!$A:$J,MATCH('index match'!$A215,'ECOMMERS SALES'!$C:$C,0),MATCH('index match'!C$1,ECOMMERS_SALES[#Headers],0))</f>
        <v>05-01-2025</v>
      </c>
      <c r="D215" t="str">
        <f>INDEX('ECOMMERS SALES'!$A:$J,MATCH('index match'!$A215,'ECOMMERS SALES'!$C:$C,0),MATCH('index match'!D$1,ECOMMERS_SALES[#Headers],0))</f>
        <v>Other</v>
      </c>
      <c r="E215">
        <f>INDEX('ECOMMERS SALES'!$A:$J,MATCH('index match'!$A215,'ECOMMERS SALES'!$C:$C,0),MATCH('index match'!E$1,ECOMMERS_SALES[#Headers],0))</f>
        <v>2</v>
      </c>
      <c r="F215">
        <f>INDEX('ECOMMERS SALES'!$A:$J,MATCH('index match'!$A215,'ECOMMERS SALES'!$C:$C,0),MATCH('index match'!F$1,ECOMMERS_SALES[#Headers],0))</f>
        <v>10072</v>
      </c>
      <c r="G215">
        <f>INDEX('ECOMMERS SALES'!$A:$J,MATCH('index match'!$A215,'ECOMMERS SALES'!$C:$C,0),MATCH('index match'!G$1,ECOMMERS_SALES[#Headers],0))</f>
        <v>20144</v>
      </c>
      <c r="H215" t="str">
        <f>INDEX('ECOMMERS SALES'!$A:$J,MATCH('index match'!$A215,'ECOMMERS SALES'!$C:$C,0),MATCH('index match'!H$1,ECOMMERS_SALES[#Headers],0))</f>
        <v>Pune</v>
      </c>
      <c r="I215" t="str">
        <f>INDEX('ECOMMERS SALES'!$A:$J,MATCH('index match'!$A215,'ECOMMERS SALES'!$C:$C,0),MATCH('index match'!I$1,ECOMMERS_SALES[#Headers],0))</f>
        <v>Premimum</v>
      </c>
      <c r="J215" t="str">
        <f>INDEX('ECOMMERS SALES'!$A:$J,MATCH('index match'!$A215,'ECOMMERS SALES'!$C:$C,0),MATCH('index match'!J$1,ECOMMERS_SALES[#Headers],0))</f>
        <v>Card</v>
      </c>
    </row>
    <row r="216" spans="1:10" x14ac:dyDescent="0.35">
      <c r="A216" t="s">
        <v>29</v>
      </c>
      <c r="B216">
        <f>INDEX('ECOMMERS SALES'!$A:$J,MATCH('index match'!$A216,'ECOMMERS SALES'!$C:$C,0),MATCH('index match'!B$1,ECOMMERS_SALES[#Headers],0))</f>
        <v>1005</v>
      </c>
      <c r="C216" t="str">
        <f>INDEX('ECOMMERS SALES'!$A:$J,MATCH('index match'!$A216,'ECOMMERS SALES'!$C:$C,0),MATCH('index match'!C$1,ECOMMERS_SALES[#Headers],0))</f>
        <v>06-01-2025</v>
      </c>
      <c r="D216" t="str">
        <f>INDEX('ECOMMERS SALES'!$A:$J,MATCH('index match'!$A216,'ECOMMERS SALES'!$C:$C,0),MATCH('index match'!D$1,ECOMMERS_SALES[#Headers],0))</f>
        <v>Other</v>
      </c>
      <c r="E216">
        <f>INDEX('ECOMMERS SALES'!$A:$J,MATCH('index match'!$A216,'ECOMMERS SALES'!$C:$C,0),MATCH('index match'!E$1,ECOMMERS_SALES[#Headers],0))</f>
        <v>2</v>
      </c>
      <c r="F216">
        <f>INDEX('ECOMMERS SALES'!$A:$J,MATCH('index match'!$A216,'ECOMMERS SALES'!$C:$C,0),MATCH('index match'!F$1,ECOMMERS_SALES[#Headers],0))</f>
        <v>920</v>
      </c>
      <c r="G216">
        <f>INDEX('ECOMMERS SALES'!$A:$J,MATCH('index match'!$A216,'ECOMMERS SALES'!$C:$C,0),MATCH('index match'!G$1,ECOMMERS_SALES[#Headers],0))</f>
        <v>1840</v>
      </c>
      <c r="H216" t="str">
        <f>INDEX('ECOMMERS SALES'!$A:$J,MATCH('index match'!$A216,'ECOMMERS SALES'!$C:$C,0),MATCH('index match'!H$1,ECOMMERS_SALES[#Headers],0))</f>
        <v>Pune</v>
      </c>
      <c r="I216" t="str">
        <f>INDEX('ECOMMERS SALES'!$A:$J,MATCH('index match'!$A216,'ECOMMERS SALES'!$C:$C,0),MATCH('index match'!I$1,ECOMMERS_SALES[#Headers],0))</f>
        <v>New</v>
      </c>
      <c r="J216" t="str">
        <f>INDEX('ECOMMERS SALES'!$A:$J,MATCH('index match'!$A216,'ECOMMERS SALES'!$C:$C,0),MATCH('index match'!J$1,ECOMMERS_SALES[#Headers],0))</f>
        <v>UPI</v>
      </c>
    </row>
    <row r="217" spans="1:10" x14ac:dyDescent="0.35">
      <c r="A217" t="s">
        <v>31</v>
      </c>
      <c r="B217">
        <f>INDEX('ECOMMERS SALES'!$A:$J,MATCH('index match'!$A217,'ECOMMERS SALES'!$C:$C,0),MATCH('index match'!B$1,ECOMMERS_SALES[#Headers],0))</f>
        <v>1006</v>
      </c>
      <c r="C217" t="str">
        <f>INDEX('ECOMMERS SALES'!$A:$J,MATCH('index match'!$A217,'ECOMMERS SALES'!$C:$C,0),MATCH('index match'!C$1,ECOMMERS_SALES[#Headers],0))</f>
        <v>07-01-2025</v>
      </c>
      <c r="D217" t="str">
        <f>INDEX('ECOMMERS SALES'!$A:$J,MATCH('index match'!$A217,'ECOMMERS SALES'!$C:$C,0),MATCH('index match'!D$1,ECOMMERS_SALES[#Headers],0))</f>
        <v>Electronics</v>
      </c>
      <c r="E217">
        <f>INDEX('ECOMMERS SALES'!$A:$J,MATCH('index match'!$A217,'ECOMMERS SALES'!$C:$C,0),MATCH('index match'!E$1,ECOMMERS_SALES[#Headers],0))</f>
        <v>1</v>
      </c>
      <c r="F217">
        <f>INDEX('ECOMMERS SALES'!$A:$J,MATCH('index match'!$A217,'ECOMMERS SALES'!$C:$C,0),MATCH('index match'!F$1,ECOMMERS_SALES[#Headers],0))</f>
        <v>13225</v>
      </c>
      <c r="G217">
        <f>INDEX('ECOMMERS SALES'!$A:$J,MATCH('index match'!$A217,'ECOMMERS SALES'!$C:$C,0),MATCH('index match'!G$1,ECOMMERS_SALES[#Headers],0))</f>
        <v>13225</v>
      </c>
      <c r="H217" t="str">
        <f>INDEX('ECOMMERS SALES'!$A:$J,MATCH('index match'!$A217,'ECOMMERS SALES'!$C:$C,0),MATCH('index match'!H$1,ECOMMERS_SALES[#Headers],0))</f>
        <v>Delhi</v>
      </c>
      <c r="I217" t="str">
        <f>INDEX('ECOMMERS SALES'!$A:$J,MATCH('index match'!$A217,'ECOMMERS SALES'!$C:$C,0),MATCH('index match'!I$1,ECOMMERS_SALES[#Headers],0))</f>
        <v>Returning</v>
      </c>
      <c r="J217" t="str">
        <f>INDEX('ECOMMERS SALES'!$A:$J,MATCH('index match'!$A217,'ECOMMERS SALES'!$C:$C,0),MATCH('index match'!J$1,ECOMMERS_SALES[#Headers],0))</f>
        <v>COD</v>
      </c>
    </row>
    <row r="218" spans="1:10" x14ac:dyDescent="0.35">
      <c r="A218" t="s">
        <v>35</v>
      </c>
      <c r="B218">
        <f>INDEX('ECOMMERS SALES'!$A:$J,MATCH('index match'!$A218,'ECOMMERS SALES'!$C:$C,0),MATCH('index match'!B$1,ECOMMERS_SALES[#Headers],0))</f>
        <v>1007</v>
      </c>
      <c r="C218" t="str">
        <f>INDEX('ECOMMERS SALES'!$A:$J,MATCH('index match'!$A218,'ECOMMERS SALES'!$C:$C,0),MATCH('index match'!C$1,ECOMMERS_SALES[#Headers],0))</f>
        <v>08-01-2025</v>
      </c>
      <c r="D218" t="str">
        <f>INDEX('ECOMMERS SALES'!$A:$J,MATCH('index match'!$A218,'ECOMMERS SALES'!$C:$C,0),MATCH('index match'!D$1,ECOMMERS_SALES[#Headers],0))</f>
        <v>Books</v>
      </c>
      <c r="E218">
        <f>INDEX('ECOMMERS SALES'!$A:$J,MATCH('index match'!$A218,'ECOMMERS SALES'!$C:$C,0),MATCH('index match'!E$1,ECOMMERS_SALES[#Headers],0))</f>
        <v>3</v>
      </c>
      <c r="F218">
        <f>INDEX('ECOMMERS SALES'!$A:$J,MATCH('index match'!$A218,'ECOMMERS SALES'!$C:$C,0),MATCH('index match'!F$1,ECOMMERS_SALES[#Headers],0))</f>
        <v>621</v>
      </c>
      <c r="G218">
        <f>INDEX('ECOMMERS SALES'!$A:$J,MATCH('index match'!$A218,'ECOMMERS SALES'!$C:$C,0),MATCH('index match'!G$1,ECOMMERS_SALES[#Headers],0))</f>
        <v>1863</v>
      </c>
      <c r="H218" t="str">
        <f>INDEX('ECOMMERS SALES'!$A:$J,MATCH('index match'!$A218,'ECOMMERS SALES'!$C:$C,0),MATCH('index match'!H$1,ECOMMERS_SALES[#Headers],0))</f>
        <v>Hyderabad</v>
      </c>
      <c r="I218" t="str">
        <f>INDEX('ECOMMERS SALES'!$A:$J,MATCH('index match'!$A218,'ECOMMERS SALES'!$C:$C,0),MATCH('index match'!I$1,ECOMMERS_SALES[#Headers],0))</f>
        <v>Premimum</v>
      </c>
      <c r="J218" t="str">
        <f>INDEX('ECOMMERS SALES'!$A:$J,MATCH('index match'!$A218,'ECOMMERS SALES'!$C:$C,0),MATCH('index match'!J$1,ECOMMERS_SALES[#Headers],0))</f>
        <v>UPI</v>
      </c>
    </row>
    <row r="219" spans="1:10" x14ac:dyDescent="0.35">
      <c r="A219" t="s">
        <v>39</v>
      </c>
      <c r="B219">
        <f>INDEX('ECOMMERS SALES'!$A:$J,MATCH('index match'!$A219,'ECOMMERS SALES'!$C:$C,0),MATCH('index match'!B$1,ECOMMERS_SALES[#Headers],0))</f>
        <v>1008</v>
      </c>
      <c r="C219" t="str">
        <f>INDEX('ECOMMERS SALES'!$A:$J,MATCH('index match'!$A219,'ECOMMERS SALES'!$C:$C,0),MATCH('index match'!C$1,ECOMMERS_SALES[#Headers],0))</f>
        <v>09-01-2025</v>
      </c>
      <c r="D219" t="str">
        <f>INDEX('ECOMMERS SALES'!$A:$J,MATCH('index match'!$A219,'ECOMMERS SALES'!$C:$C,0),MATCH('index match'!D$1,ECOMMERS_SALES[#Headers],0))</f>
        <v>Fashion</v>
      </c>
      <c r="E219">
        <f>INDEX('ECOMMERS SALES'!$A:$J,MATCH('index match'!$A219,'ECOMMERS SALES'!$C:$C,0),MATCH('index match'!E$1,ECOMMERS_SALES[#Headers],0))</f>
        <v>2</v>
      </c>
      <c r="F219">
        <f>INDEX('ECOMMERS SALES'!$A:$J,MATCH('index match'!$A219,'ECOMMERS SALES'!$C:$C,0),MATCH('index match'!F$1,ECOMMERS_SALES[#Headers],0))</f>
        <v>905</v>
      </c>
      <c r="G219">
        <f>INDEX('ECOMMERS SALES'!$A:$J,MATCH('index match'!$A219,'ECOMMERS SALES'!$C:$C,0),MATCH('index match'!G$1,ECOMMERS_SALES[#Headers],0))</f>
        <v>1810</v>
      </c>
      <c r="H219" t="str">
        <f>INDEX('ECOMMERS SALES'!$A:$J,MATCH('index match'!$A219,'ECOMMERS SALES'!$C:$C,0),MATCH('index match'!H$1,ECOMMERS_SALES[#Headers],0))</f>
        <v>Bangalore</v>
      </c>
      <c r="I219" t="str">
        <f>INDEX('ECOMMERS SALES'!$A:$J,MATCH('index match'!$A219,'ECOMMERS SALES'!$C:$C,0),MATCH('index match'!I$1,ECOMMERS_SALES[#Headers],0))</f>
        <v>New</v>
      </c>
      <c r="J219" t="str">
        <f>INDEX('ECOMMERS SALES'!$A:$J,MATCH('index match'!$A219,'ECOMMERS SALES'!$C:$C,0),MATCH('index match'!J$1,ECOMMERS_SALES[#Headers],0))</f>
        <v>COD</v>
      </c>
    </row>
    <row r="220" spans="1:10" x14ac:dyDescent="0.35">
      <c r="A220" t="s">
        <v>42</v>
      </c>
      <c r="B220">
        <f>INDEX('ECOMMERS SALES'!$A:$J,MATCH('index match'!$A220,'ECOMMERS SALES'!$C:$C,0),MATCH('index match'!B$1,ECOMMERS_SALES[#Headers],0))</f>
        <v>1009</v>
      </c>
      <c r="C220" t="str">
        <f>INDEX('ECOMMERS SALES'!$A:$J,MATCH('index match'!$A220,'ECOMMERS SALES'!$C:$C,0),MATCH('index match'!C$1,ECOMMERS_SALES[#Headers],0))</f>
        <v>10-01-2025</v>
      </c>
      <c r="D220" t="str">
        <f>INDEX('ECOMMERS SALES'!$A:$J,MATCH('index match'!$A220,'ECOMMERS SALES'!$C:$C,0),MATCH('index match'!D$1,ECOMMERS_SALES[#Headers],0))</f>
        <v>Electronics</v>
      </c>
      <c r="E220">
        <f>INDEX('ECOMMERS SALES'!$A:$J,MATCH('index match'!$A220,'ECOMMERS SALES'!$C:$C,0),MATCH('index match'!E$1,ECOMMERS_SALES[#Headers],0))</f>
        <v>1</v>
      </c>
      <c r="F220">
        <f>INDEX('ECOMMERS SALES'!$A:$J,MATCH('index match'!$A220,'ECOMMERS SALES'!$C:$C,0),MATCH('index match'!F$1,ECOMMERS_SALES[#Headers],0))</f>
        <v>8563</v>
      </c>
      <c r="G220">
        <f>INDEX('ECOMMERS SALES'!$A:$J,MATCH('index match'!$A220,'ECOMMERS SALES'!$C:$C,0),MATCH('index match'!G$1,ECOMMERS_SALES[#Headers],0))</f>
        <v>8563</v>
      </c>
      <c r="H220" t="str">
        <f>INDEX('ECOMMERS SALES'!$A:$J,MATCH('index match'!$A220,'ECOMMERS SALES'!$C:$C,0),MATCH('index match'!H$1,ECOMMERS_SALES[#Headers],0))</f>
        <v>Hyderabad</v>
      </c>
      <c r="I220" t="str">
        <f>INDEX('ECOMMERS SALES'!$A:$J,MATCH('index match'!$A220,'ECOMMERS SALES'!$C:$C,0),MATCH('index match'!I$1,ECOMMERS_SALES[#Headers],0))</f>
        <v>Returning</v>
      </c>
      <c r="J220" t="str">
        <f>INDEX('ECOMMERS SALES'!$A:$J,MATCH('index match'!$A220,'ECOMMERS SALES'!$C:$C,0),MATCH('index match'!J$1,ECOMMERS_SALES[#Headers],0))</f>
        <v>Card</v>
      </c>
    </row>
    <row r="221" spans="1:10" x14ac:dyDescent="0.35">
      <c r="A221" t="s">
        <v>44</v>
      </c>
      <c r="B221">
        <f>INDEX('ECOMMERS SALES'!$A:$J,MATCH('index match'!$A221,'ECOMMERS SALES'!$C:$C,0),MATCH('index match'!B$1,ECOMMERS_SALES[#Headers],0))</f>
        <v>1010</v>
      </c>
      <c r="C221" t="str">
        <f>INDEX('ECOMMERS SALES'!$A:$J,MATCH('index match'!$A221,'ECOMMERS SALES'!$C:$C,0),MATCH('index match'!C$1,ECOMMERS_SALES[#Headers],0))</f>
        <v>11-01-2025</v>
      </c>
      <c r="D221" t="str">
        <f>INDEX('ECOMMERS SALES'!$A:$J,MATCH('index match'!$A221,'ECOMMERS SALES'!$C:$C,0),MATCH('index match'!D$1,ECOMMERS_SALES[#Headers],0))</f>
        <v>Other</v>
      </c>
      <c r="E221">
        <f>INDEX('ECOMMERS SALES'!$A:$J,MATCH('index match'!$A221,'ECOMMERS SALES'!$C:$C,0),MATCH('index match'!E$1,ECOMMERS_SALES[#Headers],0))</f>
        <v>1</v>
      </c>
      <c r="F221">
        <f>INDEX('ECOMMERS SALES'!$A:$J,MATCH('index match'!$A221,'ECOMMERS SALES'!$C:$C,0),MATCH('index match'!F$1,ECOMMERS_SALES[#Headers],0))</f>
        <v>268</v>
      </c>
      <c r="G221">
        <f>INDEX('ECOMMERS SALES'!$A:$J,MATCH('index match'!$A221,'ECOMMERS SALES'!$C:$C,0),MATCH('index match'!G$1,ECOMMERS_SALES[#Headers],0))</f>
        <v>268</v>
      </c>
      <c r="H221" t="str">
        <f>INDEX('ECOMMERS SALES'!$A:$J,MATCH('index match'!$A221,'ECOMMERS SALES'!$C:$C,0),MATCH('index match'!H$1,ECOMMERS_SALES[#Headers],0))</f>
        <v>Chennai</v>
      </c>
      <c r="I221" t="str">
        <f>INDEX('ECOMMERS SALES'!$A:$J,MATCH('index match'!$A221,'ECOMMERS SALES'!$C:$C,0),MATCH('index match'!I$1,ECOMMERS_SALES[#Headers],0))</f>
        <v>New</v>
      </c>
      <c r="J221" t="str">
        <f>INDEX('ECOMMERS SALES'!$A:$J,MATCH('index match'!$A221,'ECOMMERS SALES'!$C:$C,0),MATCH('index match'!J$1,ECOMMERS_SALES[#Headers],0))</f>
        <v>UPI</v>
      </c>
    </row>
    <row r="222" spans="1:10" x14ac:dyDescent="0.35">
      <c r="A222" t="s">
        <v>11</v>
      </c>
      <c r="B222">
        <f>INDEX('ECOMMERS SALES'!$A:$J,MATCH('index match'!$A222,'ECOMMERS SALES'!$C:$C,0),MATCH('index match'!B$1,ECOMMERS_SALES[#Headers],0))</f>
        <v>1001</v>
      </c>
      <c r="C222" t="str">
        <f>INDEX('ECOMMERS SALES'!$A:$J,MATCH('index match'!$A222,'ECOMMERS SALES'!$C:$C,0),MATCH('index match'!C$1,ECOMMERS_SALES[#Headers],0))</f>
        <v>02-01-2025</v>
      </c>
      <c r="D222" t="str">
        <f>INDEX('ECOMMERS SALES'!$A:$J,MATCH('index match'!$A222,'ECOMMERS SALES'!$C:$C,0),MATCH('index match'!D$1,ECOMMERS_SALES[#Headers],0))</f>
        <v>Electronics</v>
      </c>
      <c r="E222">
        <f>INDEX('ECOMMERS SALES'!$A:$J,MATCH('index match'!$A222,'ECOMMERS SALES'!$C:$C,0),MATCH('index match'!E$1,ECOMMERS_SALES[#Headers],0))</f>
        <v>2</v>
      </c>
      <c r="F222">
        <f>INDEX('ECOMMERS SALES'!$A:$J,MATCH('index match'!$A222,'ECOMMERS SALES'!$C:$C,0),MATCH('index match'!F$1,ECOMMERS_SALES[#Headers],0))</f>
        <v>50353</v>
      </c>
      <c r="G222">
        <f>INDEX('ECOMMERS SALES'!$A:$J,MATCH('index match'!$A222,'ECOMMERS SALES'!$C:$C,0),MATCH('index match'!G$1,ECOMMERS_SALES[#Headers],0))</f>
        <v>100706</v>
      </c>
      <c r="H222" t="str">
        <f>INDEX('ECOMMERS SALES'!$A:$J,MATCH('index match'!$A222,'ECOMMERS SALES'!$C:$C,0),MATCH('index match'!H$1,ECOMMERS_SALES[#Headers],0))</f>
        <v>Chennai</v>
      </c>
      <c r="I222" t="str">
        <f>INDEX('ECOMMERS SALES'!$A:$J,MATCH('index match'!$A222,'ECOMMERS SALES'!$C:$C,0),MATCH('index match'!I$1,ECOMMERS_SALES[#Headers],0))</f>
        <v>Premimum</v>
      </c>
      <c r="J222" t="str">
        <f>INDEX('ECOMMERS SALES'!$A:$J,MATCH('index match'!$A222,'ECOMMERS SALES'!$C:$C,0),MATCH('index match'!J$1,ECOMMERS_SALES[#Headers],0))</f>
        <v>Card</v>
      </c>
    </row>
    <row r="223" spans="1:10" x14ac:dyDescent="0.35">
      <c r="A223" t="s">
        <v>17</v>
      </c>
      <c r="B223">
        <f>INDEX('ECOMMERS SALES'!$A:$J,MATCH('index match'!$A223,'ECOMMERS SALES'!$C:$C,0),MATCH('index match'!B$1,ECOMMERS_SALES[#Headers],0))</f>
        <v>1002</v>
      </c>
      <c r="C223" t="str">
        <f>INDEX('ECOMMERS SALES'!$A:$J,MATCH('index match'!$A223,'ECOMMERS SALES'!$C:$C,0),MATCH('index match'!C$1,ECOMMERS_SALES[#Headers],0))</f>
        <v>03-01-2025</v>
      </c>
      <c r="D223" t="str">
        <f>INDEX('ECOMMERS SALES'!$A:$J,MATCH('index match'!$A223,'ECOMMERS SALES'!$C:$C,0),MATCH('index match'!D$1,ECOMMERS_SALES[#Headers],0))</f>
        <v>Electronics</v>
      </c>
      <c r="E223">
        <f>INDEX('ECOMMERS SALES'!$A:$J,MATCH('index match'!$A223,'ECOMMERS SALES'!$C:$C,0),MATCH('index match'!E$1,ECOMMERS_SALES[#Headers],0))</f>
        <v>2</v>
      </c>
      <c r="F223">
        <f>INDEX('ECOMMERS SALES'!$A:$J,MATCH('index match'!$A223,'ECOMMERS SALES'!$C:$C,0),MATCH('index match'!F$1,ECOMMERS_SALES[#Headers],0))</f>
        <v>2008</v>
      </c>
      <c r="G223">
        <f>INDEX('ECOMMERS SALES'!$A:$J,MATCH('index match'!$A223,'ECOMMERS SALES'!$C:$C,0),MATCH('index match'!G$1,ECOMMERS_SALES[#Headers],0))</f>
        <v>4016</v>
      </c>
      <c r="H223" t="str">
        <f>INDEX('ECOMMERS SALES'!$A:$J,MATCH('index match'!$A223,'ECOMMERS SALES'!$C:$C,0),MATCH('index match'!H$1,ECOMMERS_SALES[#Headers],0))</f>
        <v>Delhi</v>
      </c>
      <c r="I223" t="str">
        <f>INDEX('ECOMMERS SALES'!$A:$J,MATCH('index match'!$A223,'ECOMMERS SALES'!$C:$C,0),MATCH('index match'!I$1,ECOMMERS_SALES[#Headers],0))</f>
        <v>New</v>
      </c>
      <c r="J223" t="str">
        <f>INDEX('ECOMMERS SALES'!$A:$J,MATCH('index match'!$A223,'ECOMMERS SALES'!$C:$C,0),MATCH('index match'!J$1,ECOMMERS_SALES[#Headers],0))</f>
        <v>UPI</v>
      </c>
    </row>
    <row r="224" spans="1:10" x14ac:dyDescent="0.35">
      <c r="A224" t="s">
        <v>22</v>
      </c>
      <c r="B224">
        <f>INDEX('ECOMMERS SALES'!$A:$J,MATCH('index match'!$A224,'ECOMMERS SALES'!$C:$C,0),MATCH('index match'!B$1,ECOMMERS_SALES[#Headers],0))</f>
        <v>1003</v>
      </c>
      <c r="C224" t="str">
        <f>INDEX('ECOMMERS SALES'!$A:$J,MATCH('index match'!$A224,'ECOMMERS SALES'!$C:$C,0),MATCH('index match'!C$1,ECOMMERS_SALES[#Headers],0))</f>
        <v>04-01-2025</v>
      </c>
      <c r="D224" t="str">
        <f>INDEX('ECOMMERS SALES'!$A:$J,MATCH('index match'!$A224,'ECOMMERS SALES'!$C:$C,0),MATCH('index match'!D$1,ECOMMERS_SALES[#Headers],0))</f>
        <v>Fashion</v>
      </c>
      <c r="E224">
        <f>INDEX('ECOMMERS SALES'!$A:$J,MATCH('index match'!$A224,'ECOMMERS SALES'!$C:$C,0),MATCH('index match'!E$1,ECOMMERS_SALES[#Headers],0))</f>
        <v>1</v>
      </c>
      <c r="F224">
        <f>INDEX('ECOMMERS SALES'!$A:$J,MATCH('index match'!$A224,'ECOMMERS SALES'!$C:$C,0),MATCH('index match'!F$1,ECOMMERS_SALES[#Headers],0))</f>
        <v>4736</v>
      </c>
      <c r="G224">
        <f>INDEX('ECOMMERS SALES'!$A:$J,MATCH('index match'!$A224,'ECOMMERS SALES'!$C:$C,0),MATCH('index match'!G$1,ECOMMERS_SALES[#Headers],0))</f>
        <v>4736</v>
      </c>
      <c r="H224" t="str">
        <f>INDEX('ECOMMERS SALES'!$A:$J,MATCH('index match'!$A224,'ECOMMERS SALES'!$C:$C,0),MATCH('index match'!H$1,ECOMMERS_SALES[#Headers],0))</f>
        <v>Chennai</v>
      </c>
      <c r="I224" t="str">
        <f>INDEX('ECOMMERS SALES'!$A:$J,MATCH('index match'!$A224,'ECOMMERS SALES'!$C:$C,0),MATCH('index match'!I$1,ECOMMERS_SALES[#Headers],0))</f>
        <v>New</v>
      </c>
      <c r="J224" t="str">
        <f>INDEX('ECOMMERS SALES'!$A:$J,MATCH('index match'!$A224,'ECOMMERS SALES'!$C:$C,0),MATCH('index match'!J$1,ECOMMERS_SALES[#Headers],0))</f>
        <v>UPI</v>
      </c>
    </row>
    <row r="225" spans="1:10" x14ac:dyDescent="0.35">
      <c r="A225" t="s">
        <v>25</v>
      </c>
      <c r="B225">
        <f>INDEX('ECOMMERS SALES'!$A:$J,MATCH('index match'!$A225,'ECOMMERS SALES'!$C:$C,0),MATCH('index match'!B$1,ECOMMERS_SALES[#Headers],0))</f>
        <v>1004</v>
      </c>
      <c r="C225" t="str">
        <f>INDEX('ECOMMERS SALES'!$A:$J,MATCH('index match'!$A225,'ECOMMERS SALES'!$C:$C,0),MATCH('index match'!C$1,ECOMMERS_SALES[#Headers],0))</f>
        <v>05-01-2025</v>
      </c>
      <c r="D225" t="str">
        <f>INDEX('ECOMMERS SALES'!$A:$J,MATCH('index match'!$A225,'ECOMMERS SALES'!$C:$C,0),MATCH('index match'!D$1,ECOMMERS_SALES[#Headers],0))</f>
        <v>Other</v>
      </c>
      <c r="E225">
        <f>INDEX('ECOMMERS SALES'!$A:$J,MATCH('index match'!$A225,'ECOMMERS SALES'!$C:$C,0),MATCH('index match'!E$1,ECOMMERS_SALES[#Headers],0))</f>
        <v>2</v>
      </c>
      <c r="F225">
        <f>INDEX('ECOMMERS SALES'!$A:$J,MATCH('index match'!$A225,'ECOMMERS SALES'!$C:$C,0),MATCH('index match'!F$1,ECOMMERS_SALES[#Headers],0))</f>
        <v>10072</v>
      </c>
      <c r="G225">
        <f>INDEX('ECOMMERS SALES'!$A:$J,MATCH('index match'!$A225,'ECOMMERS SALES'!$C:$C,0),MATCH('index match'!G$1,ECOMMERS_SALES[#Headers],0))</f>
        <v>20144</v>
      </c>
      <c r="H225" t="str">
        <f>INDEX('ECOMMERS SALES'!$A:$J,MATCH('index match'!$A225,'ECOMMERS SALES'!$C:$C,0),MATCH('index match'!H$1,ECOMMERS_SALES[#Headers],0))</f>
        <v>Pune</v>
      </c>
      <c r="I225" t="str">
        <f>INDEX('ECOMMERS SALES'!$A:$J,MATCH('index match'!$A225,'ECOMMERS SALES'!$C:$C,0),MATCH('index match'!I$1,ECOMMERS_SALES[#Headers],0))</f>
        <v>Premimum</v>
      </c>
      <c r="J225" t="str">
        <f>INDEX('ECOMMERS SALES'!$A:$J,MATCH('index match'!$A225,'ECOMMERS SALES'!$C:$C,0),MATCH('index match'!J$1,ECOMMERS_SALES[#Headers],0))</f>
        <v>Card</v>
      </c>
    </row>
    <row r="226" spans="1:10" x14ac:dyDescent="0.35">
      <c r="A226" t="s">
        <v>29</v>
      </c>
      <c r="B226">
        <f>INDEX('ECOMMERS SALES'!$A:$J,MATCH('index match'!$A226,'ECOMMERS SALES'!$C:$C,0),MATCH('index match'!B$1,ECOMMERS_SALES[#Headers],0))</f>
        <v>1005</v>
      </c>
      <c r="C226" t="str">
        <f>INDEX('ECOMMERS SALES'!$A:$J,MATCH('index match'!$A226,'ECOMMERS SALES'!$C:$C,0),MATCH('index match'!C$1,ECOMMERS_SALES[#Headers],0))</f>
        <v>06-01-2025</v>
      </c>
      <c r="D226" t="str">
        <f>INDEX('ECOMMERS SALES'!$A:$J,MATCH('index match'!$A226,'ECOMMERS SALES'!$C:$C,0),MATCH('index match'!D$1,ECOMMERS_SALES[#Headers],0))</f>
        <v>Other</v>
      </c>
      <c r="E226">
        <f>INDEX('ECOMMERS SALES'!$A:$J,MATCH('index match'!$A226,'ECOMMERS SALES'!$C:$C,0),MATCH('index match'!E$1,ECOMMERS_SALES[#Headers],0))</f>
        <v>2</v>
      </c>
      <c r="F226">
        <f>INDEX('ECOMMERS SALES'!$A:$J,MATCH('index match'!$A226,'ECOMMERS SALES'!$C:$C,0),MATCH('index match'!F$1,ECOMMERS_SALES[#Headers],0))</f>
        <v>920</v>
      </c>
      <c r="G226">
        <f>INDEX('ECOMMERS SALES'!$A:$J,MATCH('index match'!$A226,'ECOMMERS SALES'!$C:$C,0),MATCH('index match'!G$1,ECOMMERS_SALES[#Headers],0))</f>
        <v>1840</v>
      </c>
      <c r="H226" t="str">
        <f>INDEX('ECOMMERS SALES'!$A:$J,MATCH('index match'!$A226,'ECOMMERS SALES'!$C:$C,0),MATCH('index match'!H$1,ECOMMERS_SALES[#Headers],0))</f>
        <v>Pune</v>
      </c>
      <c r="I226" t="str">
        <f>INDEX('ECOMMERS SALES'!$A:$J,MATCH('index match'!$A226,'ECOMMERS SALES'!$C:$C,0),MATCH('index match'!I$1,ECOMMERS_SALES[#Headers],0))</f>
        <v>New</v>
      </c>
      <c r="J226" t="str">
        <f>INDEX('ECOMMERS SALES'!$A:$J,MATCH('index match'!$A226,'ECOMMERS SALES'!$C:$C,0),MATCH('index match'!J$1,ECOMMERS_SALES[#Headers],0))</f>
        <v>UPI</v>
      </c>
    </row>
    <row r="227" spans="1:10" x14ac:dyDescent="0.35">
      <c r="A227" t="s">
        <v>31</v>
      </c>
      <c r="B227">
        <f>INDEX('ECOMMERS SALES'!$A:$J,MATCH('index match'!$A227,'ECOMMERS SALES'!$C:$C,0),MATCH('index match'!B$1,ECOMMERS_SALES[#Headers],0))</f>
        <v>1006</v>
      </c>
      <c r="C227" t="str">
        <f>INDEX('ECOMMERS SALES'!$A:$J,MATCH('index match'!$A227,'ECOMMERS SALES'!$C:$C,0),MATCH('index match'!C$1,ECOMMERS_SALES[#Headers],0))</f>
        <v>07-01-2025</v>
      </c>
      <c r="D227" t="str">
        <f>INDEX('ECOMMERS SALES'!$A:$J,MATCH('index match'!$A227,'ECOMMERS SALES'!$C:$C,0),MATCH('index match'!D$1,ECOMMERS_SALES[#Headers],0))</f>
        <v>Electronics</v>
      </c>
      <c r="E227">
        <f>INDEX('ECOMMERS SALES'!$A:$J,MATCH('index match'!$A227,'ECOMMERS SALES'!$C:$C,0),MATCH('index match'!E$1,ECOMMERS_SALES[#Headers],0))</f>
        <v>1</v>
      </c>
      <c r="F227">
        <f>INDEX('ECOMMERS SALES'!$A:$J,MATCH('index match'!$A227,'ECOMMERS SALES'!$C:$C,0),MATCH('index match'!F$1,ECOMMERS_SALES[#Headers],0))</f>
        <v>13225</v>
      </c>
      <c r="G227">
        <f>INDEX('ECOMMERS SALES'!$A:$J,MATCH('index match'!$A227,'ECOMMERS SALES'!$C:$C,0),MATCH('index match'!G$1,ECOMMERS_SALES[#Headers],0))</f>
        <v>13225</v>
      </c>
      <c r="H227" t="str">
        <f>INDEX('ECOMMERS SALES'!$A:$J,MATCH('index match'!$A227,'ECOMMERS SALES'!$C:$C,0),MATCH('index match'!H$1,ECOMMERS_SALES[#Headers],0))</f>
        <v>Delhi</v>
      </c>
      <c r="I227" t="str">
        <f>INDEX('ECOMMERS SALES'!$A:$J,MATCH('index match'!$A227,'ECOMMERS SALES'!$C:$C,0),MATCH('index match'!I$1,ECOMMERS_SALES[#Headers],0))</f>
        <v>Returning</v>
      </c>
      <c r="J227" t="str">
        <f>INDEX('ECOMMERS SALES'!$A:$J,MATCH('index match'!$A227,'ECOMMERS SALES'!$C:$C,0),MATCH('index match'!J$1,ECOMMERS_SALES[#Headers],0))</f>
        <v>COD</v>
      </c>
    </row>
    <row r="228" spans="1:10" x14ac:dyDescent="0.35">
      <c r="A228" t="s">
        <v>35</v>
      </c>
      <c r="B228">
        <f>INDEX('ECOMMERS SALES'!$A:$J,MATCH('index match'!$A228,'ECOMMERS SALES'!$C:$C,0),MATCH('index match'!B$1,ECOMMERS_SALES[#Headers],0))</f>
        <v>1007</v>
      </c>
      <c r="C228" t="str">
        <f>INDEX('ECOMMERS SALES'!$A:$J,MATCH('index match'!$A228,'ECOMMERS SALES'!$C:$C,0),MATCH('index match'!C$1,ECOMMERS_SALES[#Headers],0))</f>
        <v>08-01-2025</v>
      </c>
      <c r="D228" t="str">
        <f>INDEX('ECOMMERS SALES'!$A:$J,MATCH('index match'!$A228,'ECOMMERS SALES'!$C:$C,0),MATCH('index match'!D$1,ECOMMERS_SALES[#Headers],0))</f>
        <v>Books</v>
      </c>
      <c r="E228">
        <f>INDEX('ECOMMERS SALES'!$A:$J,MATCH('index match'!$A228,'ECOMMERS SALES'!$C:$C,0),MATCH('index match'!E$1,ECOMMERS_SALES[#Headers],0))</f>
        <v>3</v>
      </c>
      <c r="F228">
        <f>INDEX('ECOMMERS SALES'!$A:$J,MATCH('index match'!$A228,'ECOMMERS SALES'!$C:$C,0),MATCH('index match'!F$1,ECOMMERS_SALES[#Headers],0))</f>
        <v>621</v>
      </c>
      <c r="G228">
        <f>INDEX('ECOMMERS SALES'!$A:$J,MATCH('index match'!$A228,'ECOMMERS SALES'!$C:$C,0),MATCH('index match'!G$1,ECOMMERS_SALES[#Headers],0))</f>
        <v>1863</v>
      </c>
      <c r="H228" t="str">
        <f>INDEX('ECOMMERS SALES'!$A:$J,MATCH('index match'!$A228,'ECOMMERS SALES'!$C:$C,0),MATCH('index match'!H$1,ECOMMERS_SALES[#Headers],0))</f>
        <v>Hyderabad</v>
      </c>
      <c r="I228" t="str">
        <f>INDEX('ECOMMERS SALES'!$A:$J,MATCH('index match'!$A228,'ECOMMERS SALES'!$C:$C,0),MATCH('index match'!I$1,ECOMMERS_SALES[#Headers],0))</f>
        <v>Premimum</v>
      </c>
      <c r="J228" t="str">
        <f>INDEX('ECOMMERS SALES'!$A:$J,MATCH('index match'!$A228,'ECOMMERS SALES'!$C:$C,0),MATCH('index match'!J$1,ECOMMERS_SALES[#Headers],0))</f>
        <v>UPI</v>
      </c>
    </row>
    <row r="229" spans="1:10" x14ac:dyDescent="0.35">
      <c r="A229" t="s">
        <v>39</v>
      </c>
      <c r="B229">
        <f>INDEX('ECOMMERS SALES'!$A:$J,MATCH('index match'!$A229,'ECOMMERS SALES'!$C:$C,0),MATCH('index match'!B$1,ECOMMERS_SALES[#Headers],0))</f>
        <v>1008</v>
      </c>
      <c r="C229" t="str">
        <f>INDEX('ECOMMERS SALES'!$A:$J,MATCH('index match'!$A229,'ECOMMERS SALES'!$C:$C,0),MATCH('index match'!C$1,ECOMMERS_SALES[#Headers],0))</f>
        <v>09-01-2025</v>
      </c>
      <c r="D229" t="str">
        <f>INDEX('ECOMMERS SALES'!$A:$J,MATCH('index match'!$A229,'ECOMMERS SALES'!$C:$C,0),MATCH('index match'!D$1,ECOMMERS_SALES[#Headers],0))</f>
        <v>Fashion</v>
      </c>
      <c r="E229">
        <f>INDEX('ECOMMERS SALES'!$A:$J,MATCH('index match'!$A229,'ECOMMERS SALES'!$C:$C,0),MATCH('index match'!E$1,ECOMMERS_SALES[#Headers],0))</f>
        <v>2</v>
      </c>
      <c r="F229">
        <f>INDEX('ECOMMERS SALES'!$A:$J,MATCH('index match'!$A229,'ECOMMERS SALES'!$C:$C,0),MATCH('index match'!F$1,ECOMMERS_SALES[#Headers],0))</f>
        <v>905</v>
      </c>
      <c r="G229">
        <f>INDEX('ECOMMERS SALES'!$A:$J,MATCH('index match'!$A229,'ECOMMERS SALES'!$C:$C,0),MATCH('index match'!G$1,ECOMMERS_SALES[#Headers],0))</f>
        <v>1810</v>
      </c>
      <c r="H229" t="str">
        <f>INDEX('ECOMMERS SALES'!$A:$J,MATCH('index match'!$A229,'ECOMMERS SALES'!$C:$C,0),MATCH('index match'!H$1,ECOMMERS_SALES[#Headers],0))</f>
        <v>Bangalore</v>
      </c>
      <c r="I229" t="str">
        <f>INDEX('ECOMMERS SALES'!$A:$J,MATCH('index match'!$A229,'ECOMMERS SALES'!$C:$C,0),MATCH('index match'!I$1,ECOMMERS_SALES[#Headers],0))</f>
        <v>New</v>
      </c>
      <c r="J229" t="str">
        <f>INDEX('ECOMMERS SALES'!$A:$J,MATCH('index match'!$A229,'ECOMMERS SALES'!$C:$C,0),MATCH('index match'!J$1,ECOMMERS_SALES[#Headers],0))</f>
        <v>COD</v>
      </c>
    </row>
    <row r="230" spans="1:10" x14ac:dyDescent="0.35">
      <c r="A230" t="s">
        <v>42</v>
      </c>
      <c r="B230">
        <f>INDEX('ECOMMERS SALES'!$A:$J,MATCH('index match'!$A230,'ECOMMERS SALES'!$C:$C,0),MATCH('index match'!B$1,ECOMMERS_SALES[#Headers],0))</f>
        <v>1009</v>
      </c>
      <c r="C230" t="str">
        <f>INDEX('ECOMMERS SALES'!$A:$J,MATCH('index match'!$A230,'ECOMMERS SALES'!$C:$C,0),MATCH('index match'!C$1,ECOMMERS_SALES[#Headers],0))</f>
        <v>10-01-2025</v>
      </c>
      <c r="D230" t="str">
        <f>INDEX('ECOMMERS SALES'!$A:$J,MATCH('index match'!$A230,'ECOMMERS SALES'!$C:$C,0),MATCH('index match'!D$1,ECOMMERS_SALES[#Headers],0))</f>
        <v>Electronics</v>
      </c>
      <c r="E230">
        <f>INDEX('ECOMMERS SALES'!$A:$J,MATCH('index match'!$A230,'ECOMMERS SALES'!$C:$C,0),MATCH('index match'!E$1,ECOMMERS_SALES[#Headers],0))</f>
        <v>1</v>
      </c>
      <c r="F230">
        <f>INDEX('ECOMMERS SALES'!$A:$J,MATCH('index match'!$A230,'ECOMMERS SALES'!$C:$C,0),MATCH('index match'!F$1,ECOMMERS_SALES[#Headers],0))</f>
        <v>8563</v>
      </c>
      <c r="G230">
        <f>INDEX('ECOMMERS SALES'!$A:$J,MATCH('index match'!$A230,'ECOMMERS SALES'!$C:$C,0),MATCH('index match'!G$1,ECOMMERS_SALES[#Headers],0))</f>
        <v>8563</v>
      </c>
      <c r="H230" t="str">
        <f>INDEX('ECOMMERS SALES'!$A:$J,MATCH('index match'!$A230,'ECOMMERS SALES'!$C:$C,0),MATCH('index match'!H$1,ECOMMERS_SALES[#Headers],0))</f>
        <v>Hyderabad</v>
      </c>
      <c r="I230" t="str">
        <f>INDEX('ECOMMERS SALES'!$A:$J,MATCH('index match'!$A230,'ECOMMERS SALES'!$C:$C,0),MATCH('index match'!I$1,ECOMMERS_SALES[#Headers],0))</f>
        <v>Returning</v>
      </c>
      <c r="J230" t="str">
        <f>INDEX('ECOMMERS SALES'!$A:$J,MATCH('index match'!$A230,'ECOMMERS SALES'!$C:$C,0),MATCH('index match'!J$1,ECOMMERS_SALES[#Headers],0))</f>
        <v>Card</v>
      </c>
    </row>
    <row r="231" spans="1:10" x14ac:dyDescent="0.35">
      <c r="A231" t="s">
        <v>44</v>
      </c>
      <c r="B231">
        <f>INDEX('ECOMMERS SALES'!$A:$J,MATCH('index match'!$A231,'ECOMMERS SALES'!$C:$C,0),MATCH('index match'!B$1,ECOMMERS_SALES[#Headers],0))</f>
        <v>1010</v>
      </c>
      <c r="C231" t="str">
        <f>INDEX('ECOMMERS SALES'!$A:$J,MATCH('index match'!$A231,'ECOMMERS SALES'!$C:$C,0),MATCH('index match'!C$1,ECOMMERS_SALES[#Headers],0))</f>
        <v>11-01-2025</v>
      </c>
      <c r="D231" t="str">
        <f>INDEX('ECOMMERS SALES'!$A:$J,MATCH('index match'!$A231,'ECOMMERS SALES'!$C:$C,0),MATCH('index match'!D$1,ECOMMERS_SALES[#Headers],0))</f>
        <v>Other</v>
      </c>
      <c r="E231">
        <f>INDEX('ECOMMERS SALES'!$A:$J,MATCH('index match'!$A231,'ECOMMERS SALES'!$C:$C,0),MATCH('index match'!E$1,ECOMMERS_SALES[#Headers],0))</f>
        <v>1</v>
      </c>
      <c r="F231">
        <f>INDEX('ECOMMERS SALES'!$A:$J,MATCH('index match'!$A231,'ECOMMERS SALES'!$C:$C,0),MATCH('index match'!F$1,ECOMMERS_SALES[#Headers],0))</f>
        <v>268</v>
      </c>
      <c r="G231">
        <f>INDEX('ECOMMERS SALES'!$A:$J,MATCH('index match'!$A231,'ECOMMERS SALES'!$C:$C,0),MATCH('index match'!G$1,ECOMMERS_SALES[#Headers],0))</f>
        <v>268</v>
      </c>
      <c r="H231" t="str">
        <f>INDEX('ECOMMERS SALES'!$A:$J,MATCH('index match'!$A231,'ECOMMERS SALES'!$C:$C,0),MATCH('index match'!H$1,ECOMMERS_SALES[#Headers],0))</f>
        <v>Chennai</v>
      </c>
      <c r="I231" t="str">
        <f>INDEX('ECOMMERS SALES'!$A:$J,MATCH('index match'!$A231,'ECOMMERS SALES'!$C:$C,0),MATCH('index match'!I$1,ECOMMERS_SALES[#Headers],0))</f>
        <v>New</v>
      </c>
      <c r="J231" t="str">
        <f>INDEX('ECOMMERS SALES'!$A:$J,MATCH('index match'!$A231,'ECOMMERS SALES'!$C:$C,0),MATCH('index match'!J$1,ECOMMERS_SALES[#Headers],0))</f>
        <v>UPI</v>
      </c>
    </row>
    <row r="232" spans="1:10" x14ac:dyDescent="0.35">
      <c r="A232" t="s">
        <v>11</v>
      </c>
      <c r="B232">
        <f>INDEX('ECOMMERS SALES'!$A:$J,MATCH('index match'!$A232,'ECOMMERS SALES'!$C:$C,0),MATCH('index match'!B$1,ECOMMERS_SALES[#Headers],0))</f>
        <v>1001</v>
      </c>
      <c r="C232" t="str">
        <f>INDEX('ECOMMERS SALES'!$A:$J,MATCH('index match'!$A232,'ECOMMERS SALES'!$C:$C,0),MATCH('index match'!C$1,ECOMMERS_SALES[#Headers],0))</f>
        <v>02-01-2025</v>
      </c>
      <c r="D232" t="str">
        <f>INDEX('ECOMMERS SALES'!$A:$J,MATCH('index match'!$A232,'ECOMMERS SALES'!$C:$C,0),MATCH('index match'!D$1,ECOMMERS_SALES[#Headers],0))</f>
        <v>Electronics</v>
      </c>
      <c r="E232">
        <f>INDEX('ECOMMERS SALES'!$A:$J,MATCH('index match'!$A232,'ECOMMERS SALES'!$C:$C,0),MATCH('index match'!E$1,ECOMMERS_SALES[#Headers],0))</f>
        <v>2</v>
      </c>
      <c r="F232">
        <f>INDEX('ECOMMERS SALES'!$A:$J,MATCH('index match'!$A232,'ECOMMERS SALES'!$C:$C,0),MATCH('index match'!F$1,ECOMMERS_SALES[#Headers],0))</f>
        <v>50353</v>
      </c>
      <c r="G232">
        <f>INDEX('ECOMMERS SALES'!$A:$J,MATCH('index match'!$A232,'ECOMMERS SALES'!$C:$C,0),MATCH('index match'!G$1,ECOMMERS_SALES[#Headers],0))</f>
        <v>100706</v>
      </c>
      <c r="H232" t="str">
        <f>INDEX('ECOMMERS SALES'!$A:$J,MATCH('index match'!$A232,'ECOMMERS SALES'!$C:$C,0),MATCH('index match'!H$1,ECOMMERS_SALES[#Headers],0))</f>
        <v>Chennai</v>
      </c>
      <c r="I232" t="str">
        <f>INDEX('ECOMMERS SALES'!$A:$J,MATCH('index match'!$A232,'ECOMMERS SALES'!$C:$C,0),MATCH('index match'!I$1,ECOMMERS_SALES[#Headers],0))</f>
        <v>Premimum</v>
      </c>
      <c r="J232" t="str">
        <f>INDEX('ECOMMERS SALES'!$A:$J,MATCH('index match'!$A232,'ECOMMERS SALES'!$C:$C,0),MATCH('index match'!J$1,ECOMMERS_SALES[#Headers],0))</f>
        <v>Card</v>
      </c>
    </row>
    <row r="233" spans="1:10" x14ac:dyDescent="0.35">
      <c r="A233" t="s">
        <v>17</v>
      </c>
      <c r="B233">
        <f>INDEX('ECOMMERS SALES'!$A:$J,MATCH('index match'!$A233,'ECOMMERS SALES'!$C:$C,0),MATCH('index match'!B$1,ECOMMERS_SALES[#Headers],0))</f>
        <v>1002</v>
      </c>
      <c r="C233" t="str">
        <f>INDEX('ECOMMERS SALES'!$A:$J,MATCH('index match'!$A233,'ECOMMERS SALES'!$C:$C,0),MATCH('index match'!C$1,ECOMMERS_SALES[#Headers],0))</f>
        <v>03-01-2025</v>
      </c>
      <c r="D233" t="str">
        <f>INDEX('ECOMMERS SALES'!$A:$J,MATCH('index match'!$A233,'ECOMMERS SALES'!$C:$C,0),MATCH('index match'!D$1,ECOMMERS_SALES[#Headers],0))</f>
        <v>Electronics</v>
      </c>
      <c r="E233">
        <f>INDEX('ECOMMERS SALES'!$A:$J,MATCH('index match'!$A233,'ECOMMERS SALES'!$C:$C,0),MATCH('index match'!E$1,ECOMMERS_SALES[#Headers],0))</f>
        <v>2</v>
      </c>
      <c r="F233">
        <f>INDEX('ECOMMERS SALES'!$A:$J,MATCH('index match'!$A233,'ECOMMERS SALES'!$C:$C,0),MATCH('index match'!F$1,ECOMMERS_SALES[#Headers],0))</f>
        <v>2008</v>
      </c>
      <c r="G233">
        <f>INDEX('ECOMMERS SALES'!$A:$J,MATCH('index match'!$A233,'ECOMMERS SALES'!$C:$C,0),MATCH('index match'!G$1,ECOMMERS_SALES[#Headers],0))</f>
        <v>4016</v>
      </c>
      <c r="H233" t="str">
        <f>INDEX('ECOMMERS SALES'!$A:$J,MATCH('index match'!$A233,'ECOMMERS SALES'!$C:$C,0),MATCH('index match'!H$1,ECOMMERS_SALES[#Headers],0))</f>
        <v>Delhi</v>
      </c>
      <c r="I233" t="str">
        <f>INDEX('ECOMMERS SALES'!$A:$J,MATCH('index match'!$A233,'ECOMMERS SALES'!$C:$C,0),MATCH('index match'!I$1,ECOMMERS_SALES[#Headers],0))</f>
        <v>New</v>
      </c>
      <c r="J233" t="str">
        <f>INDEX('ECOMMERS SALES'!$A:$J,MATCH('index match'!$A233,'ECOMMERS SALES'!$C:$C,0),MATCH('index match'!J$1,ECOMMERS_SALES[#Headers],0))</f>
        <v>UPI</v>
      </c>
    </row>
    <row r="234" spans="1:10" x14ac:dyDescent="0.35">
      <c r="A234" t="s">
        <v>22</v>
      </c>
      <c r="B234">
        <f>INDEX('ECOMMERS SALES'!$A:$J,MATCH('index match'!$A234,'ECOMMERS SALES'!$C:$C,0),MATCH('index match'!B$1,ECOMMERS_SALES[#Headers],0))</f>
        <v>1003</v>
      </c>
      <c r="C234" t="str">
        <f>INDEX('ECOMMERS SALES'!$A:$J,MATCH('index match'!$A234,'ECOMMERS SALES'!$C:$C,0),MATCH('index match'!C$1,ECOMMERS_SALES[#Headers],0))</f>
        <v>04-01-2025</v>
      </c>
      <c r="D234" t="str">
        <f>INDEX('ECOMMERS SALES'!$A:$J,MATCH('index match'!$A234,'ECOMMERS SALES'!$C:$C,0),MATCH('index match'!D$1,ECOMMERS_SALES[#Headers],0))</f>
        <v>Fashion</v>
      </c>
      <c r="E234">
        <f>INDEX('ECOMMERS SALES'!$A:$J,MATCH('index match'!$A234,'ECOMMERS SALES'!$C:$C,0),MATCH('index match'!E$1,ECOMMERS_SALES[#Headers],0))</f>
        <v>1</v>
      </c>
      <c r="F234">
        <f>INDEX('ECOMMERS SALES'!$A:$J,MATCH('index match'!$A234,'ECOMMERS SALES'!$C:$C,0),MATCH('index match'!F$1,ECOMMERS_SALES[#Headers],0))</f>
        <v>4736</v>
      </c>
      <c r="G234">
        <f>INDEX('ECOMMERS SALES'!$A:$J,MATCH('index match'!$A234,'ECOMMERS SALES'!$C:$C,0),MATCH('index match'!G$1,ECOMMERS_SALES[#Headers],0))</f>
        <v>4736</v>
      </c>
      <c r="H234" t="str">
        <f>INDEX('ECOMMERS SALES'!$A:$J,MATCH('index match'!$A234,'ECOMMERS SALES'!$C:$C,0),MATCH('index match'!H$1,ECOMMERS_SALES[#Headers],0))</f>
        <v>Chennai</v>
      </c>
      <c r="I234" t="str">
        <f>INDEX('ECOMMERS SALES'!$A:$J,MATCH('index match'!$A234,'ECOMMERS SALES'!$C:$C,0),MATCH('index match'!I$1,ECOMMERS_SALES[#Headers],0))</f>
        <v>New</v>
      </c>
      <c r="J234" t="str">
        <f>INDEX('ECOMMERS SALES'!$A:$J,MATCH('index match'!$A234,'ECOMMERS SALES'!$C:$C,0),MATCH('index match'!J$1,ECOMMERS_SALES[#Headers],0))</f>
        <v>UPI</v>
      </c>
    </row>
    <row r="235" spans="1:10" x14ac:dyDescent="0.35">
      <c r="A235" t="s">
        <v>25</v>
      </c>
      <c r="B235">
        <f>INDEX('ECOMMERS SALES'!$A:$J,MATCH('index match'!$A235,'ECOMMERS SALES'!$C:$C,0),MATCH('index match'!B$1,ECOMMERS_SALES[#Headers],0))</f>
        <v>1004</v>
      </c>
      <c r="C235" t="str">
        <f>INDEX('ECOMMERS SALES'!$A:$J,MATCH('index match'!$A235,'ECOMMERS SALES'!$C:$C,0),MATCH('index match'!C$1,ECOMMERS_SALES[#Headers],0))</f>
        <v>05-01-2025</v>
      </c>
      <c r="D235" t="str">
        <f>INDEX('ECOMMERS SALES'!$A:$J,MATCH('index match'!$A235,'ECOMMERS SALES'!$C:$C,0),MATCH('index match'!D$1,ECOMMERS_SALES[#Headers],0))</f>
        <v>Other</v>
      </c>
      <c r="E235">
        <f>INDEX('ECOMMERS SALES'!$A:$J,MATCH('index match'!$A235,'ECOMMERS SALES'!$C:$C,0),MATCH('index match'!E$1,ECOMMERS_SALES[#Headers],0))</f>
        <v>2</v>
      </c>
      <c r="F235">
        <f>INDEX('ECOMMERS SALES'!$A:$J,MATCH('index match'!$A235,'ECOMMERS SALES'!$C:$C,0),MATCH('index match'!F$1,ECOMMERS_SALES[#Headers],0))</f>
        <v>10072</v>
      </c>
      <c r="G235">
        <f>INDEX('ECOMMERS SALES'!$A:$J,MATCH('index match'!$A235,'ECOMMERS SALES'!$C:$C,0),MATCH('index match'!G$1,ECOMMERS_SALES[#Headers],0))</f>
        <v>20144</v>
      </c>
      <c r="H235" t="str">
        <f>INDEX('ECOMMERS SALES'!$A:$J,MATCH('index match'!$A235,'ECOMMERS SALES'!$C:$C,0),MATCH('index match'!H$1,ECOMMERS_SALES[#Headers],0))</f>
        <v>Pune</v>
      </c>
      <c r="I235" t="str">
        <f>INDEX('ECOMMERS SALES'!$A:$J,MATCH('index match'!$A235,'ECOMMERS SALES'!$C:$C,0),MATCH('index match'!I$1,ECOMMERS_SALES[#Headers],0))</f>
        <v>Premimum</v>
      </c>
      <c r="J235" t="str">
        <f>INDEX('ECOMMERS SALES'!$A:$J,MATCH('index match'!$A235,'ECOMMERS SALES'!$C:$C,0),MATCH('index match'!J$1,ECOMMERS_SALES[#Headers],0))</f>
        <v>Card</v>
      </c>
    </row>
    <row r="236" spans="1:10" x14ac:dyDescent="0.35">
      <c r="A236" t="s">
        <v>29</v>
      </c>
      <c r="B236">
        <f>INDEX('ECOMMERS SALES'!$A:$J,MATCH('index match'!$A236,'ECOMMERS SALES'!$C:$C,0),MATCH('index match'!B$1,ECOMMERS_SALES[#Headers],0))</f>
        <v>1005</v>
      </c>
      <c r="C236" t="str">
        <f>INDEX('ECOMMERS SALES'!$A:$J,MATCH('index match'!$A236,'ECOMMERS SALES'!$C:$C,0),MATCH('index match'!C$1,ECOMMERS_SALES[#Headers],0))</f>
        <v>06-01-2025</v>
      </c>
      <c r="D236" t="str">
        <f>INDEX('ECOMMERS SALES'!$A:$J,MATCH('index match'!$A236,'ECOMMERS SALES'!$C:$C,0),MATCH('index match'!D$1,ECOMMERS_SALES[#Headers],0))</f>
        <v>Other</v>
      </c>
      <c r="E236">
        <f>INDEX('ECOMMERS SALES'!$A:$J,MATCH('index match'!$A236,'ECOMMERS SALES'!$C:$C,0),MATCH('index match'!E$1,ECOMMERS_SALES[#Headers],0))</f>
        <v>2</v>
      </c>
      <c r="F236">
        <f>INDEX('ECOMMERS SALES'!$A:$J,MATCH('index match'!$A236,'ECOMMERS SALES'!$C:$C,0),MATCH('index match'!F$1,ECOMMERS_SALES[#Headers],0))</f>
        <v>920</v>
      </c>
      <c r="G236">
        <f>INDEX('ECOMMERS SALES'!$A:$J,MATCH('index match'!$A236,'ECOMMERS SALES'!$C:$C,0),MATCH('index match'!G$1,ECOMMERS_SALES[#Headers],0))</f>
        <v>1840</v>
      </c>
      <c r="H236" t="str">
        <f>INDEX('ECOMMERS SALES'!$A:$J,MATCH('index match'!$A236,'ECOMMERS SALES'!$C:$C,0),MATCH('index match'!H$1,ECOMMERS_SALES[#Headers],0))</f>
        <v>Pune</v>
      </c>
      <c r="I236" t="str">
        <f>INDEX('ECOMMERS SALES'!$A:$J,MATCH('index match'!$A236,'ECOMMERS SALES'!$C:$C,0),MATCH('index match'!I$1,ECOMMERS_SALES[#Headers],0))</f>
        <v>New</v>
      </c>
      <c r="J236" t="str">
        <f>INDEX('ECOMMERS SALES'!$A:$J,MATCH('index match'!$A236,'ECOMMERS SALES'!$C:$C,0),MATCH('index match'!J$1,ECOMMERS_SALES[#Headers],0))</f>
        <v>UPI</v>
      </c>
    </row>
    <row r="237" spans="1:10" x14ac:dyDescent="0.35">
      <c r="A237" t="s">
        <v>31</v>
      </c>
      <c r="B237">
        <f>INDEX('ECOMMERS SALES'!$A:$J,MATCH('index match'!$A237,'ECOMMERS SALES'!$C:$C,0),MATCH('index match'!B$1,ECOMMERS_SALES[#Headers],0))</f>
        <v>1006</v>
      </c>
      <c r="C237" t="str">
        <f>INDEX('ECOMMERS SALES'!$A:$J,MATCH('index match'!$A237,'ECOMMERS SALES'!$C:$C,0),MATCH('index match'!C$1,ECOMMERS_SALES[#Headers],0))</f>
        <v>07-01-2025</v>
      </c>
      <c r="D237" t="str">
        <f>INDEX('ECOMMERS SALES'!$A:$J,MATCH('index match'!$A237,'ECOMMERS SALES'!$C:$C,0),MATCH('index match'!D$1,ECOMMERS_SALES[#Headers],0))</f>
        <v>Electronics</v>
      </c>
      <c r="E237">
        <f>INDEX('ECOMMERS SALES'!$A:$J,MATCH('index match'!$A237,'ECOMMERS SALES'!$C:$C,0),MATCH('index match'!E$1,ECOMMERS_SALES[#Headers],0))</f>
        <v>1</v>
      </c>
      <c r="F237">
        <f>INDEX('ECOMMERS SALES'!$A:$J,MATCH('index match'!$A237,'ECOMMERS SALES'!$C:$C,0),MATCH('index match'!F$1,ECOMMERS_SALES[#Headers],0))</f>
        <v>13225</v>
      </c>
      <c r="G237">
        <f>INDEX('ECOMMERS SALES'!$A:$J,MATCH('index match'!$A237,'ECOMMERS SALES'!$C:$C,0),MATCH('index match'!G$1,ECOMMERS_SALES[#Headers],0))</f>
        <v>13225</v>
      </c>
      <c r="H237" t="str">
        <f>INDEX('ECOMMERS SALES'!$A:$J,MATCH('index match'!$A237,'ECOMMERS SALES'!$C:$C,0),MATCH('index match'!H$1,ECOMMERS_SALES[#Headers],0))</f>
        <v>Delhi</v>
      </c>
      <c r="I237" t="str">
        <f>INDEX('ECOMMERS SALES'!$A:$J,MATCH('index match'!$A237,'ECOMMERS SALES'!$C:$C,0),MATCH('index match'!I$1,ECOMMERS_SALES[#Headers],0))</f>
        <v>Returning</v>
      </c>
      <c r="J237" t="str">
        <f>INDEX('ECOMMERS SALES'!$A:$J,MATCH('index match'!$A237,'ECOMMERS SALES'!$C:$C,0),MATCH('index match'!J$1,ECOMMERS_SALES[#Headers],0))</f>
        <v>COD</v>
      </c>
    </row>
    <row r="238" spans="1:10" x14ac:dyDescent="0.35">
      <c r="A238" t="s">
        <v>35</v>
      </c>
      <c r="B238">
        <f>INDEX('ECOMMERS SALES'!$A:$J,MATCH('index match'!$A238,'ECOMMERS SALES'!$C:$C,0),MATCH('index match'!B$1,ECOMMERS_SALES[#Headers],0))</f>
        <v>1007</v>
      </c>
      <c r="C238" t="str">
        <f>INDEX('ECOMMERS SALES'!$A:$J,MATCH('index match'!$A238,'ECOMMERS SALES'!$C:$C,0),MATCH('index match'!C$1,ECOMMERS_SALES[#Headers],0))</f>
        <v>08-01-2025</v>
      </c>
      <c r="D238" t="str">
        <f>INDEX('ECOMMERS SALES'!$A:$J,MATCH('index match'!$A238,'ECOMMERS SALES'!$C:$C,0),MATCH('index match'!D$1,ECOMMERS_SALES[#Headers],0))</f>
        <v>Books</v>
      </c>
      <c r="E238">
        <f>INDEX('ECOMMERS SALES'!$A:$J,MATCH('index match'!$A238,'ECOMMERS SALES'!$C:$C,0),MATCH('index match'!E$1,ECOMMERS_SALES[#Headers],0))</f>
        <v>3</v>
      </c>
      <c r="F238">
        <f>INDEX('ECOMMERS SALES'!$A:$J,MATCH('index match'!$A238,'ECOMMERS SALES'!$C:$C,0),MATCH('index match'!F$1,ECOMMERS_SALES[#Headers],0))</f>
        <v>621</v>
      </c>
      <c r="G238">
        <f>INDEX('ECOMMERS SALES'!$A:$J,MATCH('index match'!$A238,'ECOMMERS SALES'!$C:$C,0),MATCH('index match'!G$1,ECOMMERS_SALES[#Headers],0))</f>
        <v>1863</v>
      </c>
      <c r="H238" t="str">
        <f>INDEX('ECOMMERS SALES'!$A:$J,MATCH('index match'!$A238,'ECOMMERS SALES'!$C:$C,0),MATCH('index match'!H$1,ECOMMERS_SALES[#Headers],0))</f>
        <v>Hyderabad</v>
      </c>
      <c r="I238" t="str">
        <f>INDEX('ECOMMERS SALES'!$A:$J,MATCH('index match'!$A238,'ECOMMERS SALES'!$C:$C,0),MATCH('index match'!I$1,ECOMMERS_SALES[#Headers],0))</f>
        <v>Premimum</v>
      </c>
      <c r="J238" t="str">
        <f>INDEX('ECOMMERS SALES'!$A:$J,MATCH('index match'!$A238,'ECOMMERS SALES'!$C:$C,0),MATCH('index match'!J$1,ECOMMERS_SALES[#Headers],0))</f>
        <v>UPI</v>
      </c>
    </row>
    <row r="239" spans="1:10" x14ac:dyDescent="0.35">
      <c r="A239" t="s">
        <v>39</v>
      </c>
      <c r="B239">
        <f>INDEX('ECOMMERS SALES'!$A:$J,MATCH('index match'!$A239,'ECOMMERS SALES'!$C:$C,0),MATCH('index match'!B$1,ECOMMERS_SALES[#Headers],0))</f>
        <v>1008</v>
      </c>
      <c r="C239" t="str">
        <f>INDEX('ECOMMERS SALES'!$A:$J,MATCH('index match'!$A239,'ECOMMERS SALES'!$C:$C,0),MATCH('index match'!C$1,ECOMMERS_SALES[#Headers],0))</f>
        <v>09-01-2025</v>
      </c>
      <c r="D239" t="str">
        <f>INDEX('ECOMMERS SALES'!$A:$J,MATCH('index match'!$A239,'ECOMMERS SALES'!$C:$C,0),MATCH('index match'!D$1,ECOMMERS_SALES[#Headers],0))</f>
        <v>Fashion</v>
      </c>
      <c r="E239">
        <f>INDEX('ECOMMERS SALES'!$A:$J,MATCH('index match'!$A239,'ECOMMERS SALES'!$C:$C,0),MATCH('index match'!E$1,ECOMMERS_SALES[#Headers],0))</f>
        <v>2</v>
      </c>
      <c r="F239">
        <f>INDEX('ECOMMERS SALES'!$A:$J,MATCH('index match'!$A239,'ECOMMERS SALES'!$C:$C,0),MATCH('index match'!F$1,ECOMMERS_SALES[#Headers],0))</f>
        <v>905</v>
      </c>
      <c r="G239">
        <f>INDEX('ECOMMERS SALES'!$A:$J,MATCH('index match'!$A239,'ECOMMERS SALES'!$C:$C,0),MATCH('index match'!G$1,ECOMMERS_SALES[#Headers],0))</f>
        <v>1810</v>
      </c>
      <c r="H239" t="str">
        <f>INDEX('ECOMMERS SALES'!$A:$J,MATCH('index match'!$A239,'ECOMMERS SALES'!$C:$C,0),MATCH('index match'!H$1,ECOMMERS_SALES[#Headers],0))</f>
        <v>Bangalore</v>
      </c>
      <c r="I239" t="str">
        <f>INDEX('ECOMMERS SALES'!$A:$J,MATCH('index match'!$A239,'ECOMMERS SALES'!$C:$C,0),MATCH('index match'!I$1,ECOMMERS_SALES[#Headers],0))</f>
        <v>New</v>
      </c>
      <c r="J239" t="str">
        <f>INDEX('ECOMMERS SALES'!$A:$J,MATCH('index match'!$A239,'ECOMMERS SALES'!$C:$C,0),MATCH('index match'!J$1,ECOMMERS_SALES[#Headers],0))</f>
        <v>COD</v>
      </c>
    </row>
    <row r="240" spans="1:10" x14ac:dyDescent="0.35">
      <c r="A240" t="s">
        <v>42</v>
      </c>
      <c r="B240">
        <f>INDEX('ECOMMERS SALES'!$A:$J,MATCH('index match'!$A240,'ECOMMERS SALES'!$C:$C,0),MATCH('index match'!B$1,ECOMMERS_SALES[#Headers],0))</f>
        <v>1009</v>
      </c>
      <c r="C240" t="str">
        <f>INDEX('ECOMMERS SALES'!$A:$J,MATCH('index match'!$A240,'ECOMMERS SALES'!$C:$C,0),MATCH('index match'!C$1,ECOMMERS_SALES[#Headers],0))</f>
        <v>10-01-2025</v>
      </c>
      <c r="D240" t="str">
        <f>INDEX('ECOMMERS SALES'!$A:$J,MATCH('index match'!$A240,'ECOMMERS SALES'!$C:$C,0),MATCH('index match'!D$1,ECOMMERS_SALES[#Headers],0))</f>
        <v>Electronics</v>
      </c>
      <c r="E240">
        <f>INDEX('ECOMMERS SALES'!$A:$J,MATCH('index match'!$A240,'ECOMMERS SALES'!$C:$C,0),MATCH('index match'!E$1,ECOMMERS_SALES[#Headers],0))</f>
        <v>1</v>
      </c>
      <c r="F240">
        <f>INDEX('ECOMMERS SALES'!$A:$J,MATCH('index match'!$A240,'ECOMMERS SALES'!$C:$C,0),MATCH('index match'!F$1,ECOMMERS_SALES[#Headers],0))</f>
        <v>8563</v>
      </c>
      <c r="G240">
        <f>INDEX('ECOMMERS SALES'!$A:$J,MATCH('index match'!$A240,'ECOMMERS SALES'!$C:$C,0),MATCH('index match'!G$1,ECOMMERS_SALES[#Headers],0))</f>
        <v>8563</v>
      </c>
      <c r="H240" t="str">
        <f>INDEX('ECOMMERS SALES'!$A:$J,MATCH('index match'!$A240,'ECOMMERS SALES'!$C:$C,0),MATCH('index match'!H$1,ECOMMERS_SALES[#Headers],0))</f>
        <v>Hyderabad</v>
      </c>
      <c r="I240" t="str">
        <f>INDEX('ECOMMERS SALES'!$A:$J,MATCH('index match'!$A240,'ECOMMERS SALES'!$C:$C,0),MATCH('index match'!I$1,ECOMMERS_SALES[#Headers],0))</f>
        <v>Returning</v>
      </c>
      <c r="J240" t="str">
        <f>INDEX('ECOMMERS SALES'!$A:$J,MATCH('index match'!$A240,'ECOMMERS SALES'!$C:$C,0),MATCH('index match'!J$1,ECOMMERS_SALES[#Headers],0))</f>
        <v>Card</v>
      </c>
    </row>
    <row r="241" spans="1:10" x14ac:dyDescent="0.35">
      <c r="A241" t="s">
        <v>44</v>
      </c>
      <c r="B241">
        <f>INDEX('ECOMMERS SALES'!$A:$J,MATCH('index match'!$A241,'ECOMMERS SALES'!$C:$C,0),MATCH('index match'!B$1,ECOMMERS_SALES[#Headers],0))</f>
        <v>1010</v>
      </c>
      <c r="C241" t="str">
        <f>INDEX('ECOMMERS SALES'!$A:$J,MATCH('index match'!$A241,'ECOMMERS SALES'!$C:$C,0),MATCH('index match'!C$1,ECOMMERS_SALES[#Headers],0))</f>
        <v>11-01-2025</v>
      </c>
      <c r="D241" t="str">
        <f>INDEX('ECOMMERS SALES'!$A:$J,MATCH('index match'!$A241,'ECOMMERS SALES'!$C:$C,0),MATCH('index match'!D$1,ECOMMERS_SALES[#Headers],0))</f>
        <v>Other</v>
      </c>
      <c r="E241">
        <f>INDEX('ECOMMERS SALES'!$A:$J,MATCH('index match'!$A241,'ECOMMERS SALES'!$C:$C,0),MATCH('index match'!E$1,ECOMMERS_SALES[#Headers],0))</f>
        <v>1</v>
      </c>
      <c r="F241">
        <f>INDEX('ECOMMERS SALES'!$A:$J,MATCH('index match'!$A241,'ECOMMERS SALES'!$C:$C,0),MATCH('index match'!F$1,ECOMMERS_SALES[#Headers],0))</f>
        <v>268</v>
      </c>
      <c r="G241">
        <f>INDEX('ECOMMERS SALES'!$A:$J,MATCH('index match'!$A241,'ECOMMERS SALES'!$C:$C,0),MATCH('index match'!G$1,ECOMMERS_SALES[#Headers],0))</f>
        <v>268</v>
      </c>
      <c r="H241" t="str">
        <f>INDEX('ECOMMERS SALES'!$A:$J,MATCH('index match'!$A241,'ECOMMERS SALES'!$C:$C,0),MATCH('index match'!H$1,ECOMMERS_SALES[#Headers],0))</f>
        <v>Chennai</v>
      </c>
      <c r="I241" t="str">
        <f>INDEX('ECOMMERS SALES'!$A:$J,MATCH('index match'!$A241,'ECOMMERS SALES'!$C:$C,0),MATCH('index match'!I$1,ECOMMERS_SALES[#Headers],0))</f>
        <v>New</v>
      </c>
      <c r="J241" t="str">
        <f>INDEX('ECOMMERS SALES'!$A:$J,MATCH('index match'!$A241,'ECOMMERS SALES'!$C:$C,0),MATCH('index match'!J$1,ECOMMERS_SALES[#Headers],0))</f>
        <v>UPI</v>
      </c>
    </row>
    <row r="242" spans="1:10" x14ac:dyDescent="0.35">
      <c r="A242" t="s">
        <v>11</v>
      </c>
      <c r="B242">
        <f>INDEX('ECOMMERS SALES'!$A:$J,MATCH('index match'!$A242,'ECOMMERS SALES'!$C:$C,0),MATCH('index match'!B$1,ECOMMERS_SALES[#Headers],0))</f>
        <v>1001</v>
      </c>
      <c r="C242" t="str">
        <f>INDEX('ECOMMERS SALES'!$A:$J,MATCH('index match'!$A242,'ECOMMERS SALES'!$C:$C,0),MATCH('index match'!C$1,ECOMMERS_SALES[#Headers],0))</f>
        <v>02-01-2025</v>
      </c>
      <c r="D242" t="str">
        <f>INDEX('ECOMMERS SALES'!$A:$J,MATCH('index match'!$A242,'ECOMMERS SALES'!$C:$C,0),MATCH('index match'!D$1,ECOMMERS_SALES[#Headers],0))</f>
        <v>Electronics</v>
      </c>
      <c r="E242">
        <f>INDEX('ECOMMERS SALES'!$A:$J,MATCH('index match'!$A242,'ECOMMERS SALES'!$C:$C,0),MATCH('index match'!E$1,ECOMMERS_SALES[#Headers],0))</f>
        <v>2</v>
      </c>
      <c r="F242">
        <f>INDEX('ECOMMERS SALES'!$A:$J,MATCH('index match'!$A242,'ECOMMERS SALES'!$C:$C,0),MATCH('index match'!F$1,ECOMMERS_SALES[#Headers],0))</f>
        <v>50353</v>
      </c>
      <c r="G242">
        <f>INDEX('ECOMMERS SALES'!$A:$J,MATCH('index match'!$A242,'ECOMMERS SALES'!$C:$C,0),MATCH('index match'!G$1,ECOMMERS_SALES[#Headers],0))</f>
        <v>100706</v>
      </c>
      <c r="H242" t="str">
        <f>INDEX('ECOMMERS SALES'!$A:$J,MATCH('index match'!$A242,'ECOMMERS SALES'!$C:$C,0),MATCH('index match'!H$1,ECOMMERS_SALES[#Headers],0))</f>
        <v>Chennai</v>
      </c>
      <c r="I242" t="str">
        <f>INDEX('ECOMMERS SALES'!$A:$J,MATCH('index match'!$A242,'ECOMMERS SALES'!$C:$C,0),MATCH('index match'!I$1,ECOMMERS_SALES[#Headers],0))</f>
        <v>Premimum</v>
      </c>
      <c r="J242" t="str">
        <f>INDEX('ECOMMERS SALES'!$A:$J,MATCH('index match'!$A242,'ECOMMERS SALES'!$C:$C,0),MATCH('index match'!J$1,ECOMMERS_SALES[#Headers],0))</f>
        <v>Card</v>
      </c>
    </row>
    <row r="243" spans="1:10" x14ac:dyDescent="0.35">
      <c r="A243" t="s">
        <v>17</v>
      </c>
      <c r="B243">
        <f>INDEX('ECOMMERS SALES'!$A:$J,MATCH('index match'!$A243,'ECOMMERS SALES'!$C:$C,0),MATCH('index match'!B$1,ECOMMERS_SALES[#Headers],0))</f>
        <v>1002</v>
      </c>
      <c r="C243" t="str">
        <f>INDEX('ECOMMERS SALES'!$A:$J,MATCH('index match'!$A243,'ECOMMERS SALES'!$C:$C,0),MATCH('index match'!C$1,ECOMMERS_SALES[#Headers],0))</f>
        <v>03-01-2025</v>
      </c>
      <c r="D243" t="str">
        <f>INDEX('ECOMMERS SALES'!$A:$J,MATCH('index match'!$A243,'ECOMMERS SALES'!$C:$C,0),MATCH('index match'!D$1,ECOMMERS_SALES[#Headers],0))</f>
        <v>Electronics</v>
      </c>
      <c r="E243">
        <f>INDEX('ECOMMERS SALES'!$A:$J,MATCH('index match'!$A243,'ECOMMERS SALES'!$C:$C,0),MATCH('index match'!E$1,ECOMMERS_SALES[#Headers],0))</f>
        <v>2</v>
      </c>
      <c r="F243">
        <f>INDEX('ECOMMERS SALES'!$A:$J,MATCH('index match'!$A243,'ECOMMERS SALES'!$C:$C,0),MATCH('index match'!F$1,ECOMMERS_SALES[#Headers],0))</f>
        <v>2008</v>
      </c>
      <c r="G243">
        <f>INDEX('ECOMMERS SALES'!$A:$J,MATCH('index match'!$A243,'ECOMMERS SALES'!$C:$C,0),MATCH('index match'!G$1,ECOMMERS_SALES[#Headers],0))</f>
        <v>4016</v>
      </c>
      <c r="H243" t="str">
        <f>INDEX('ECOMMERS SALES'!$A:$J,MATCH('index match'!$A243,'ECOMMERS SALES'!$C:$C,0),MATCH('index match'!H$1,ECOMMERS_SALES[#Headers],0))</f>
        <v>Delhi</v>
      </c>
      <c r="I243" t="str">
        <f>INDEX('ECOMMERS SALES'!$A:$J,MATCH('index match'!$A243,'ECOMMERS SALES'!$C:$C,0),MATCH('index match'!I$1,ECOMMERS_SALES[#Headers],0))</f>
        <v>New</v>
      </c>
      <c r="J243" t="str">
        <f>INDEX('ECOMMERS SALES'!$A:$J,MATCH('index match'!$A243,'ECOMMERS SALES'!$C:$C,0),MATCH('index match'!J$1,ECOMMERS_SALES[#Headers],0))</f>
        <v>UPI</v>
      </c>
    </row>
    <row r="244" spans="1:10" x14ac:dyDescent="0.35">
      <c r="A244" t="s">
        <v>22</v>
      </c>
      <c r="B244">
        <f>INDEX('ECOMMERS SALES'!$A:$J,MATCH('index match'!$A244,'ECOMMERS SALES'!$C:$C,0),MATCH('index match'!B$1,ECOMMERS_SALES[#Headers],0))</f>
        <v>1003</v>
      </c>
      <c r="C244" t="str">
        <f>INDEX('ECOMMERS SALES'!$A:$J,MATCH('index match'!$A244,'ECOMMERS SALES'!$C:$C,0),MATCH('index match'!C$1,ECOMMERS_SALES[#Headers],0))</f>
        <v>04-01-2025</v>
      </c>
      <c r="D244" t="str">
        <f>INDEX('ECOMMERS SALES'!$A:$J,MATCH('index match'!$A244,'ECOMMERS SALES'!$C:$C,0),MATCH('index match'!D$1,ECOMMERS_SALES[#Headers],0))</f>
        <v>Fashion</v>
      </c>
      <c r="E244">
        <f>INDEX('ECOMMERS SALES'!$A:$J,MATCH('index match'!$A244,'ECOMMERS SALES'!$C:$C,0),MATCH('index match'!E$1,ECOMMERS_SALES[#Headers],0))</f>
        <v>1</v>
      </c>
      <c r="F244">
        <f>INDEX('ECOMMERS SALES'!$A:$J,MATCH('index match'!$A244,'ECOMMERS SALES'!$C:$C,0),MATCH('index match'!F$1,ECOMMERS_SALES[#Headers],0))</f>
        <v>4736</v>
      </c>
      <c r="G244">
        <f>INDEX('ECOMMERS SALES'!$A:$J,MATCH('index match'!$A244,'ECOMMERS SALES'!$C:$C,0),MATCH('index match'!G$1,ECOMMERS_SALES[#Headers],0))</f>
        <v>4736</v>
      </c>
      <c r="H244" t="str">
        <f>INDEX('ECOMMERS SALES'!$A:$J,MATCH('index match'!$A244,'ECOMMERS SALES'!$C:$C,0),MATCH('index match'!H$1,ECOMMERS_SALES[#Headers],0))</f>
        <v>Chennai</v>
      </c>
      <c r="I244" t="str">
        <f>INDEX('ECOMMERS SALES'!$A:$J,MATCH('index match'!$A244,'ECOMMERS SALES'!$C:$C,0),MATCH('index match'!I$1,ECOMMERS_SALES[#Headers],0))</f>
        <v>New</v>
      </c>
      <c r="J244" t="str">
        <f>INDEX('ECOMMERS SALES'!$A:$J,MATCH('index match'!$A244,'ECOMMERS SALES'!$C:$C,0),MATCH('index match'!J$1,ECOMMERS_SALES[#Headers],0))</f>
        <v>UPI</v>
      </c>
    </row>
    <row r="245" spans="1:10" x14ac:dyDescent="0.35">
      <c r="A245" t="s">
        <v>25</v>
      </c>
      <c r="B245">
        <f>INDEX('ECOMMERS SALES'!$A:$J,MATCH('index match'!$A245,'ECOMMERS SALES'!$C:$C,0),MATCH('index match'!B$1,ECOMMERS_SALES[#Headers],0))</f>
        <v>1004</v>
      </c>
      <c r="C245" t="str">
        <f>INDEX('ECOMMERS SALES'!$A:$J,MATCH('index match'!$A245,'ECOMMERS SALES'!$C:$C,0),MATCH('index match'!C$1,ECOMMERS_SALES[#Headers],0))</f>
        <v>05-01-2025</v>
      </c>
      <c r="D245" t="str">
        <f>INDEX('ECOMMERS SALES'!$A:$J,MATCH('index match'!$A245,'ECOMMERS SALES'!$C:$C,0),MATCH('index match'!D$1,ECOMMERS_SALES[#Headers],0))</f>
        <v>Other</v>
      </c>
      <c r="E245">
        <f>INDEX('ECOMMERS SALES'!$A:$J,MATCH('index match'!$A245,'ECOMMERS SALES'!$C:$C,0),MATCH('index match'!E$1,ECOMMERS_SALES[#Headers],0))</f>
        <v>2</v>
      </c>
      <c r="F245">
        <f>INDEX('ECOMMERS SALES'!$A:$J,MATCH('index match'!$A245,'ECOMMERS SALES'!$C:$C,0),MATCH('index match'!F$1,ECOMMERS_SALES[#Headers],0))</f>
        <v>10072</v>
      </c>
      <c r="G245">
        <f>INDEX('ECOMMERS SALES'!$A:$J,MATCH('index match'!$A245,'ECOMMERS SALES'!$C:$C,0),MATCH('index match'!G$1,ECOMMERS_SALES[#Headers],0))</f>
        <v>20144</v>
      </c>
      <c r="H245" t="str">
        <f>INDEX('ECOMMERS SALES'!$A:$J,MATCH('index match'!$A245,'ECOMMERS SALES'!$C:$C,0),MATCH('index match'!H$1,ECOMMERS_SALES[#Headers],0))</f>
        <v>Pune</v>
      </c>
      <c r="I245" t="str">
        <f>INDEX('ECOMMERS SALES'!$A:$J,MATCH('index match'!$A245,'ECOMMERS SALES'!$C:$C,0),MATCH('index match'!I$1,ECOMMERS_SALES[#Headers],0))</f>
        <v>Premimum</v>
      </c>
      <c r="J245" t="str">
        <f>INDEX('ECOMMERS SALES'!$A:$J,MATCH('index match'!$A245,'ECOMMERS SALES'!$C:$C,0),MATCH('index match'!J$1,ECOMMERS_SALES[#Headers],0))</f>
        <v>Card</v>
      </c>
    </row>
    <row r="246" spans="1:10" x14ac:dyDescent="0.35">
      <c r="A246" t="s">
        <v>29</v>
      </c>
      <c r="B246">
        <f>INDEX('ECOMMERS SALES'!$A:$J,MATCH('index match'!$A246,'ECOMMERS SALES'!$C:$C,0),MATCH('index match'!B$1,ECOMMERS_SALES[#Headers],0))</f>
        <v>1005</v>
      </c>
      <c r="C246" t="str">
        <f>INDEX('ECOMMERS SALES'!$A:$J,MATCH('index match'!$A246,'ECOMMERS SALES'!$C:$C,0),MATCH('index match'!C$1,ECOMMERS_SALES[#Headers],0))</f>
        <v>06-01-2025</v>
      </c>
      <c r="D246" t="str">
        <f>INDEX('ECOMMERS SALES'!$A:$J,MATCH('index match'!$A246,'ECOMMERS SALES'!$C:$C,0),MATCH('index match'!D$1,ECOMMERS_SALES[#Headers],0))</f>
        <v>Other</v>
      </c>
      <c r="E246">
        <f>INDEX('ECOMMERS SALES'!$A:$J,MATCH('index match'!$A246,'ECOMMERS SALES'!$C:$C,0),MATCH('index match'!E$1,ECOMMERS_SALES[#Headers],0))</f>
        <v>2</v>
      </c>
      <c r="F246">
        <f>INDEX('ECOMMERS SALES'!$A:$J,MATCH('index match'!$A246,'ECOMMERS SALES'!$C:$C,0),MATCH('index match'!F$1,ECOMMERS_SALES[#Headers],0))</f>
        <v>920</v>
      </c>
      <c r="G246">
        <f>INDEX('ECOMMERS SALES'!$A:$J,MATCH('index match'!$A246,'ECOMMERS SALES'!$C:$C,0),MATCH('index match'!G$1,ECOMMERS_SALES[#Headers],0))</f>
        <v>1840</v>
      </c>
      <c r="H246" t="str">
        <f>INDEX('ECOMMERS SALES'!$A:$J,MATCH('index match'!$A246,'ECOMMERS SALES'!$C:$C,0),MATCH('index match'!H$1,ECOMMERS_SALES[#Headers],0))</f>
        <v>Pune</v>
      </c>
      <c r="I246" t="str">
        <f>INDEX('ECOMMERS SALES'!$A:$J,MATCH('index match'!$A246,'ECOMMERS SALES'!$C:$C,0),MATCH('index match'!I$1,ECOMMERS_SALES[#Headers],0))</f>
        <v>New</v>
      </c>
      <c r="J246" t="str">
        <f>INDEX('ECOMMERS SALES'!$A:$J,MATCH('index match'!$A246,'ECOMMERS SALES'!$C:$C,0),MATCH('index match'!J$1,ECOMMERS_SALES[#Headers],0))</f>
        <v>UPI</v>
      </c>
    </row>
    <row r="247" spans="1:10" x14ac:dyDescent="0.35">
      <c r="A247" t="s">
        <v>31</v>
      </c>
      <c r="B247">
        <f>INDEX('ECOMMERS SALES'!$A:$J,MATCH('index match'!$A247,'ECOMMERS SALES'!$C:$C,0),MATCH('index match'!B$1,ECOMMERS_SALES[#Headers],0))</f>
        <v>1006</v>
      </c>
      <c r="C247" t="str">
        <f>INDEX('ECOMMERS SALES'!$A:$J,MATCH('index match'!$A247,'ECOMMERS SALES'!$C:$C,0),MATCH('index match'!C$1,ECOMMERS_SALES[#Headers],0))</f>
        <v>07-01-2025</v>
      </c>
      <c r="D247" t="str">
        <f>INDEX('ECOMMERS SALES'!$A:$J,MATCH('index match'!$A247,'ECOMMERS SALES'!$C:$C,0),MATCH('index match'!D$1,ECOMMERS_SALES[#Headers],0))</f>
        <v>Electronics</v>
      </c>
      <c r="E247">
        <f>INDEX('ECOMMERS SALES'!$A:$J,MATCH('index match'!$A247,'ECOMMERS SALES'!$C:$C,0),MATCH('index match'!E$1,ECOMMERS_SALES[#Headers],0))</f>
        <v>1</v>
      </c>
      <c r="F247">
        <f>INDEX('ECOMMERS SALES'!$A:$J,MATCH('index match'!$A247,'ECOMMERS SALES'!$C:$C,0),MATCH('index match'!F$1,ECOMMERS_SALES[#Headers],0))</f>
        <v>13225</v>
      </c>
      <c r="G247">
        <f>INDEX('ECOMMERS SALES'!$A:$J,MATCH('index match'!$A247,'ECOMMERS SALES'!$C:$C,0),MATCH('index match'!G$1,ECOMMERS_SALES[#Headers],0))</f>
        <v>13225</v>
      </c>
      <c r="H247" t="str">
        <f>INDEX('ECOMMERS SALES'!$A:$J,MATCH('index match'!$A247,'ECOMMERS SALES'!$C:$C,0),MATCH('index match'!H$1,ECOMMERS_SALES[#Headers],0))</f>
        <v>Delhi</v>
      </c>
      <c r="I247" t="str">
        <f>INDEX('ECOMMERS SALES'!$A:$J,MATCH('index match'!$A247,'ECOMMERS SALES'!$C:$C,0),MATCH('index match'!I$1,ECOMMERS_SALES[#Headers],0))</f>
        <v>Returning</v>
      </c>
      <c r="J247" t="str">
        <f>INDEX('ECOMMERS SALES'!$A:$J,MATCH('index match'!$A247,'ECOMMERS SALES'!$C:$C,0),MATCH('index match'!J$1,ECOMMERS_SALES[#Headers],0))</f>
        <v>COD</v>
      </c>
    </row>
    <row r="248" spans="1:10" x14ac:dyDescent="0.35">
      <c r="A248" t="s">
        <v>35</v>
      </c>
      <c r="B248">
        <f>INDEX('ECOMMERS SALES'!$A:$J,MATCH('index match'!$A248,'ECOMMERS SALES'!$C:$C,0),MATCH('index match'!B$1,ECOMMERS_SALES[#Headers],0))</f>
        <v>1007</v>
      </c>
      <c r="C248" t="str">
        <f>INDEX('ECOMMERS SALES'!$A:$J,MATCH('index match'!$A248,'ECOMMERS SALES'!$C:$C,0),MATCH('index match'!C$1,ECOMMERS_SALES[#Headers],0))</f>
        <v>08-01-2025</v>
      </c>
      <c r="D248" t="str">
        <f>INDEX('ECOMMERS SALES'!$A:$J,MATCH('index match'!$A248,'ECOMMERS SALES'!$C:$C,0),MATCH('index match'!D$1,ECOMMERS_SALES[#Headers],0))</f>
        <v>Books</v>
      </c>
      <c r="E248">
        <f>INDEX('ECOMMERS SALES'!$A:$J,MATCH('index match'!$A248,'ECOMMERS SALES'!$C:$C,0),MATCH('index match'!E$1,ECOMMERS_SALES[#Headers],0))</f>
        <v>3</v>
      </c>
      <c r="F248">
        <f>INDEX('ECOMMERS SALES'!$A:$J,MATCH('index match'!$A248,'ECOMMERS SALES'!$C:$C,0),MATCH('index match'!F$1,ECOMMERS_SALES[#Headers],0))</f>
        <v>621</v>
      </c>
      <c r="G248">
        <f>INDEX('ECOMMERS SALES'!$A:$J,MATCH('index match'!$A248,'ECOMMERS SALES'!$C:$C,0),MATCH('index match'!G$1,ECOMMERS_SALES[#Headers],0))</f>
        <v>1863</v>
      </c>
      <c r="H248" t="str">
        <f>INDEX('ECOMMERS SALES'!$A:$J,MATCH('index match'!$A248,'ECOMMERS SALES'!$C:$C,0),MATCH('index match'!H$1,ECOMMERS_SALES[#Headers],0))</f>
        <v>Hyderabad</v>
      </c>
      <c r="I248" t="str">
        <f>INDEX('ECOMMERS SALES'!$A:$J,MATCH('index match'!$A248,'ECOMMERS SALES'!$C:$C,0),MATCH('index match'!I$1,ECOMMERS_SALES[#Headers],0))</f>
        <v>Premimum</v>
      </c>
      <c r="J248" t="str">
        <f>INDEX('ECOMMERS SALES'!$A:$J,MATCH('index match'!$A248,'ECOMMERS SALES'!$C:$C,0),MATCH('index match'!J$1,ECOMMERS_SALES[#Headers],0))</f>
        <v>UPI</v>
      </c>
    </row>
    <row r="249" spans="1:10" x14ac:dyDescent="0.35">
      <c r="A249" t="s">
        <v>39</v>
      </c>
      <c r="B249">
        <f>INDEX('ECOMMERS SALES'!$A:$J,MATCH('index match'!$A249,'ECOMMERS SALES'!$C:$C,0),MATCH('index match'!B$1,ECOMMERS_SALES[#Headers],0))</f>
        <v>1008</v>
      </c>
      <c r="C249" t="str">
        <f>INDEX('ECOMMERS SALES'!$A:$J,MATCH('index match'!$A249,'ECOMMERS SALES'!$C:$C,0),MATCH('index match'!C$1,ECOMMERS_SALES[#Headers],0))</f>
        <v>09-01-2025</v>
      </c>
      <c r="D249" t="str">
        <f>INDEX('ECOMMERS SALES'!$A:$J,MATCH('index match'!$A249,'ECOMMERS SALES'!$C:$C,0),MATCH('index match'!D$1,ECOMMERS_SALES[#Headers],0))</f>
        <v>Fashion</v>
      </c>
      <c r="E249">
        <f>INDEX('ECOMMERS SALES'!$A:$J,MATCH('index match'!$A249,'ECOMMERS SALES'!$C:$C,0),MATCH('index match'!E$1,ECOMMERS_SALES[#Headers],0))</f>
        <v>2</v>
      </c>
      <c r="F249">
        <f>INDEX('ECOMMERS SALES'!$A:$J,MATCH('index match'!$A249,'ECOMMERS SALES'!$C:$C,0),MATCH('index match'!F$1,ECOMMERS_SALES[#Headers],0))</f>
        <v>905</v>
      </c>
      <c r="G249">
        <f>INDEX('ECOMMERS SALES'!$A:$J,MATCH('index match'!$A249,'ECOMMERS SALES'!$C:$C,0),MATCH('index match'!G$1,ECOMMERS_SALES[#Headers],0))</f>
        <v>1810</v>
      </c>
      <c r="H249" t="str">
        <f>INDEX('ECOMMERS SALES'!$A:$J,MATCH('index match'!$A249,'ECOMMERS SALES'!$C:$C,0),MATCH('index match'!H$1,ECOMMERS_SALES[#Headers],0))</f>
        <v>Bangalore</v>
      </c>
      <c r="I249" t="str">
        <f>INDEX('ECOMMERS SALES'!$A:$J,MATCH('index match'!$A249,'ECOMMERS SALES'!$C:$C,0),MATCH('index match'!I$1,ECOMMERS_SALES[#Headers],0))</f>
        <v>New</v>
      </c>
      <c r="J249" t="str">
        <f>INDEX('ECOMMERS SALES'!$A:$J,MATCH('index match'!$A249,'ECOMMERS SALES'!$C:$C,0),MATCH('index match'!J$1,ECOMMERS_SALES[#Headers],0))</f>
        <v>COD</v>
      </c>
    </row>
    <row r="250" spans="1:10" x14ac:dyDescent="0.35">
      <c r="A250" t="s">
        <v>42</v>
      </c>
      <c r="B250">
        <f>INDEX('ECOMMERS SALES'!$A:$J,MATCH('index match'!$A250,'ECOMMERS SALES'!$C:$C,0),MATCH('index match'!B$1,ECOMMERS_SALES[#Headers],0))</f>
        <v>1009</v>
      </c>
      <c r="C250" t="str">
        <f>INDEX('ECOMMERS SALES'!$A:$J,MATCH('index match'!$A250,'ECOMMERS SALES'!$C:$C,0),MATCH('index match'!C$1,ECOMMERS_SALES[#Headers],0))</f>
        <v>10-01-2025</v>
      </c>
      <c r="D250" t="str">
        <f>INDEX('ECOMMERS SALES'!$A:$J,MATCH('index match'!$A250,'ECOMMERS SALES'!$C:$C,0),MATCH('index match'!D$1,ECOMMERS_SALES[#Headers],0))</f>
        <v>Electronics</v>
      </c>
      <c r="E250">
        <f>INDEX('ECOMMERS SALES'!$A:$J,MATCH('index match'!$A250,'ECOMMERS SALES'!$C:$C,0),MATCH('index match'!E$1,ECOMMERS_SALES[#Headers],0))</f>
        <v>1</v>
      </c>
      <c r="F250">
        <f>INDEX('ECOMMERS SALES'!$A:$J,MATCH('index match'!$A250,'ECOMMERS SALES'!$C:$C,0),MATCH('index match'!F$1,ECOMMERS_SALES[#Headers],0))</f>
        <v>8563</v>
      </c>
      <c r="G250">
        <f>INDEX('ECOMMERS SALES'!$A:$J,MATCH('index match'!$A250,'ECOMMERS SALES'!$C:$C,0),MATCH('index match'!G$1,ECOMMERS_SALES[#Headers],0))</f>
        <v>8563</v>
      </c>
      <c r="H250" t="str">
        <f>INDEX('ECOMMERS SALES'!$A:$J,MATCH('index match'!$A250,'ECOMMERS SALES'!$C:$C,0),MATCH('index match'!H$1,ECOMMERS_SALES[#Headers],0))</f>
        <v>Hyderabad</v>
      </c>
      <c r="I250" t="str">
        <f>INDEX('ECOMMERS SALES'!$A:$J,MATCH('index match'!$A250,'ECOMMERS SALES'!$C:$C,0),MATCH('index match'!I$1,ECOMMERS_SALES[#Headers],0))</f>
        <v>Returning</v>
      </c>
      <c r="J250" t="str">
        <f>INDEX('ECOMMERS SALES'!$A:$J,MATCH('index match'!$A250,'ECOMMERS SALES'!$C:$C,0),MATCH('index match'!J$1,ECOMMERS_SALES[#Headers],0))</f>
        <v>Card</v>
      </c>
    </row>
    <row r="251" spans="1:10" x14ac:dyDescent="0.35">
      <c r="A251" t="s">
        <v>44</v>
      </c>
      <c r="B251">
        <f>INDEX('ECOMMERS SALES'!$A:$J,MATCH('index match'!$A251,'ECOMMERS SALES'!$C:$C,0),MATCH('index match'!B$1,ECOMMERS_SALES[#Headers],0))</f>
        <v>1010</v>
      </c>
      <c r="C251" t="str">
        <f>INDEX('ECOMMERS SALES'!$A:$J,MATCH('index match'!$A251,'ECOMMERS SALES'!$C:$C,0),MATCH('index match'!C$1,ECOMMERS_SALES[#Headers],0))</f>
        <v>11-01-2025</v>
      </c>
      <c r="D251" t="str">
        <f>INDEX('ECOMMERS SALES'!$A:$J,MATCH('index match'!$A251,'ECOMMERS SALES'!$C:$C,0),MATCH('index match'!D$1,ECOMMERS_SALES[#Headers],0))</f>
        <v>Other</v>
      </c>
      <c r="E251">
        <f>INDEX('ECOMMERS SALES'!$A:$J,MATCH('index match'!$A251,'ECOMMERS SALES'!$C:$C,0),MATCH('index match'!E$1,ECOMMERS_SALES[#Headers],0))</f>
        <v>1</v>
      </c>
      <c r="F251">
        <f>INDEX('ECOMMERS SALES'!$A:$J,MATCH('index match'!$A251,'ECOMMERS SALES'!$C:$C,0),MATCH('index match'!F$1,ECOMMERS_SALES[#Headers],0))</f>
        <v>268</v>
      </c>
      <c r="G251">
        <f>INDEX('ECOMMERS SALES'!$A:$J,MATCH('index match'!$A251,'ECOMMERS SALES'!$C:$C,0),MATCH('index match'!G$1,ECOMMERS_SALES[#Headers],0))</f>
        <v>268</v>
      </c>
      <c r="H251" t="str">
        <f>INDEX('ECOMMERS SALES'!$A:$J,MATCH('index match'!$A251,'ECOMMERS SALES'!$C:$C,0),MATCH('index match'!H$1,ECOMMERS_SALES[#Headers],0))</f>
        <v>Chennai</v>
      </c>
      <c r="I251" t="str">
        <f>INDEX('ECOMMERS SALES'!$A:$J,MATCH('index match'!$A251,'ECOMMERS SALES'!$C:$C,0),MATCH('index match'!I$1,ECOMMERS_SALES[#Headers],0))</f>
        <v>New</v>
      </c>
      <c r="J251" t="str">
        <f>INDEX('ECOMMERS SALES'!$A:$J,MATCH('index match'!$A251,'ECOMMERS SALES'!$C:$C,0),MATCH('index match'!J$1,ECOMMERS_SALES[#Headers],0))</f>
        <v>UPI</v>
      </c>
    </row>
    <row r="252" spans="1:10" x14ac:dyDescent="0.35">
      <c r="A252" t="s">
        <v>11</v>
      </c>
      <c r="B252">
        <f>INDEX('ECOMMERS SALES'!$A:$J,MATCH('index match'!$A252,'ECOMMERS SALES'!$C:$C,0),MATCH('index match'!B$1,ECOMMERS_SALES[#Headers],0))</f>
        <v>1001</v>
      </c>
      <c r="C252" t="str">
        <f>INDEX('ECOMMERS SALES'!$A:$J,MATCH('index match'!$A252,'ECOMMERS SALES'!$C:$C,0),MATCH('index match'!C$1,ECOMMERS_SALES[#Headers],0))</f>
        <v>02-01-2025</v>
      </c>
      <c r="D252" t="str">
        <f>INDEX('ECOMMERS SALES'!$A:$J,MATCH('index match'!$A252,'ECOMMERS SALES'!$C:$C,0),MATCH('index match'!D$1,ECOMMERS_SALES[#Headers],0))</f>
        <v>Electronics</v>
      </c>
      <c r="E252">
        <f>INDEX('ECOMMERS SALES'!$A:$J,MATCH('index match'!$A252,'ECOMMERS SALES'!$C:$C,0),MATCH('index match'!E$1,ECOMMERS_SALES[#Headers],0))</f>
        <v>2</v>
      </c>
      <c r="F252">
        <f>INDEX('ECOMMERS SALES'!$A:$J,MATCH('index match'!$A252,'ECOMMERS SALES'!$C:$C,0),MATCH('index match'!F$1,ECOMMERS_SALES[#Headers],0))</f>
        <v>50353</v>
      </c>
      <c r="G252">
        <f>INDEX('ECOMMERS SALES'!$A:$J,MATCH('index match'!$A252,'ECOMMERS SALES'!$C:$C,0),MATCH('index match'!G$1,ECOMMERS_SALES[#Headers],0))</f>
        <v>100706</v>
      </c>
      <c r="H252" t="str">
        <f>INDEX('ECOMMERS SALES'!$A:$J,MATCH('index match'!$A252,'ECOMMERS SALES'!$C:$C,0),MATCH('index match'!H$1,ECOMMERS_SALES[#Headers],0))</f>
        <v>Chennai</v>
      </c>
      <c r="I252" t="str">
        <f>INDEX('ECOMMERS SALES'!$A:$J,MATCH('index match'!$A252,'ECOMMERS SALES'!$C:$C,0),MATCH('index match'!I$1,ECOMMERS_SALES[#Headers],0))</f>
        <v>Premimum</v>
      </c>
      <c r="J252" t="str">
        <f>INDEX('ECOMMERS SALES'!$A:$J,MATCH('index match'!$A252,'ECOMMERS SALES'!$C:$C,0),MATCH('index match'!J$1,ECOMMERS_SALES[#Headers],0))</f>
        <v>Card</v>
      </c>
    </row>
    <row r="253" spans="1:10" x14ac:dyDescent="0.35">
      <c r="A253" t="s">
        <v>17</v>
      </c>
      <c r="B253">
        <f>INDEX('ECOMMERS SALES'!$A:$J,MATCH('index match'!$A253,'ECOMMERS SALES'!$C:$C,0),MATCH('index match'!B$1,ECOMMERS_SALES[#Headers],0))</f>
        <v>1002</v>
      </c>
      <c r="C253" t="str">
        <f>INDEX('ECOMMERS SALES'!$A:$J,MATCH('index match'!$A253,'ECOMMERS SALES'!$C:$C,0),MATCH('index match'!C$1,ECOMMERS_SALES[#Headers],0))</f>
        <v>03-01-2025</v>
      </c>
      <c r="D253" t="str">
        <f>INDEX('ECOMMERS SALES'!$A:$J,MATCH('index match'!$A253,'ECOMMERS SALES'!$C:$C,0),MATCH('index match'!D$1,ECOMMERS_SALES[#Headers],0))</f>
        <v>Electronics</v>
      </c>
      <c r="E253">
        <f>INDEX('ECOMMERS SALES'!$A:$J,MATCH('index match'!$A253,'ECOMMERS SALES'!$C:$C,0),MATCH('index match'!E$1,ECOMMERS_SALES[#Headers],0))</f>
        <v>2</v>
      </c>
      <c r="F253">
        <f>INDEX('ECOMMERS SALES'!$A:$J,MATCH('index match'!$A253,'ECOMMERS SALES'!$C:$C,0),MATCH('index match'!F$1,ECOMMERS_SALES[#Headers],0))</f>
        <v>2008</v>
      </c>
      <c r="G253">
        <f>INDEX('ECOMMERS SALES'!$A:$J,MATCH('index match'!$A253,'ECOMMERS SALES'!$C:$C,0),MATCH('index match'!G$1,ECOMMERS_SALES[#Headers],0))</f>
        <v>4016</v>
      </c>
      <c r="H253" t="str">
        <f>INDEX('ECOMMERS SALES'!$A:$J,MATCH('index match'!$A253,'ECOMMERS SALES'!$C:$C,0),MATCH('index match'!H$1,ECOMMERS_SALES[#Headers],0))</f>
        <v>Delhi</v>
      </c>
      <c r="I253" t="str">
        <f>INDEX('ECOMMERS SALES'!$A:$J,MATCH('index match'!$A253,'ECOMMERS SALES'!$C:$C,0),MATCH('index match'!I$1,ECOMMERS_SALES[#Headers],0))</f>
        <v>New</v>
      </c>
      <c r="J253" t="str">
        <f>INDEX('ECOMMERS SALES'!$A:$J,MATCH('index match'!$A253,'ECOMMERS SALES'!$C:$C,0),MATCH('index match'!J$1,ECOMMERS_SALES[#Headers],0))</f>
        <v>UPI</v>
      </c>
    </row>
    <row r="254" spans="1:10" x14ac:dyDescent="0.35">
      <c r="A254" t="s">
        <v>22</v>
      </c>
      <c r="B254">
        <f>INDEX('ECOMMERS SALES'!$A:$J,MATCH('index match'!$A254,'ECOMMERS SALES'!$C:$C,0),MATCH('index match'!B$1,ECOMMERS_SALES[#Headers],0))</f>
        <v>1003</v>
      </c>
      <c r="C254" t="str">
        <f>INDEX('ECOMMERS SALES'!$A:$J,MATCH('index match'!$A254,'ECOMMERS SALES'!$C:$C,0),MATCH('index match'!C$1,ECOMMERS_SALES[#Headers],0))</f>
        <v>04-01-2025</v>
      </c>
      <c r="D254" t="str">
        <f>INDEX('ECOMMERS SALES'!$A:$J,MATCH('index match'!$A254,'ECOMMERS SALES'!$C:$C,0),MATCH('index match'!D$1,ECOMMERS_SALES[#Headers],0))</f>
        <v>Fashion</v>
      </c>
      <c r="E254">
        <f>INDEX('ECOMMERS SALES'!$A:$J,MATCH('index match'!$A254,'ECOMMERS SALES'!$C:$C,0),MATCH('index match'!E$1,ECOMMERS_SALES[#Headers],0))</f>
        <v>1</v>
      </c>
      <c r="F254">
        <f>INDEX('ECOMMERS SALES'!$A:$J,MATCH('index match'!$A254,'ECOMMERS SALES'!$C:$C,0),MATCH('index match'!F$1,ECOMMERS_SALES[#Headers],0))</f>
        <v>4736</v>
      </c>
      <c r="G254">
        <f>INDEX('ECOMMERS SALES'!$A:$J,MATCH('index match'!$A254,'ECOMMERS SALES'!$C:$C,0),MATCH('index match'!G$1,ECOMMERS_SALES[#Headers],0))</f>
        <v>4736</v>
      </c>
      <c r="H254" t="str">
        <f>INDEX('ECOMMERS SALES'!$A:$J,MATCH('index match'!$A254,'ECOMMERS SALES'!$C:$C,0),MATCH('index match'!H$1,ECOMMERS_SALES[#Headers],0))</f>
        <v>Chennai</v>
      </c>
      <c r="I254" t="str">
        <f>INDEX('ECOMMERS SALES'!$A:$J,MATCH('index match'!$A254,'ECOMMERS SALES'!$C:$C,0),MATCH('index match'!I$1,ECOMMERS_SALES[#Headers],0))</f>
        <v>New</v>
      </c>
      <c r="J254" t="str">
        <f>INDEX('ECOMMERS SALES'!$A:$J,MATCH('index match'!$A254,'ECOMMERS SALES'!$C:$C,0),MATCH('index match'!J$1,ECOMMERS_SALES[#Headers],0))</f>
        <v>UPI</v>
      </c>
    </row>
    <row r="255" spans="1:10" x14ac:dyDescent="0.35">
      <c r="A255" t="s">
        <v>25</v>
      </c>
      <c r="B255">
        <f>INDEX('ECOMMERS SALES'!$A:$J,MATCH('index match'!$A255,'ECOMMERS SALES'!$C:$C,0),MATCH('index match'!B$1,ECOMMERS_SALES[#Headers],0))</f>
        <v>1004</v>
      </c>
      <c r="C255" t="str">
        <f>INDEX('ECOMMERS SALES'!$A:$J,MATCH('index match'!$A255,'ECOMMERS SALES'!$C:$C,0),MATCH('index match'!C$1,ECOMMERS_SALES[#Headers],0))</f>
        <v>05-01-2025</v>
      </c>
      <c r="D255" t="str">
        <f>INDEX('ECOMMERS SALES'!$A:$J,MATCH('index match'!$A255,'ECOMMERS SALES'!$C:$C,0),MATCH('index match'!D$1,ECOMMERS_SALES[#Headers],0))</f>
        <v>Other</v>
      </c>
      <c r="E255">
        <f>INDEX('ECOMMERS SALES'!$A:$J,MATCH('index match'!$A255,'ECOMMERS SALES'!$C:$C,0),MATCH('index match'!E$1,ECOMMERS_SALES[#Headers],0))</f>
        <v>2</v>
      </c>
      <c r="F255">
        <f>INDEX('ECOMMERS SALES'!$A:$J,MATCH('index match'!$A255,'ECOMMERS SALES'!$C:$C,0),MATCH('index match'!F$1,ECOMMERS_SALES[#Headers],0))</f>
        <v>10072</v>
      </c>
      <c r="G255">
        <f>INDEX('ECOMMERS SALES'!$A:$J,MATCH('index match'!$A255,'ECOMMERS SALES'!$C:$C,0),MATCH('index match'!G$1,ECOMMERS_SALES[#Headers],0))</f>
        <v>20144</v>
      </c>
      <c r="H255" t="str">
        <f>INDEX('ECOMMERS SALES'!$A:$J,MATCH('index match'!$A255,'ECOMMERS SALES'!$C:$C,0),MATCH('index match'!H$1,ECOMMERS_SALES[#Headers],0))</f>
        <v>Pune</v>
      </c>
      <c r="I255" t="str">
        <f>INDEX('ECOMMERS SALES'!$A:$J,MATCH('index match'!$A255,'ECOMMERS SALES'!$C:$C,0),MATCH('index match'!I$1,ECOMMERS_SALES[#Headers],0))</f>
        <v>Premimum</v>
      </c>
      <c r="J255" t="str">
        <f>INDEX('ECOMMERS SALES'!$A:$J,MATCH('index match'!$A255,'ECOMMERS SALES'!$C:$C,0),MATCH('index match'!J$1,ECOMMERS_SALES[#Headers],0))</f>
        <v>Card</v>
      </c>
    </row>
    <row r="256" spans="1:10" x14ac:dyDescent="0.35">
      <c r="A256" t="s">
        <v>29</v>
      </c>
      <c r="B256">
        <f>INDEX('ECOMMERS SALES'!$A:$J,MATCH('index match'!$A256,'ECOMMERS SALES'!$C:$C,0),MATCH('index match'!B$1,ECOMMERS_SALES[#Headers],0))</f>
        <v>1005</v>
      </c>
      <c r="C256" t="str">
        <f>INDEX('ECOMMERS SALES'!$A:$J,MATCH('index match'!$A256,'ECOMMERS SALES'!$C:$C,0),MATCH('index match'!C$1,ECOMMERS_SALES[#Headers],0))</f>
        <v>06-01-2025</v>
      </c>
      <c r="D256" t="str">
        <f>INDEX('ECOMMERS SALES'!$A:$J,MATCH('index match'!$A256,'ECOMMERS SALES'!$C:$C,0),MATCH('index match'!D$1,ECOMMERS_SALES[#Headers],0))</f>
        <v>Other</v>
      </c>
      <c r="E256">
        <f>INDEX('ECOMMERS SALES'!$A:$J,MATCH('index match'!$A256,'ECOMMERS SALES'!$C:$C,0),MATCH('index match'!E$1,ECOMMERS_SALES[#Headers],0))</f>
        <v>2</v>
      </c>
      <c r="F256">
        <f>INDEX('ECOMMERS SALES'!$A:$J,MATCH('index match'!$A256,'ECOMMERS SALES'!$C:$C,0),MATCH('index match'!F$1,ECOMMERS_SALES[#Headers],0))</f>
        <v>920</v>
      </c>
      <c r="G256">
        <f>INDEX('ECOMMERS SALES'!$A:$J,MATCH('index match'!$A256,'ECOMMERS SALES'!$C:$C,0),MATCH('index match'!G$1,ECOMMERS_SALES[#Headers],0))</f>
        <v>1840</v>
      </c>
      <c r="H256" t="str">
        <f>INDEX('ECOMMERS SALES'!$A:$J,MATCH('index match'!$A256,'ECOMMERS SALES'!$C:$C,0),MATCH('index match'!H$1,ECOMMERS_SALES[#Headers],0))</f>
        <v>Pune</v>
      </c>
      <c r="I256" t="str">
        <f>INDEX('ECOMMERS SALES'!$A:$J,MATCH('index match'!$A256,'ECOMMERS SALES'!$C:$C,0),MATCH('index match'!I$1,ECOMMERS_SALES[#Headers],0))</f>
        <v>New</v>
      </c>
      <c r="J256" t="str">
        <f>INDEX('ECOMMERS SALES'!$A:$J,MATCH('index match'!$A256,'ECOMMERS SALES'!$C:$C,0),MATCH('index match'!J$1,ECOMMERS_SALES[#Headers],0))</f>
        <v>UPI</v>
      </c>
    </row>
    <row r="257" spans="1:10" x14ac:dyDescent="0.35">
      <c r="A257" t="s">
        <v>31</v>
      </c>
      <c r="B257">
        <f>INDEX('ECOMMERS SALES'!$A:$J,MATCH('index match'!$A257,'ECOMMERS SALES'!$C:$C,0),MATCH('index match'!B$1,ECOMMERS_SALES[#Headers],0))</f>
        <v>1006</v>
      </c>
      <c r="C257" t="str">
        <f>INDEX('ECOMMERS SALES'!$A:$J,MATCH('index match'!$A257,'ECOMMERS SALES'!$C:$C,0),MATCH('index match'!C$1,ECOMMERS_SALES[#Headers],0))</f>
        <v>07-01-2025</v>
      </c>
      <c r="D257" t="str">
        <f>INDEX('ECOMMERS SALES'!$A:$J,MATCH('index match'!$A257,'ECOMMERS SALES'!$C:$C,0),MATCH('index match'!D$1,ECOMMERS_SALES[#Headers],0))</f>
        <v>Electronics</v>
      </c>
      <c r="E257">
        <f>INDEX('ECOMMERS SALES'!$A:$J,MATCH('index match'!$A257,'ECOMMERS SALES'!$C:$C,0),MATCH('index match'!E$1,ECOMMERS_SALES[#Headers],0))</f>
        <v>1</v>
      </c>
      <c r="F257">
        <f>INDEX('ECOMMERS SALES'!$A:$J,MATCH('index match'!$A257,'ECOMMERS SALES'!$C:$C,0),MATCH('index match'!F$1,ECOMMERS_SALES[#Headers],0))</f>
        <v>13225</v>
      </c>
      <c r="G257">
        <f>INDEX('ECOMMERS SALES'!$A:$J,MATCH('index match'!$A257,'ECOMMERS SALES'!$C:$C,0),MATCH('index match'!G$1,ECOMMERS_SALES[#Headers],0))</f>
        <v>13225</v>
      </c>
      <c r="H257" t="str">
        <f>INDEX('ECOMMERS SALES'!$A:$J,MATCH('index match'!$A257,'ECOMMERS SALES'!$C:$C,0),MATCH('index match'!H$1,ECOMMERS_SALES[#Headers],0))</f>
        <v>Delhi</v>
      </c>
      <c r="I257" t="str">
        <f>INDEX('ECOMMERS SALES'!$A:$J,MATCH('index match'!$A257,'ECOMMERS SALES'!$C:$C,0),MATCH('index match'!I$1,ECOMMERS_SALES[#Headers],0))</f>
        <v>Returning</v>
      </c>
      <c r="J257" t="str">
        <f>INDEX('ECOMMERS SALES'!$A:$J,MATCH('index match'!$A257,'ECOMMERS SALES'!$C:$C,0),MATCH('index match'!J$1,ECOMMERS_SALES[#Headers],0))</f>
        <v>COD</v>
      </c>
    </row>
    <row r="258" spans="1:10" x14ac:dyDescent="0.35">
      <c r="A258" t="s">
        <v>35</v>
      </c>
      <c r="B258">
        <f>INDEX('ECOMMERS SALES'!$A:$J,MATCH('index match'!$A258,'ECOMMERS SALES'!$C:$C,0),MATCH('index match'!B$1,ECOMMERS_SALES[#Headers],0))</f>
        <v>1007</v>
      </c>
      <c r="C258" t="str">
        <f>INDEX('ECOMMERS SALES'!$A:$J,MATCH('index match'!$A258,'ECOMMERS SALES'!$C:$C,0),MATCH('index match'!C$1,ECOMMERS_SALES[#Headers],0))</f>
        <v>08-01-2025</v>
      </c>
      <c r="D258" t="str">
        <f>INDEX('ECOMMERS SALES'!$A:$J,MATCH('index match'!$A258,'ECOMMERS SALES'!$C:$C,0),MATCH('index match'!D$1,ECOMMERS_SALES[#Headers],0))</f>
        <v>Books</v>
      </c>
      <c r="E258">
        <f>INDEX('ECOMMERS SALES'!$A:$J,MATCH('index match'!$A258,'ECOMMERS SALES'!$C:$C,0),MATCH('index match'!E$1,ECOMMERS_SALES[#Headers],0))</f>
        <v>3</v>
      </c>
      <c r="F258">
        <f>INDEX('ECOMMERS SALES'!$A:$J,MATCH('index match'!$A258,'ECOMMERS SALES'!$C:$C,0),MATCH('index match'!F$1,ECOMMERS_SALES[#Headers],0))</f>
        <v>621</v>
      </c>
      <c r="G258">
        <f>INDEX('ECOMMERS SALES'!$A:$J,MATCH('index match'!$A258,'ECOMMERS SALES'!$C:$C,0),MATCH('index match'!G$1,ECOMMERS_SALES[#Headers],0))</f>
        <v>1863</v>
      </c>
      <c r="H258" t="str">
        <f>INDEX('ECOMMERS SALES'!$A:$J,MATCH('index match'!$A258,'ECOMMERS SALES'!$C:$C,0),MATCH('index match'!H$1,ECOMMERS_SALES[#Headers],0))</f>
        <v>Hyderabad</v>
      </c>
      <c r="I258" t="str">
        <f>INDEX('ECOMMERS SALES'!$A:$J,MATCH('index match'!$A258,'ECOMMERS SALES'!$C:$C,0),MATCH('index match'!I$1,ECOMMERS_SALES[#Headers],0))</f>
        <v>Premimum</v>
      </c>
      <c r="J258" t="str">
        <f>INDEX('ECOMMERS SALES'!$A:$J,MATCH('index match'!$A258,'ECOMMERS SALES'!$C:$C,0),MATCH('index match'!J$1,ECOMMERS_SALES[#Headers],0))</f>
        <v>UPI</v>
      </c>
    </row>
    <row r="259" spans="1:10" x14ac:dyDescent="0.35">
      <c r="A259" t="s">
        <v>39</v>
      </c>
      <c r="B259">
        <f>INDEX('ECOMMERS SALES'!$A:$J,MATCH('index match'!$A259,'ECOMMERS SALES'!$C:$C,0),MATCH('index match'!B$1,ECOMMERS_SALES[#Headers],0))</f>
        <v>1008</v>
      </c>
      <c r="C259" t="str">
        <f>INDEX('ECOMMERS SALES'!$A:$J,MATCH('index match'!$A259,'ECOMMERS SALES'!$C:$C,0),MATCH('index match'!C$1,ECOMMERS_SALES[#Headers],0))</f>
        <v>09-01-2025</v>
      </c>
      <c r="D259" t="str">
        <f>INDEX('ECOMMERS SALES'!$A:$J,MATCH('index match'!$A259,'ECOMMERS SALES'!$C:$C,0),MATCH('index match'!D$1,ECOMMERS_SALES[#Headers],0))</f>
        <v>Fashion</v>
      </c>
      <c r="E259">
        <f>INDEX('ECOMMERS SALES'!$A:$J,MATCH('index match'!$A259,'ECOMMERS SALES'!$C:$C,0),MATCH('index match'!E$1,ECOMMERS_SALES[#Headers],0))</f>
        <v>2</v>
      </c>
      <c r="F259">
        <f>INDEX('ECOMMERS SALES'!$A:$J,MATCH('index match'!$A259,'ECOMMERS SALES'!$C:$C,0),MATCH('index match'!F$1,ECOMMERS_SALES[#Headers],0))</f>
        <v>905</v>
      </c>
      <c r="G259">
        <f>INDEX('ECOMMERS SALES'!$A:$J,MATCH('index match'!$A259,'ECOMMERS SALES'!$C:$C,0),MATCH('index match'!G$1,ECOMMERS_SALES[#Headers],0))</f>
        <v>1810</v>
      </c>
      <c r="H259" t="str">
        <f>INDEX('ECOMMERS SALES'!$A:$J,MATCH('index match'!$A259,'ECOMMERS SALES'!$C:$C,0),MATCH('index match'!H$1,ECOMMERS_SALES[#Headers],0))</f>
        <v>Bangalore</v>
      </c>
      <c r="I259" t="str">
        <f>INDEX('ECOMMERS SALES'!$A:$J,MATCH('index match'!$A259,'ECOMMERS SALES'!$C:$C,0),MATCH('index match'!I$1,ECOMMERS_SALES[#Headers],0))</f>
        <v>New</v>
      </c>
      <c r="J259" t="str">
        <f>INDEX('ECOMMERS SALES'!$A:$J,MATCH('index match'!$A259,'ECOMMERS SALES'!$C:$C,0),MATCH('index match'!J$1,ECOMMERS_SALES[#Headers],0))</f>
        <v>COD</v>
      </c>
    </row>
    <row r="260" spans="1:10" x14ac:dyDescent="0.35">
      <c r="A260" t="s">
        <v>42</v>
      </c>
      <c r="B260">
        <f>INDEX('ECOMMERS SALES'!$A:$J,MATCH('index match'!$A260,'ECOMMERS SALES'!$C:$C,0),MATCH('index match'!B$1,ECOMMERS_SALES[#Headers],0))</f>
        <v>1009</v>
      </c>
      <c r="C260" t="str">
        <f>INDEX('ECOMMERS SALES'!$A:$J,MATCH('index match'!$A260,'ECOMMERS SALES'!$C:$C,0),MATCH('index match'!C$1,ECOMMERS_SALES[#Headers],0))</f>
        <v>10-01-2025</v>
      </c>
      <c r="D260" t="str">
        <f>INDEX('ECOMMERS SALES'!$A:$J,MATCH('index match'!$A260,'ECOMMERS SALES'!$C:$C,0),MATCH('index match'!D$1,ECOMMERS_SALES[#Headers],0))</f>
        <v>Electronics</v>
      </c>
      <c r="E260">
        <f>INDEX('ECOMMERS SALES'!$A:$J,MATCH('index match'!$A260,'ECOMMERS SALES'!$C:$C,0),MATCH('index match'!E$1,ECOMMERS_SALES[#Headers],0))</f>
        <v>1</v>
      </c>
      <c r="F260">
        <f>INDEX('ECOMMERS SALES'!$A:$J,MATCH('index match'!$A260,'ECOMMERS SALES'!$C:$C,0),MATCH('index match'!F$1,ECOMMERS_SALES[#Headers],0))</f>
        <v>8563</v>
      </c>
      <c r="G260">
        <f>INDEX('ECOMMERS SALES'!$A:$J,MATCH('index match'!$A260,'ECOMMERS SALES'!$C:$C,0),MATCH('index match'!G$1,ECOMMERS_SALES[#Headers],0))</f>
        <v>8563</v>
      </c>
      <c r="H260" t="str">
        <f>INDEX('ECOMMERS SALES'!$A:$J,MATCH('index match'!$A260,'ECOMMERS SALES'!$C:$C,0),MATCH('index match'!H$1,ECOMMERS_SALES[#Headers],0))</f>
        <v>Hyderabad</v>
      </c>
      <c r="I260" t="str">
        <f>INDEX('ECOMMERS SALES'!$A:$J,MATCH('index match'!$A260,'ECOMMERS SALES'!$C:$C,0),MATCH('index match'!I$1,ECOMMERS_SALES[#Headers],0))</f>
        <v>Returning</v>
      </c>
      <c r="J260" t="str">
        <f>INDEX('ECOMMERS SALES'!$A:$J,MATCH('index match'!$A260,'ECOMMERS SALES'!$C:$C,0),MATCH('index match'!J$1,ECOMMERS_SALES[#Headers],0))</f>
        <v>Card</v>
      </c>
    </row>
    <row r="261" spans="1:10" x14ac:dyDescent="0.35">
      <c r="A261" t="s">
        <v>44</v>
      </c>
      <c r="B261">
        <f>INDEX('ECOMMERS SALES'!$A:$J,MATCH('index match'!$A261,'ECOMMERS SALES'!$C:$C,0),MATCH('index match'!B$1,ECOMMERS_SALES[#Headers],0))</f>
        <v>1010</v>
      </c>
      <c r="C261" t="str">
        <f>INDEX('ECOMMERS SALES'!$A:$J,MATCH('index match'!$A261,'ECOMMERS SALES'!$C:$C,0),MATCH('index match'!C$1,ECOMMERS_SALES[#Headers],0))</f>
        <v>11-01-2025</v>
      </c>
      <c r="D261" t="str">
        <f>INDEX('ECOMMERS SALES'!$A:$J,MATCH('index match'!$A261,'ECOMMERS SALES'!$C:$C,0),MATCH('index match'!D$1,ECOMMERS_SALES[#Headers],0))</f>
        <v>Other</v>
      </c>
      <c r="E261">
        <f>INDEX('ECOMMERS SALES'!$A:$J,MATCH('index match'!$A261,'ECOMMERS SALES'!$C:$C,0),MATCH('index match'!E$1,ECOMMERS_SALES[#Headers],0))</f>
        <v>1</v>
      </c>
      <c r="F261">
        <f>INDEX('ECOMMERS SALES'!$A:$J,MATCH('index match'!$A261,'ECOMMERS SALES'!$C:$C,0),MATCH('index match'!F$1,ECOMMERS_SALES[#Headers],0))</f>
        <v>268</v>
      </c>
      <c r="G261">
        <f>INDEX('ECOMMERS SALES'!$A:$J,MATCH('index match'!$A261,'ECOMMERS SALES'!$C:$C,0),MATCH('index match'!G$1,ECOMMERS_SALES[#Headers],0))</f>
        <v>268</v>
      </c>
      <c r="H261" t="str">
        <f>INDEX('ECOMMERS SALES'!$A:$J,MATCH('index match'!$A261,'ECOMMERS SALES'!$C:$C,0),MATCH('index match'!H$1,ECOMMERS_SALES[#Headers],0))</f>
        <v>Chennai</v>
      </c>
      <c r="I261" t="str">
        <f>INDEX('ECOMMERS SALES'!$A:$J,MATCH('index match'!$A261,'ECOMMERS SALES'!$C:$C,0),MATCH('index match'!I$1,ECOMMERS_SALES[#Headers],0))</f>
        <v>New</v>
      </c>
      <c r="J261" t="str">
        <f>INDEX('ECOMMERS SALES'!$A:$J,MATCH('index match'!$A261,'ECOMMERS SALES'!$C:$C,0),MATCH('index match'!J$1,ECOMMERS_SALES[#Headers],0))</f>
        <v>UPI</v>
      </c>
    </row>
    <row r="262" spans="1:10" x14ac:dyDescent="0.35">
      <c r="A262" t="s">
        <v>11</v>
      </c>
      <c r="B262">
        <f>INDEX('ECOMMERS SALES'!$A:$J,MATCH('index match'!$A262,'ECOMMERS SALES'!$C:$C,0),MATCH('index match'!B$1,ECOMMERS_SALES[#Headers],0))</f>
        <v>1001</v>
      </c>
      <c r="C262" t="str">
        <f>INDEX('ECOMMERS SALES'!$A:$J,MATCH('index match'!$A262,'ECOMMERS SALES'!$C:$C,0),MATCH('index match'!C$1,ECOMMERS_SALES[#Headers],0))</f>
        <v>02-01-2025</v>
      </c>
      <c r="D262" t="str">
        <f>INDEX('ECOMMERS SALES'!$A:$J,MATCH('index match'!$A262,'ECOMMERS SALES'!$C:$C,0),MATCH('index match'!D$1,ECOMMERS_SALES[#Headers],0))</f>
        <v>Electronics</v>
      </c>
      <c r="E262">
        <f>INDEX('ECOMMERS SALES'!$A:$J,MATCH('index match'!$A262,'ECOMMERS SALES'!$C:$C,0),MATCH('index match'!E$1,ECOMMERS_SALES[#Headers],0))</f>
        <v>2</v>
      </c>
      <c r="F262">
        <f>INDEX('ECOMMERS SALES'!$A:$J,MATCH('index match'!$A262,'ECOMMERS SALES'!$C:$C,0),MATCH('index match'!F$1,ECOMMERS_SALES[#Headers],0))</f>
        <v>50353</v>
      </c>
      <c r="G262">
        <f>INDEX('ECOMMERS SALES'!$A:$J,MATCH('index match'!$A262,'ECOMMERS SALES'!$C:$C,0),MATCH('index match'!G$1,ECOMMERS_SALES[#Headers],0))</f>
        <v>100706</v>
      </c>
      <c r="H262" t="str">
        <f>INDEX('ECOMMERS SALES'!$A:$J,MATCH('index match'!$A262,'ECOMMERS SALES'!$C:$C,0),MATCH('index match'!H$1,ECOMMERS_SALES[#Headers],0))</f>
        <v>Chennai</v>
      </c>
      <c r="I262" t="str">
        <f>INDEX('ECOMMERS SALES'!$A:$J,MATCH('index match'!$A262,'ECOMMERS SALES'!$C:$C,0),MATCH('index match'!I$1,ECOMMERS_SALES[#Headers],0))</f>
        <v>Premimum</v>
      </c>
      <c r="J262" t="str">
        <f>INDEX('ECOMMERS SALES'!$A:$J,MATCH('index match'!$A262,'ECOMMERS SALES'!$C:$C,0),MATCH('index match'!J$1,ECOMMERS_SALES[#Headers],0))</f>
        <v>Card</v>
      </c>
    </row>
    <row r="263" spans="1:10" x14ac:dyDescent="0.35">
      <c r="A263" t="s">
        <v>17</v>
      </c>
      <c r="B263">
        <f>INDEX('ECOMMERS SALES'!$A:$J,MATCH('index match'!$A263,'ECOMMERS SALES'!$C:$C,0),MATCH('index match'!B$1,ECOMMERS_SALES[#Headers],0))</f>
        <v>1002</v>
      </c>
      <c r="C263" t="str">
        <f>INDEX('ECOMMERS SALES'!$A:$J,MATCH('index match'!$A263,'ECOMMERS SALES'!$C:$C,0),MATCH('index match'!C$1,ECOMMERS_SALES[#Headers],0))</f>
        <v>03-01-2025</v>
      </c>
      <c r="D263" t="str">
        <f>INDEX('ECOMMERS SALES'!$A:$J,MATCH('index match'!$A263,'ECOMMERS SALES'!$C:$C,0),MATCH('index match'!D$1,ECOMMERS_SALES[#Headers],0))</f>
        <v>Electronics</v>
      </c>
      <c r="E263">
        <f>INDEX('ECOMMERS SALES'!$A:$J,MATCH('index match'!$A263,'ECOMMERS SALES'!$C:$C,0),MATCH('index match'!E$1,ECOMMERS_SALES[#Headers],0))</f>
        <v>2</v>
      </c>
      <c r="F263">
        <f>INDEX('ECOMMERS SALES'!$A:$J,MATCH('index match'!$A263,'ECOMMERS SALES'!$C:$C,0),MATCH('index match'!F$1,ECOMMERS_SALES[#Headers],0))</f>
        <v>2008</v>
      </c>
      <c r="G263">
        <f>INDEX('ECOMMERS SALES'!$A:$J,MATCH('index match'!$A263,'ECOMMERS SALES'!$C:$C,0),MATCH('index match'!G$1,ECOMMERS_SALES[#Headers],0))</f>
        <v>4016</v>
      </c>
      <c r="H263" t="str">
        <f>INDEX('ECOMMERS SALES'!$A:$J,MATCH('index match'!$A263,'ECOMMERS SALES'!$C:$C,0),MATCH('index match'!H$1,ECOMMERS_SALES[#Headers],0))</f>
        <v>Delhi</v>
      </c>
      <c r="I263" t="str">
        <f>INDEX('ECOMMERS SALES'!$A:$J,MATCH('index match'!$A263,'ECOMMERS SALES'!$C:$C,0),MATCH('index match'!I$1,ECOMMERS_SALES[#Headers],0))</f>
        <v>New</v>
      </c>
      <c r="J263" t="str">
        <f>INDEX('ECOMMERS SALES'!$A:$J,MATCH('index match'!$A263,'ECOMMERS SALES'!$C:$C,0),MATCH('index match'!J$1,ECOMMERS_SALES[#Headers],0))</f>
        <v>UPI</v>
      </c>
    </row>
    <row r="264" spans="1:10" x14ac:dyDescent="0.35">
      <c r="A264" t="s">
        <v>22</v>
      </c>
      <c r="B264">
        <f>INDEX('ECOMMERS SALES'!$A:$J,MATCH('index match'!$A264,'ECOMMERS SALES'!$C:$C,0),MATCH('index match'!B$1,ECOMMERS_SALES[#Headers],0))</f>
        <v>1003</v>
      </c>
      <c r="C264" t="str">
        <f>INDEX('ECOMMERS SALES'!$A:$J,MATCH('index match'!$A264,'ECOMMERS SALES'!$C:$C,0),MATCH('index match'!C$1,ECOMMERS_SALES[#Headers],0))</f>
        <v>04-01-2025</v>
      </c>
      <c r="D264" t="str">
        <f>INDEX('ECOMMERS SALES'!$A:$J,MATCH('index match'!$A264,'ECOMMERS SALES'!$C:$C,0),MATCH('index match'!D$1,ECOMMERS_SALES[#Headers],0))</f>
        <v>Fashion</v>
      </c>
      <c r="E264">
        <f>INDEX('ECOMMERS SALES'!$A:$J,MATCH('index match'!$A264,'ECOMMERS SALES'!$C:$C,0),MATCH('index match'!E$1,ECOMMERS_SALES[#Headers],0))</f>
        <v>1</v>
      </c>
      <c r="F264">
        <f>INDEX('ECOMMERS SALES'!$A:$J,MATCH('index match'!$A264,'ECOMMERS SALES'!$C:$C,0),MATCH('index match'!F$1,ECOMMERS_SALES[#Headers],0))</f>
        <v>4736</v>
      </c>
      <c r="G264">
        <f>INDEX('ECOMMERS SALES'!$A:$J,MATCH('index match'!$A264,'ECOMMERS SALES'!$C:$C,0),MATCH('index match'!G$1,ECOMMERS_SALES[#Headers],0))</f>
        <v>4736</v>
      </c>
      <c r="H264" t="str">
        <f>INDEX('ECOMMERS SALES'!$A:$J,MATCH('index match'!$A264,'ECOMMERS SALES'!$C:$C,0),MATCH('index match'!H$1,ECOMMERS_SALES[#Headers],0))</f>
        <v>Chennai</v>
      </c>
      <c r="I264" t="str">
        <f>INDEX('ECOMMERS SALES'!$A:$J,MATCH('index match'!$A264,'ECOMMERS SALES'!$C:$C,0),MATCH('index match'!I$1,ECOMMERS_SALES[#Headers],0))</f>
        <v>New</v>
      </c>
      <c r="J264" t="str">
        <f>INDEX('ECOMMERS SALES'!$A:$J,MATCH('index match'!$A264,'ECOMMERS SALES'!$C:$C,0),MATCH('index match'!J$1,ECOMMERS_SALES[#Headers],0))</f>
        <v>UPI</v>
      </c>
    </row>
    <row r="265" spans="1:10" x14ac:dyDescent="0.35">
      <c r="A265" t="s">
        <v>25</v>
      </c>
      <c r="B265">
        <f>INDEX('ECOMMERS SALES'!$A:$J,MATCH('index match'!$A265,'ECOMMERS SALES'!$C:$C,0),MATCH('index match'!B$1,ECOMMERS_SALES[#Headers],0))</f>
        <v>1004</v>
      </c>
      <c r="C265" t="str">
        <f>INDEX('ECOMMERS SALES'!$A:$J,MATCH('index match'!$A265,'ECOMMERS SALES'!$C:$C,0),MATCH('index match'!C$1,ECOMMERS_SALES[#Headers],0))</f>
        <v>05-01-2025</v>
      </c>
      <c r="D265" t="str">
        <f>INDEX('ECOMMERS SALES'!$A:$J,MATCH('index match'!$A265,'ECOMMERS SALES'!$C:$C,0),MATCH('index match'!D$1,ECOMMERS_SALES[#Headers],0))</f>
        <v>Other</v>
      </c>
      <c r="E265">
        <f>INDEX('ECOMMERS SALES'!$A:$J,MATCH('index match'!$A265,'ECOMMERS SALES'!$C:$C,0),MATCH('index match'!E$1,ECOMMERS_SALES[#Headers],0))</f>
        <v>2</v>
      </c>
      <c r="F265">
        <f>INDEX('ECOMMERS SALES'!$A:$J,MATCH('index match'!$A265,'ECOMMERS SALES'!$C:$C,0),MATCH('index match'!F$1,ECOMMERS_SALES[#Headers],0))</f>
        <v>10072</v>
      </c>
      <c r="G265">
        <f>INDEX('ECOMMERS SALES'!$A:$J,MATCH('index match'!$A265,'ECOMMERS SALES'!$C:$C,0),MATCH('index match'!G$1,ECOMMERS_SALES[#Headers],0))</f>
        <v>20144</v>
      </c>
      <c r="H265" t="str">
        <f>INDEX('ECOMMERS SALES'!$A:$J,MATCH('index match'!$A265,'ECOMMERS SALES'!$C:$C,0),MATCH('index match'!H$1,ECOMMERS_SALES[#Headers],0))</f>
        <v>Pune</v>
      </c>
      <c r="I265" t="str">
        <f>INDEX('ECOMMERS SALES'!$A:$J,MATCH('index match'!$A265,'ECOMMERS SALES'!$C:$C,0),MATCH('index match'!I$1,ECOMMERS_SALES[#Headers],0))</f>
        <v>Premimum</v>
      </c>
      <c r="J265" t="str">
        <f>INDEX('ECOMMERS SALES'!$A:$J,MATCH('index match'!$A265,'ECOMMERS SALES'!$C:$C,0),MATCH('index match'!J$1,ECOMMERS_SALES[#Headers],0))</f>
        <v>Card</v>
      </c>
    </row>
    <row r="266" spans="1:10" x14ac:dyDescent="0.35">
      <c r="A266" t="s">
        <v>29</v>
      </c>
      <c r="B266">
        <f>INDEX('ECOMMERS SALES'!$A:$J,MATCH('index match'!$A266,'ECOMMERS SALES'!$C:$C,0),MATCH('index match'!B$1,ECOMMERS_SALES[#Headers],0))</f>
        <v>1005</v>
      </c>
      <c r="C266" t="str">
        <f>INDEX('ECOMMERS SALES'!$A:$J,MATCH('index match'!$A266,'ECOMMERS SALES'!$C:$C,0),MATCH('index match'!C$1,ECOMMERS_SALES[#Headers],0))</f>
        <v>06-01-2025</v>
      </c>
      <c r="D266" t="str">
        <f>INDEX('ECOMMERS SALES'!$A:$J,MATCH('index match'!$A266,'ECOMMERS SALES'!$C:$C,0),MATCH('index match'!D$1,ECOMMERS_SALES[#Headers],0))</f>
        <v>Other</v>
      </c>
      <c r="E266">
        <f>INDEX('ECOMMERS SALES'!$A:$J,MATCH('index match'!$A266,'ECOMMERS SALES'!$C:$C,0),MATCH('index match'!E$1,ECOMMERS_SALES[#Headers],0))</f>
        <v>2</v>
      </c>
      <c r="F266">
        <f>INDEX('ECOMMERS SALES'!$A:$J,MATCH('index match'!$A266,'ECOMMERS SALES'!$C:$C,0),MATCH('index match'!F$1,ECOMMERS_SALES[#Headers],0))</f>
        <v>920</v>
      </c>
      <c r="G266">
        <f>INDEX('ECOMMERS SALES'!$A:$J,MATCH('index match'!$A266,'ECOMMERS SALES'!$C:$C,0),MATCH('index match'!G$1,ECOMMERS_SALES[#Headers],0))</f>
        <v>1840</v>
      </c>
      <c r="H266" t="str">
        <f>INDEX('ECOMMERS SALES'!$A:$J,MATCH('index match'!$A266,'ECOMMERS SALES'!$C:$C,0),MATCH('index match'!H$1,ECOMMERS_SALES[#Headers],0))</f>
        <v>Pune</v>
      </c>
      <c r="I266" t="str">
        <f>INDEX('ECOMMERS SALES'!$A:$J,MATCH('index match'!$A266,'ECOMMERS SALES'!$C:$C,0),MATCH('index match'!I$1,ECOMMERS_SALES[#Headers],0))</f>
        <v>New</v>
      </c>
      <c r="J266" t="str">
        <f>INDEX('ECOMMERS SALES'!$A:$J,MATCH('index match'!$A266,'ECOMMERS SALES'!$C:$C,0),MATCH('index match'!J$1,ECOMMERS_SALES[#Headers],0))</f>
        <v>UPI</v>
      </c>
    </row>
    <row r="267" spans="1:10" x14ac:dyDescent="0.35">
      <c r="A267" t="s">
        <v>31</v>
      </c>
      <c r="B267">
        <f>INDEX('ECOMMERS SALES'!$A:$J,MATCH('index match'!$A267,'ECOMMERS SALES'!$C:$C,0),MATCH('index match'!B$1,ECOMMERS_SALES[#Headers],0))</f>
        <v>1006</v>
      </c>
      <c r="C267" t="str">
        <f>INDEX('ECOMMERS SALES'!$A:$J,MATCH('index match'!$A267,'ECOMMERS SALES'!$C:$C,0),MATCH('index match'!C$1,ECOMMERS_SALES[#Headers],0))</f>
        <v>07-01-2025</v>
      </c>
      <c r="D267" t="str">
        <f>INDEX('ECOMMERS SALES'!$A:$J,MATCH('index match'!$A267,'ECOMMERS SALES'!$C:$C,0),MATCH('index match'!D$1,ECOMMERS_SALES[#Headers],0))</f>
        <v>Electronics</v>
      </c>
      <c r="E267">
        <f>INDEX('ECOMMERS SALES'!$A:$J,MATCH('index match'!$A267,'ECOMMERS SALES'!$C:$C,0),MATCH('index match'!E$1,ECOMMERS_SALES[#Headers],0))</f>
        <v>1</v>
      </c>
      <c r="F267">
        <f>INDEX('ECOMMERS SALES'!$A:$J,MATCH('index match'!$A267,'ECOMMERS SALES'!$C:$C,0),MATCH('index match'!F$1,ECOMMERS_SALES[#Headers],0))</f>
        <v>13225</v>
      </c>
      <c r="G267">
        <f>INDEX('ECOMMERS SALES'!$A:$J,MATCH('index match'!$A267,'ECOMMERS SALES'!$C:$C,0),MATCH('index match'!G$1,ECOMMERS_SALES[#Headers],0))</f>
        <v>13225</v>
      </c>
      <c r="H267" t="str">
        <f>INDEX('ECOMMERS SALES'!$A:$J,MATCH('index match'!$A267,'ECOMMERS SALES'!$C:$C,0),MATCH('index match'!H$1,ECOMMERS_SALES[#Headers],0))</f>
        <v>Delhi</v>
      </c>
      <c r="I267" t="str">
        <f>INDEX('ECOMMERS SALES'!$A:$J,MATCH('index match'!$A267,'ECOMMERS SALES'!$C:$C,0),MATCH('index match'!I$1,ECOMMERS_SALES[#Headers],0))</f>
        <v>Returning</v>
      </c>
      <c r="J267" t="str">
        <f>INDEX('ECOMMERS SALES'!$A:$J,MATCH('index match'!$A267,'ECOMMERS SALES'!$C:$C,0),MATCH('index match'!J$1,ECOMMERS_SALES[#Headers],0))</f>
        <v>COD</v>
      </c>
    </row>
    <row r="268" spans="1:10" x14ac:dyDescent="0.35">
      <c r="A268" t="s">
        <v>35</v>
      </c>
      <c r="B268">
        <f>INDEX('ECOMMERS SALES'!$A:$J,MATCH('index match'!$A268,'ECOMMERS SALES'!$C:$C,0),MATCH('index match'!B$1,ECOMMERS_SALES[#Headers],0))</f>
        <v>1007</v>
      </c>
      <c r="C268" t="str">
        <f>INDEX('ECOMMERS SALES'!$A:$J,MATCH('index match'!$A268,'ECOMMERS SALES'!$C:$C,0),MATCH('index match'!C$1,ECOMMERS_SALES[#Headers],0))</f>
        <v>08-01-2025</v>
      </c>
      <c r="D268" t="str">
        <f>INDEX('ECOMMERS SALES'!$A:$J,MATCH('index match'!$A268,'ECOMMERS SALES'!$C:$C,0),MATCH('index match'!D$1,ECOMMERS_SALES[#Headers],0))</f>
        <v>Books</v>
      </c>
      <c r="E268">
        <f>INDEX('ECOMMERS SALES'!$A:$J,MATCH('index match'!$A268,'ECOMMERS SALES'!$C:$C,0),MATCH('index match'!E$1,ECOMMERS_SALES[#Headers],0))</f>
        <v>3</v>
      </c>
      <c r="F268">
        <f>INDEX('ECOMMERS SALES'!$A:$J,MATCH('index match'!$A268,'ECOMMERS SALES'!$C:$C,0),MATCH('index match'!F$1,ECOMMERS_SALES[#Headers],0))</f>
        <v>621</v>
      </c>
      <c r="G268">
        <f>INDEX('ECOMMERS SALES'!$A:$J,MATCH('index match'!$A268,'ECOMMERS SALES'!$C:$C,0),MATCH('index match'!G$1,ECOMMERS_SALES[#Headers],0))</f>
        <v>1863</v>
      </c>
      <c r="H268" t="str">
        <f>INDEX('ECOMMERS SALES'!$A:$J,MATCH('index match'!$A268,'ECOMMERS SALES'!$C:$C,0),MATCH('index match'!H$1,ECOMMERS_SALES[#Headers],0))</f>
        <v>Hyderabad</v>
      </c>
      <c r="I268" t="str">
        <f>INDEX('ECOMMERS SALES'!$A:$J,MATCH('index match'!$A268,'ECOMMERS SALES'!$C:$C,0),MATCH('index match'!I$1,ECOMMERS_SALES[#Headers],0))</f>
        <v>Premimum</v>
      </c>
      <c r="J268" t="str">
        <f>INDEX('ECOMMERS SALES'!$A:$J,MATCH('index match'!$A268,'ECOMMERS SALES'!$C:$C,0),MATCH('index match'!J$1,ECOMMERS_SALES[#Headers],0))</f>
        <v>UPI</v>
      </c>
    </row>
    <row r="269" spans="1:10" x14ac:dyDescent="0.35">
      <c r="A269" t="s">
        <v>39</v>
      </c>
      <c r="B269">
        <f>INDEX('ECOMMERS SALES'!$A:$J,MATCH('index match'!$A269,'ECOMMERS SALES'!$C:$C,0),MATCH('index match'!B$1,ECOMMERS_SALES[#Headers],0))</f>
        <v>1008</v>
      </c>
      <c r="C269" t="str">
        <f>INDEX('ECOMMERS SALES'!$A:$J,MATCH('index match'!$A269,'ECOMMERS SALES'!$C:$C,0),MATCH('index match'!C$1,ECOMMERS_SALES[#Headers],0))</f>
        <v>09-01-2025</v>
      </c>
      <c r="D269" t="str">
        <f>INDEX('ECOMMERS SALES'!$A:$J,MATCH('index match'!$A269,'ECOMMERS SALES'!$C:$C,0),MATCH('index match'!D$1,ECOMMERS_SALES[#Headers],0))</f>
        <v>Fashion</v>
      </c>
      <c r="E269">
        <f>INDEX('ECOMMERS SALES'!$A:$J,MATCH('index match'!$A269,'ECOMMERS SALES'!$C:$C,0),MATCH('index match'!E$1,ECOMMERS_SALES[#Headers],0))</f>
        <v>2</v>
      </c>
      <c r="F269">
        <f>INDEX('ECOMMERS SALES'!$A:$J,MATCH('index match'!$A269,'ECOMMERS SALES'!$C:$C,0),MATCH('index match'!F$1,ECOMMERS_SALES[#Headers],0))</f>
        <v>905</v>
      </c>
      <c r="G269">
        <f>INDEX('ECOMMERS SALES'!$A:$J,MATCH('index match'!$A269,'ECOMMERS SALES'!$C:$C,0),MATCH('index match'!G$1,ECOMMERS_SALES[#Headers],0))</f>
        <v>1810</v>
      </c>
      <c r="H269" t="str">
        <f>INDEX('ECOMMERS SALES'!$A:$J,MATCH('index match'!$A269,'ECOMMERS SALES'!$C:$C,0),MATCH('index match'!H$1,ECOMMERS_SALES[#Headers],0))</f>
        <v>Bangalore</v>
      </c>
      <c r="I269" t="str">
        <f>INDEX('ECOMMERS SALES'!$A:$J,MATCH('index match'!$A269,'ECOMMERS SALES'!$C:$C,0),MATCH('index match'!I$1,ECOMMERS_SALES[#Headers],0))</f>
        <v>New</v>
      </c>
      <c r="J269" t="str">
        <f>INDEX('ECOMMERS SALES'!$A:$J,MATCH('index match'!$A269,'ECOMMERS SALES'!$C:$C,0),MATCH('index match'!J$1,ECOMMERS_SALES[#Headers],0))</f>
        <v>COD</v>
      </c>
    </row>
    <row r="270" spans="1:10" x14ac:dyDescent="0.35">
      <c r="A270" t="s">
        <v>42</v>
      </c>
      <c r="B270">
        <f>INDEX('ECOMMERS SALES'!$A:$J,MATCH('index match'!$A270,'ECOMMERS SALES'!$C:$C,0),MATCH('index match'!B$1,ECOMMERS_SALES[#Headers],0))</f>
        <v>1009</v>
      </c>
      <c r="C270" t="str">
        <f>INDEX('ECOMMERS SALES'!$A:$J,MATCH('index match'!$A270,'ECOMMERS SALES'!$C:$C,0),MATCH('index match'!C$1,ECOMMERS_SALES[#Headers],0))</f>
        <v>10-01-2025</v>
      </c>
      <c r="D270" t="str">
        <f>INDEX('ECOMMERS SALES'!$A:$J,MATCH('index match'!$A270,'ECOMMERS SALES'!$C:$C,0),MATCH('index match'!D$1,ECOMMERS_SALES[#Headers],0))</f>
        <v>Electronics</v>
      </c>
      <c r="E270">
        <f>INDEX('ECOMMERS SALES'!$A:$J,MATCH('index match'!$A270,'ECOMMERS SALES'!$C:$C,0),MATCH('index match'!E$1,ECOMMERS_SALES[#Headers],0))</f>
        <v>1</v>
      </c>
      <c r="F270">
        <f>INDEX('ECOMMERS SALES'!$A:$J,MATCH('index match'!$A270,'ECOMMERS SALES'!$C:$C,0),MATCH('index match'!F$1,ECOMMERS_SALES[#Headers],0))</f>
        <v>8563</v>
      </c>
      <c r="G270">
        <f>INDEX('ECOMMERS SALES'!$A:$J,MATCH('index match'!$A270,'ECOMMERS SALES'!$C:$C,0),MATCH('index match'!G$1,ECOMMERS_SALES[#Headers],0))</f>
        <v>8563</v>
      </c>
      <c r="H270" t="str">
        <f>INDEX('ECOMMERS SALES'!$A:$J,MATCH('index match'!$A270,'ECOMMERS SALES'!$C:$C,0),MATCH('index match'!H$1,ECOMMERS_SALES[#Headers],0))</f>
        <v>Hyderabad</v>
      </c>
      <c r="I270" t="str">
        <f>INDEX('ECOMMERS SALES'!$A:$J,MATCH('index match'!$A270,'ECOMMERS SALES'!$C:$C,0),MATCH('index match'!I$1,ECOMMERS_SALES[#Headers],0))</f>
        <v>Returning</v>
      </c>
      <c r="J270" t="str">
        <f>INDEX('ECOMMERS SALES'!$A:$J,MATCH('index match'!$A270,'ECOMMERS SALES'!$C:$C,0),MATCH('index match'!J$1,ECOMMERS_SALES[#Headers],0))</f>
        <v>Card</v>
      </c>
    </row>
    <row r="271" spans="1:10" x14ac:dyDescent="0.35">
      <c r="A271" t="s">
        <v>44</v>
      </c>
      <c r="B271">
        <f>INDEX('ECOMMERS SALES'!$A:$J,MATCH('index match'!$A271,'ECOMMERS SALES'!$C:$C,0),MATCH('index match'!B$1,ECOMMERS_SALES[#Headers],0))</f>
        <v>1010</v>
      </c>
      <c r="C271" t="str">
        <f>INDEX('ECOMMERS SALES'!$A:$J,MATCH('index match'!$A271,'ECOMMERS SALES'!$C:$C,0),MATCH('index match'!C$1,ECOMMERS_SALES[#Headers],0))</f>
        <v>11-01-2025</v>
      </c>
      <c r="D271" t="str">
        <f>INDEX('ECOMMERS SALES'!$A:$J,MATCH('index match'!$A271,'ECOMMERS SALES'!$C:$C,0),MATCH('index match'!D$1,ECOMMERS_SALES[#Headers],0))</f>
        <v>Other</v>
      </c>
      <c r="E271">
        <f>INDEX('ECOMMERS SALES'!$A:$J,MATCH('index match'!$A271,'ECOMMERS SALES'!$C:$C,0),MATCH('index match'!E$1,ECOMMERS_SALES[#Headers],0))</f>
        <v>1</v>
      </c>
      <c r="F271">
        <f>INDEX('ECOMMERS SALES'!$A:$J,MATCH('index match'!$A271,'ECOMMERS SALES'!$C:$C,0),MATCH('index match'!F$1,ECOMMERS_SALES[#Headers],0))</f>
        <v>268</v>
      </c>
      <c r="G271">
        <f>INDEX('ECOMMERS SALES'!$A:$J,MATCH('index match'!$A271,'ECOMMERS SALES'!$C:$C,0),MATCH('index match'!G$1,ECOMMERS_SALES[#Headers],0))</f>
        <v>268</v>
      </c>
      <c r="H271" t="str">
        <f>INDEX('ECOMMERS SALES'!$A:$J,MATCH('index match'!$A271,'ECOMMERS SALES'!$C:$C,0),MATCH('index match'!H$1,ECOMMERS_SALES[#Headers],0))</f>
        <v>Chennai</v>
      </c>
      <c r="I271" t="str">
        <f>INDEX('ECOMMERS SALES'!$A:$J,MATCH('index match'!$A271,'ECOMMERS SALES'!$C:$C,0),MATCH('index match'!I$1,ECOMMERS_SALES[#Headers],0))</f>
        <v>New</v>
      </c>
      <c r="J271" t="str">
        <f>INDEX('ECOMMERS SALES'!$A:$J,MATCH('index match'!$A271,'ECOMMERS SALES'!$C:$C,0),MATCH('index match'!J$1,ECOMMERS_SALES[#Headers],0))</f>
        <v>UPI</v>
      </c>
    </row>
    <row r="272" spans="1:10" x14ac:dyDescent="0.35">
      <c r="A272" t="s">
        <v>11</v>
      </c>
      <c r="B272">
        <f>INDEX('ECOMMERS SALES'!$A:$J,MATCH('index match'!$A272,'ECOMMERS SALES'!$C:$C,0),MATCH('index match'!B$1,ECOMMERS_SALES[#Headers],0))</f>
        <v>1001</v>
      </c>
      <c r="C272" t="str">
        <f>INDEX('ECOMMERS SALES'!$A:$J,MATCH('index match'!$A272,'ECOMMERS SALES'!$C:$C,0),MATCH('index match'!C$1,ECOMMERS_SALES[#Headers],0))</f>
        <v>02-01-2025</v>
      </c>
      <c r="D272" t="str">
        <f>INDEX('ECOMMERS SALES'!$A:$J,MATCH('index match'!$A272,'ECOMMERS SALES'!$C:$C,0),MATCH('index match'!D$1,ECOMMERS_SALES[#Headers],0))</f>
        <v>Electronics</v>
      </c>
      <c r="E272">
        <f>INDEX('ECOMMERS SALES'!$A:$J,MATCH('index match'!$A272,'ECOMMERS SALES'!$C:$C,0),MATCH('index match'!E$1,ECOMMERS_SALES[#Headers],0))</f>
        <v>2</v>
      </c>
      <c r="F272">
        <f>INDEX('ECOMMERS SALES'!$A:$J,MATCH('index match'!$A272,'ECOMMERS SALES'!$C:$C,0),MATCH('index match'!F$1,ECOMMERS_SALES[#Headers],0))</f>
        <v>50353</v>
      </c>
      <c r="G272">
        <f>INDEX('ECOMMERS SALES'!$A:$J,MATCH('index match'!$A272,'ECOMMERS SALES'!$C:$C,0),MATCH('index match'!G$1,ECOMMERS_SALES[#Headers],0))</f>
        <v>100706</v>
      </c>
      <c r="H272" t="str">
        <f>INDEX('ECOMMERS SALES'!$A:$J,MATCH('index match'!$A272,'ECOMMERS SALES'!$C:$C,0),MATCH('index match'!H$1,ECOMMERS_SALES[#Headers],0))</f>
        <v>Chennai</v>
      </c>
      <c r="I272" t="str">
        <f>INDEX('ECOMMERS SALES'!$A:$J,MATCH('index match'!$A272,'ECOMMERS SALES'!$C:$C,0),MATCH('index match'!I$1,ECOMMERS_SALES[#Headers],0))</f>
        <v>Premimum</v>
      </c>
      <c r="J272" t="str">
        <f>INDEX('ECOMMERS SALES'!$A:$J,MATCH('index match'!$A272,'ECOMMERS SALES'!$C:$C,0),MATCH('index match'!J$1,ECOMMERS_SALES[#Headers],0))</f>
        <v>Card</v>
      </c>
    </row>
    <row r="273" spans="1:10" x14ac:dyDescent="0.35">
      <c r="A273" t="s">
        <v>17</v>
      </c>
      <c r="B273">
        <f>INDEX('ECOMMERS SALES'!$A:$J,MATCH('index match'!$A273,'ECOMMERS SALES'!$C:$C,0),MATCH('index match'!B$1,ECOMMERS_SALES[#Headers],0))</f>
        <v>1002</v>
      </c>
      <c r="C273" t="str">
        <f>INDEX('ECOMMERS SALES'!$A:$J,MATCH('index match'!$A273,'ECOMMERS SALES'!$C:$C,0),MATCH('index match'!C$1,ECOMMERS_SALES[#Headers],0))</f>
        <v>03-01-2025</v>
      </c>
      <c r="D273" t="str">
        <f>INDEX('ECOMMERS SALES'!$A:$J,MATCH('index match'!$A273,'ECOMMERS SALES'!$C:$C,0),MATCH('index match'!D$1,ECOMMERS_SALES[#Headers],0))</f>
        <v>Electronics</v>
      </c>
      <c r="E273">
        <f>INDEX('ECOMMERS SALES'!$A:$J,MATCH('index match'!$A273,'ECOMMERS SALES'!$C:$C,0),MATCH('index match'!E$1,ECOMMERS_SALES[#Headers],0))</f>
        <v>2</v>
      </c>
      <c r="F273">
        <f>INDEX('ECOMMERS SALES'!$A:$J,MATCH('index match'!$A273,'ECOMMERS SALES'!$C:$C,0),MATCH('index match'!F$1,ECOMMERS_SALES[#Headers],0))</f>
        <v>2008</v>
      </c>
      <c r="G273">
        <f>INDEX('ECOMMERS SALES'!$A:$J,MATCH('index match'!$A273,'ECOMMERS SALES'!$C:$C,0),MATCH('index match'!G$1,ECOMMERS_SALES[#Headers],0))</f>
        <v>4016</v>
      </c>
      <c r="H273" t="str">
        <f>INDEX('ECOMMERS SALES'!$A:$J,MATCH('index match'!$A273,'ECOMMERS SALES'!$C:$C,0),MATCH('index match'!H$1,ECOMMERS_SALES[#Headers],0))</f>
        <v>Delhi</v>
      </c>
      <c r="I273" t="str">
        <f>INDEX('ECOMMERS SALES'!$A:$J,MATCH('index match'!$A273,'ECOMMERS SALES'!$C:$C,0),MATCH('index match'!I$1,ECOMMERS_SALES[#Headers],0))</f>
        <v>New</v>
      </c>
      <c r="J273" t="str">
        <f>INDEX('ECOMMERS SALES'!$A:$J,MATCH('index match'!$A273,'ECOMMERS SALES'!$C:$C,0),MATCH('index match'!J$1,ECOMMERS_SALES[#Headers],0))</f>
        <v>UPI</v>
      </c>
    </row>
    <row r="274" spans="1:10" x14ac:dyDescent="0.35">
      <c r="A274" t="s">
        <v>22</v>
      </c>
      <c r="B274">
        <f>INDEX('ECOMMERS SALES'!$A:$J,MATCH('index match'!$A274,'ECOMMERS SALES'!$C:$C,0),MATCH('index match'!B$1,ECOMMERS_SALES[#Headers],0))</f>
        <v>1003</v>
      </c>
      <c r="C274" t="str">
        <f>INDEX('ECOMMERS SALES'!$A:$J,MATCH('index match'!$A274,'ECOMMERS SALES'!$C:$C,0),MATCH('index match'!C$1,ECOMMERS_SALES[#Headers],0))</f>
        <v>04-01-2025</v>
      </c>
      <c r="D274" t="str">
        <f>INDEX('ECOMMERS SALES'!$A:$J,MATCH('index match'!$A274,'ECOMMERS SALES'!$C:$C,0),MATCH('index match'!D$1,ECOMMERS_SALES[#Headers],0))</f>
        <v>Fashion</v>
      </c>
      <c r="E274">
        <f>INDEX('ECOMMERS SALES'!$A:$J,MATCH('index match'!$A274,'ECOMMERS SALES'!$C:$C,0),MATCH('index match'!E$1,ECOMMERS_SALES[#Headers],0))</f>
        <v>1</v>
      </c>
      <c r="F274">
        <f>INDEX('ECOMMERS SALES'!$A:$J,MATCH('index match'!$A274,'ECOMMERS SALES'!$C:$C,0),MATCH('index match'!F$1,ECOMMERS_SALES[#Headers],0))</f>
        <v>4736</v>
      </c>
      <c r="G274">
        <f>INDEX('ECOMMERS SALES'!$A:$J,MATCH('index match'!$A274,'ECOMMERS SALES'!$C:$C,0),MATCH('index match'!G$1,ECOMMERS_SALES[#Headers],0))</f>
        <v>4736</v>
      </c>
      <c r="H274" t="str">
        <f>INDEX('ECOMMERS SALES'!$A:$J,MATCH('index match'!$A274,'ECOMMERS SALES'!$C:$C,0),MATCH('index match'!H$1,ECOMMERS_SALES[#Headers],0))</f>
        <v>Chennai</v>
      </c>
      <c r="I274" t="str">
        <f>INDEX('ECOMMERS SALES'!$A:$J,MATCH('index match'!$A274,'ECOMMERS SALES'!$C:$C,0),MATCH('index match'!I$1,ECOMMERS_SALES[#Headers],0))</f>
        <v>New</v>
      </c>
      <c r="J274" t="str">
        <f>INDEX('ECOMMERS SALES'!$A:$J,MATCH('index match'!$A274,'ECOMMERS SALES'!$C:$C,0),MATCH('index match'!J$1,ECOMMERS_SALES[#Headers],0))</f>
        <v>UPI</v>
      </c>
    </row>
    <row r="275" spans="1:10" x14ac:dyDescent="0.35">
      <c r="A275" t="s">
        <v>25</v>
      </c>
      <c r="B275">
        <f>INDEX('ECOMMERS SALES'!$A:$J,MATCH('index match'!$A275,'ECOMMERS SALES'!$C:$C,0),MATCH('index match'!B$1,ECOMMERS_SALES[#Headers],0))</f>
        <v>1004</v>
      </c>
      <c r="C275" t="str">
        <f>INDEX('ECOMMERS SALES'!$A:$J,MATCH('index match'!$A275,'ECOMMERS SALES'!$C:$C,0),MATCH('index match'!C$1,ECOMMERS_SALES[#Headers],0))</f>
        <v>05-01-2025</v>
      </c>
      <c r="D275" t="str">
        <f>INDEX('ECOMMERS SALES'!$A:$J,MATCH('index match'!$A275,'ECOMMERS SALES'!$C:$C,0),MATCH('index match'!D$1,ECOMMERS_SALES[#Headers],0))</f>
        <v>Other</v>
      </c>
      <c r="E275">
        <f>INDEX('ECOMMERS SALES'!$A:$J,MATCH('index match'!$A275,'ECOMMERS SALES'!$C:$C,0),MATCH('index match'!E$1,ECOMMERS_SALES[#Headers],0))</f>
        <v>2</v>
      </c>
      <c r="F275">
        <f>INDEX('ECOMMERS SALES'!$A:$J,MATCH('index match'!$A275,'ECOMMERS SALES'!$C:$C,0),MATCH('index match'!F$1,ECOMMERS_SALES[#Headers],0))</f>
        <v>10072</v>
      </c>
      <c r="G275">
        <f>INDEX('ECOMMERS SALES'!$A:$J,MATCH('index match'!$A275,'ECOMMERS SALES'!$C:$C,0),MATCH('index match'!G$1,ECOMMERS_SALES[#Headers],0))</f>
        <v>20144</v>
      </c>
      <c r="H275" t="str">
        <f>INDEX('ECOMMERS SALES'!$A:$J,MATCH('index match'!$A275,'ECOMMERS SALES'!$C:$C,0),MATCH('index match'!H$1,ECOMMERS_SALES[#Headers],0))</f>
        <v>Pune</v>
      </c>
      <c r="I275" t="str">
        <f>INDEX('ECOMMERS SALES'!$A:$J,MATCH('index match'!$A275,'ECOMMERS SALES'!$C:$C,0),MATCH('index match'!I$1,ECOMMERS_SALES[#Headers],0))</f>
        <v>Premimum</v>
      </c>
      <c r="J275" t="str">
        <f>INDEX('ECOMMERS SALES'!$A:$J,MATCH('index match'!$A275,'ECOMMERS SALES'!$C:$C,0),MATCH('index match'!J$1,ECOMMERS_SALES[#Headers],0))</f>
        <v>Card</v>
      </c>
    </row>
    <row r="276" spans="1:10" x14ac:dyDescent="0.35">
      <c r="A276" t="s">
        <v>29</v>
      </c>
      <c r="B276">
        <f>INDEX('ECOMMERS SALES'!$A:$J,MATCH('index match'!$A276,'ECOMMERS SALES'!$C:$C,0),MATCH('index match'!B$1,ECOMMERS_SALES[#Headers],0))</f>
        <v>1005</v>
      </c>
      <c r="C276" t="str">
        <f>INDEX('ECOMMERS SALES'!$A:$J,MATCH('index match'!$A276,'ECOMMERS SALES'!$C:$C,0),MATCH('index match'!C$1,ECOMMERS_SALES[#Headers],0))</f>
        <v>06-01-2025</v>
      </c>
      <c r="D276" t="str">
        <f>INDEX('ECOMMERS SALES'!$A:$J,MATCH('index match'!$A276,'ECOMMERS SALES'!$C:$C,0),MATCH('index match'!D$1,ECOMMERS_SALES[#Headers],0))</f>
        <v>Other</v>
      </c>
      <c r="E276">
        <f>INDEX('ECOMMERS SALES'!$A:$J,MATCH('index match'!$A276,'ECOMMERS SALES'!$C:$C,0),MATCH('index match'!E$1,ECOMMERS_SALES[#Headers],0))</f>
        <v>2</v>
      </c>
      <c r="F276">
        <f>INDEX('ECOMMERS SALES'!$A:$J,MATCH('index match'!$A276,'ECOMMERS SALES'!$C:$C,0),MATCH('index match'!F$1,ECOMMERS_SALES[#Headers],0))</f>
        <v>920</v>
      </c>
      <c r="G276">
        <f>INDEX('ECOMMERS SALES'!$A:$J,MATCH('index match'!$A276,'ECOMMERS SALES'!$C:$C,0),MATCH('index match'!G$1,ECOMMERS_SALES[#Headers],0))</f>
        <v>1840</v>
      </c>
      <c r="H276" t="str">
        <f>INDEX('ECOMMERS SALES'!$A:$J,MATCH('index match'!$A276,'ECOMMERS SALES'!$C:$C,0),MATCH('index match'!H$1,ECOMMERS_SALES[#Headers],0))</f>
        <v>Pune</v>
      </c>
      <c r="I276" t="str">
        <f>INDEX('ECOMMERS SALES'!$A:$J,MATCH('index match'!$A276,'ECOMMERS SALES'!$C:$C,0),MATCH('index match'!I$1,ECOMMERS_SALES[#Headers],0))</f>
        <v>New</v>
      </c>
      <c r="J276" t="str">
        <f>INDEX('ECOMMERS SALES'!$A:$J,MATCH('index match'!$A276,'ECOMMERS SALES'!$C:$C,0),MATCH('index match'!J$1,ECOMMERS_SALES[#Headers],0))</f>
        <v>UPI</v>
      </c>
    </row>
    <row r="277" spans="1:10" x14ac:dyDescent="0.35">
      <c r="A277" t="s">
        <v>31</v>
      </c>
      <c r="B277">
        <f>INDEX('ECOMMERS SALES'!$A:$J,MATCH('index match'!$A277,'ECOMMERS SALES'!$C:$C,0),MATCH('index match'!B$1,ECOMMERS_SALES[#Headers],0))</f>
        <v>1006</v>
      </c>
      <c r="C277" t="str">
        <f>INDEX('ECOMMERS SALES'!$A:$J,MATCH('index match'!$A277,'ECOMMERS SALES'!$C:$C,0),MATCH('index match'!C$1,ECOMMERS_SALES[#Headers],0))</f>
        <v>07-01-2025</v>
      </c>
      <c r="D277" t="str">
        <f>INDEX('ECOMMERS SALES'!$A:$J,MATCH('index match'!$A277,'ECOMMERS SALES'!$C:$C,0),MATCH('index match'!D$1,ECOMMERS_SALES[#Headers],0))</f>
        <v>Electronics</v>
      </c>
      <c r="E277">
        <f>INDEX('ECOMMERS SALES'!$A:$J,MATCH('index match'!$A277,'ECOMMERS SALES'!$C:$C,0),MATCH('index match'!E$1,ECOMMERS_SALES[#Headers],0))</f>
        <v>1</v>
      </c>
      <c r="F277">
        <f>INDEX('ECOMMERS SALES'!$A:$J,MATCH('index match'!$A277,'ECOMMERS SALES'!$C:$C,0),MATCH('index match'!F$1,ECOMMERS_SALES[#Headers],0))</f>
        <v>13225</v>
      </c>
      <c r="G277">
        <f>INDEX('ECOMMERS SALES'!$A:$J,MATCH('index match'!$A277,'ECOMMERS SALES'!$C:$C,0),MATCH('index match'!G$1,ECOMMERS_SALES[#Headers],0))</f>
        <v>13225</v>
      </c>
      <c r="H277" t="str">
        <f>INDEX('ECOMMERS SALES'!$A:$J,MATCH('index match'!$A277,'ECOMMERS SALES'!$C:$C,0),MATCH('index match'!H$1,ECOMMERS_SALES[#Headers],0))</f>
        <v>Delhi</v>
      </c>
      <c r="I277" t="str">
        <f>INDEX('ECOMMERS SALES'!$A:$J,MATCH('index match'!$A277,'ECOMMERS SALES'!$C:$C,0),MATCH('index match'!I$1,ECOMMERS_SALES[#Headers],0))</f>
        <v>Returning</v>
      </c>
      <c r="J277" t="str">
        <f>INDEX('ECOMMERS SALES'!$A:$J,MATCH('index match'!$A277,'ECOMMERS SALES'!$C:$C,0),MATCH('index match'!J$1,ECOMMERS_SALES[#Headers],0))</f>
        <v>COD</v>
      </c>
    </row>
    <row r="278" spans="1:10" x14ac:dyDescent="0.35">
      <c r="A278" t="s">
        <v>35</v>
      </c>
      <c r="B278">
        <f>INDEX('ECOMMERS SALES'!$A:$J,MATCH('index match'!$A278,'ECOMMERS SALES'!$C:$C,0),MATCH('index match'!B$1,ECOMMERS_SALES[#Headers],0))</f>
        <v>1007</v>
      </c>
      <c r="C278" t="str">
        <f>INDEX('ECOMMERS SALES'!$A:$J,MATCH('index match'!$A278,'ECOMMERS SALES'!$C:$C,0),MATCH('index match'!C$1,ECOMMERS_SALES[#Headers],0))</f>
        <v>08-01-2025</v>
      </c>
      <c r="D278" t="str">
        <f>INDEX('ECOMMERS SALES'!$A:$J,MATCH('index match'!$A278,'ECOMMERS SALES'!$C:$C,0),MATCH('index match'!D$1,ECOMMERS_SALES[#Headers],0))</f>
        <v>Books</v>
      </c>
      <c r="E278">
        <f>INDEX('ECOMMERS SALES'!$A:$J,MATCH('index match'!$A278,'ECOMMERS SALES'!$C:$C,0),MATCH('index match'!E$1,ECOMMERS_SALES[#Headers],0))</f>
        <v>3</v>
      </c>
      <c r="F278">
        <f>INDEX('ECOMMERS SALES'!$A:$J,MATCH('index match'!$A278,'ECOMMERS SALES'!$C:$C,0),MATCH('index match'!F$1,ECOMMERS_SALES[#Headers],0))</f>
        <v>621</v>
      </c>
      <c r="G278">
        <f>INDEX('ECOMMERS SALES'!$A:$J,MATCH('index match'!$A278,'ECOMMERS SALES'!$C:$C,0),MATCH('index match'!G$1,ECOMMERS_SALES[#Headers],0))</f>
        <v>1863</v>
      </c>
      <c r="H278" t="str">
        <f>INDEX('ECOMMERS SALES'!$A:$J,MATCH('index match'!$A278,'ECOMMERS SALES'!$C:$C,0),MATCH('index match'!H$1,ECOMMERS_SALES[#Headers],0))</f>
        <v>Hyderabad</v>
      </c>
      <c r="I278" t="str">
        <f>INDEX('ECOMMERS SALES'!$A:$J,MATCH('index match'!$A278,'ECOMMERS SALES'!$C:$C,0),MATCH('index match'!I$1,ECOMMERS_SALES[#Headers],0))</f>
        <v>Premimum</v>
      </c>
      <c r="J278" t="str">
        <f>INDEX('ECOMMERS SALES'!$A:$J,MATCH('index match'!$A278,'ECOMMERS SALES'!$C:$C,0),MATCH('index match'!J$1,ECOMMERS_SALES[#Headers],0))</f>
        <v>UPI</v>
      </c>
    </row>
    <row r="279" spans="1:10" x14ac:dyDescent="0.35">
      <c r="A279" t="s">
        <v>39</v>
      </c>
      <c r="B279">
        <f>INDEX('ECOMMERS SALES'!$A:$J,MATCH('index match'!$A279,'ECOMMERS SALES'!$C:$C,0),MATCH('index match'!B$1,ECOMMERS_SALES[#Headers],0))</f>
        <v>1008</v>
      </c>
      <c r="C279" t="str">
        <f>INDEX('ECOMMERS SALES'!$A:$J,MATCH('index match'!$A279,'ECOMMERS SALES'!$C:$C,0),MATCH('index match'!C$1,ECOMMERS_SALES[#Headers],0))</f>
        <v>09-01-2025</v>
      </c>
      <c r="D279" t="str">
        <f>INDEX('ECOMMERS SALES'!$A:$J,MATCH('index match'!$A279,'ECOMMERS SALES'!$C:$C,0),MATCH('index match'!D$1,ECOMMERS_SALES[#Headers],0))</f>
        <v>Fashion</v>
      </c>
      <c r="E279">
        <f>INDEX('ECOMMERS SALES'!$A:$J,MATCH('index match'!$A279,'ECOMMERS SALES'!$C:$C,0),MATCH('index match'!E$1,ECOMMERS_SALES[#Headers],0))</f>
        <v>2</v>
      </c>
      <c r="F279">
        <f>INDEX('ECOMMERS SALES'!$A:$J,MATCH('index match'!$A279,'ECOMMERS SALES'!$C:$C,0),MATCH('index match'!F$1,ECOMMERS_SALES[#Headers],0))</f>
        <v>905</v>
      </c>
      <c r="G279">
        <f>INDEX('ECOMMERS SALES'!$A:$J,MATCH('index match'!$A279,'ECOMMERS SALES'!$C:$C,0),MATCH('index match'!G$1,ECOMMERS_SALES[#Headers],0))</f>
        <v>1810</v>
      </c>
      <c r="H279" t="str">
        <f>INDEX('ECOMMERS SALES'!$A:$J,MATCH('index match'!$A279,'ECOMMERS SALES'!$C:$C,0),MATCH('index match'!H$1,ECOMMERS_SALES[#Headers],0))</f>
        <v>Bangalore</v>
      </c>
      <c r="I279" t="str">
        <f>INDEX('ECOMMERS SALES'!$A:$J,MATCH('index match'!$A279,'ECOMMERS SALES'!$C:$C,0),MATCH('index match'!I$1,ECOMMERS_SALES[#Headers],0))</f>
        <v>New</v>
      </c>
      <c r="J279" t="str">
        <f>INDEX('ECOMMERS SALES'!$A:$J,MATCH('index match'!$A279,'ECOMMERS SALES'!$C:$C,0),MATCH('index match'!J$1,ECOMMERS_SALES[#Headers],0))</f>
        <v>COD</v>
      </c>
    </row>
    <row r="280" spans="1:10" x14ac:dyDescent="0.35">
      <c r="A280" t="s">
        <v>42</v>
      </c>
      <c r="B280">
        <f>INDEX('ECOMMERS SALES'!$A:$J,MATCH('index match'!$A280,'ECOMMERS SALES'!$C:$C,0),MATCH('index match'!B$1,ECOMMERS_SALES[#Headers],0))</f>
        <v>1009</v>
      </c>
      <c r="C280" t="str">
        <f>INDEX('ECOMMERS SALES'!$A:$J,MATCH('index match'!$A280,'ECOMMERS SALES'!$C:$C,0),MATCH('index match'!C$1,ECOMMERS_SALES[#Headers],0))</f>
        <v>10-01-2025</v>
      </c>
      <c r="D280" t="str">
        <f>INDEX('ECOMMERS SALES'!$A:$J,MATCH('index match'!$A280,'ECOMMERS SALES'!$C:$C,0),MATCH('index match'!D$1,ECOMMERS_SALES[#Headers],0))</f>
        <v>Electronics</v>
      </c>
      <c r="E280">
        <f>INDEX('ECOMMERS SALES'!$A:$J,MATCH('index match'!$A280,'ECOMMERS SALES'!$C:$C,0),MATCH('index match'!E$1,ECOMMERS_SALES[#Headers],0))</f>
        <v>1</v>
      </c>
      <c r="F280">
        <f>INDEX('ECOMMERS SALES'!$A:$J,MATCH('index match'!$A280,'ECOMMERS SALES'!$C:$C,0),MATCH('index match'!F$1,ECOMMERS_SALES[#Headers],0))</f>
        <v>8563</v>
      </c>
      <c r="G280">
        <f>INDEX('ECOMMERS SALES'!$A:$J,MATCH('index match'!$A280,'ECOMMERS SALES'!$C:$C,0),MATCH('index match'!G$1,ECOMMERS_SALES[#Headers],0))</f>
        <v>8563</v>
      </c>
      <c r="H280" t="str">
        <f>INDEX('ECOMMERS SALES'!$A:$J,MATCH('index match'!$A280,'ECOMMERS SALES'!$C:$C,0),MATCH('index match'!H$1,ECOMMERS_SALES[#Headers],0))</f>
        <v>Hyderabad</v>
      </c>
      <c r="I280" t="str">
        <f>INDEX('ECOMMERS SALES'!$A:$J,MATCH('index match'!$A280,'ECOMMERS SALES'!$C:$C,0),MATCH('index match'!I$1,ECOMMERS_SALES[#Headers],0))</f>
        <v>Returning</v>
      </c>
      <c r="J280" t="str">
        <f>INDEX('ECOMMERS SALES'!$A:$J,MATCH('index match'!$A280,'ECOMMERS SALES'!$C:$C,0),MATCH('index match'!J$1,ECOMMERS_SALES[#Headers],0))</f>
        <v>Card</v>
      </c>
    </row>
    <row r="281" spans="1:10" x14ac:dyDescent="0.35">
      <c r="A281" t="s">
        <v>44</v>
      </c>
      <c r="B281">
        <f>INDEX('ECOMMERS SALES'!$A:$J,MATCH('index match'!$A281,'ECOMMERS SALES'!$C:$C,0),MATCH('index match'!B$1,ECOMMERS_SALES[#Headers],0))</f>
        <v>1010</v>
      </c>
      <c r="C281" t="str">
        <f>INDEX('ECOMMERS SALES'!$A:$J,MATCH('index match'!$A281,'ECOMMERS SALES'!$C:$C,0),MATCH('index match'!C$1,ECOMMERS_SALES[#Headers],0))</f>
        <v>11-01-2025</v>
      </c>
      <c r="D281" t="str">
        <f>INDEX('ECOMMERS SALES'!$A:$J,MATCH('index match'!$A281,'ECOMMERS SALES'!$C:$C,0),MATCH('index match'!D$1,ECOMMERS_SALES[#Headers],0))</f>
        <v>Other</v>
      </c>
      <c r="E281">
        <f>INDEX('ECOMMERS SALES'!$A:$J,MATCH('index match'!$A281,'ECOMMERS SALES'!$C:$C,0),MATCH('index match'!E$1,ECOMMERS_SALES[#Headers],0))</f>
        <v>1</v>
      </c>
      <c r="F281">
        <f>INDEX('ECOMMERS SALES'!$A:$J,MATCH('index match'!$A281,'ECOMMERS SALES'!$C:$C,0),MATCH('index match'!F$1,ECOMMERS_SALES[#Headers],0))</f>
        <v>268</v>
      </c>
      <c r="G281">
        <f>INDEX('ECOMMERS SALES'!$A:$J,MATCH('index match'!$A281,'ECOMMERS SALES'!$C:$C,0),MATCH('index match'!G$1,ECOMMERS_SALES[#Headers],0))</f>
        <v>268</v>
      </c>
      <c r="H281" t="str">
        <f>INDEX('ECOMMERS SALES'!$A:$J,MATCH('index match'!$A281,'ECOMMERS SALES'!$C:$C,0),MATCH('index match'!H$1,ECOMMERS_SALES[#Headers],0))</f>
        <v>Chennai</v>
      </c>
      <c r="I281" t="str">
        <f>INDEX('ECOMMERS SALES'!$A:$J,MATCH('index match'!$A281,'ECOMMERS SALES'!$C:$C,0),MATCH('index match'!I$1,ECOMMERS_SALES[#Headers],0))</f>
        <v>New</v>
      </c>
      <c r="J281" t="str">
        <f>INDEX('ECOMMERS SALES'!$A:$J,MATCH('index match'!$A281,'ECOMMERS SALES'!$C:$C,0),MATCH('index match'!J$1,ECOMMERS_SALES[#Headers],0))</f>
        <v>UPI</v>
      </c>
    </row>
    <row r="282" spans="1:10" x14ac:dyDescent="0.35">
      <c r="A282" t="s">
        <v>11</v>
      </c>
      <c r="B282">
        <f>INDEX('ECOMMERS SALES'!$A:$J,MATCH('index match'!$A282,'ECOMMERS SALES'!$C:$C,0),MATCH('index match'!B$1,ECOMMERS_SALES[#Headers],0))</f>
        <v>1001</v>
      </c>
      <c r="C282" t="str">
        <f>INDEX('ECOMMERS SALES'!$A:$J,MATCH('index match'!$A282,'ECOMMERS SALES'!$C:$C,0),MATCH('index match'!C$1,ECOMMERS_SALES[#Headers],0))</f>
        <v>02-01-2025</v>
      </c>
      <c r="D282" t="str">
        <f>INDEX('ECOMMERS SALES'!$A:$J,MATCH('index match'!$A282,'ECOMMERS SALES'!$C:$C,0),MATCH('index match'!D$1,ECOMMERS_SALES[#Headers],0))</f>
        <v>Electronics</v>
      </c>
      <c r="E282">
        <f>INDEX('ECOMMERS SALES'!$A:$J,MATCH('index match'!$A282,'ECOMMERS SALES'!$C:$C,0),MATCH('index match'!E$1,ECOMMERS_SALES[#Headers],0))</f>
        <v>2</v>
      </c>
      <c r="F282">
        <f>INDEX('ECOMMERS SALES'!$A:$J,MATCH('index match'!$A282,'ECOMMERS SALES'!$C:$C,0),MATCH('index match'!F$1,ECOMMERS_SALES[#Headers],0))</f>
        <v>50353</v>
      </c>
      <c r="G282">
        <f>INDEX('ECOMMERS SALES'!$A:$J,MATCH('index match'!$A282,'ECOMMERS SALES'!$C:$C,0),MATCH('index match'!G$1,ECOMMERS_SALES[#Headers],0))</f>
        <v>100706</v>
      </c>
      <c r="H282" t="str">
        <f>INDEX('ECOMMERS SALES'!$A:$J,MATCH('index match'!$A282,'ECOMMERS SALES'!$C:$C,0),MATCH('index match'!H$1,ECOMMERS_SALES[#Headers],0))</f>
        <v>Chennai</v>
      </c>
      <c r="I282" t="str">
        <f>INDEX('ECOMMERS SALES'!$A:$J,MATCH('index match'!$A282,'ECOMMERS SALES'!$C:$C,0),MATCH('index match'!I$1,ECOMMERS_SALES[#Headers],0))</f>
        <v>Premimum</v>
      </c>
      <c r="J282" t="str">
        <f>INDEX('ECOMMERS SALES'!$A:$J,MATCH('index match'!$A282,'ECOMMERS SALES'!$C:$C,0),MATCH('index match'!J$1,ECOMMERS_SALES[#Headers],0))</f>
        <v>Card</v>
      </c>
    </row>
    <row r="283" spans="1:10" x14ac:dyDescent="0.35">
      <c r="A283" t="s">
        <v>17</v>
      </c>
      <c r="B283">
        <f>INDEX('ECOMMERS SALES'!$A:$J,MATCH('index match'!$A283,'ECOMMERS SALES'!$C:$C,0),MATCH('index match'!B$1,ECOMMERS_SALES[#Headers],0))</f>
        <v>1002</v>
      </c>
      <c r="C283" t="str">
        <f>INDEX('ECOMMERS SALES'!$A:$J,MATCH('index match'!$A283,'ECOMMERS SALES'!$C:$C,0),MATCH('index match'!C$1,ECOMMERS_SALES[#Headers],0))</f>
        <v>03-01-2025</v>
      </c>
      <c r="D283" t="str">
        <f>INDEX('ECOMMERS SALES'!$A:$J,MATCH('index match'!$A283,'ECOMMERS SALES'!$C:$C,0),MATCH('index match'!D$1,ECOMMERS_SALES[#Headers],0))</f>
        <v>Electronics</v>
      </c>
      <c r="E283">
        <f>INDEX('ECOMMERS SALES'!$A:$J,MATCH('index match'!$A283,'ECOMMERS SALES'!$C:$C,0),MATCH('index match'!E$1,ECOMMERS_SALES[#Headers],0))</f>
        <v>2</v>
      </c>
      <c r="F283">
        <f>INDEX('ECOMMERS SALES'!$A:$J,MATCH('index match'!$A283,'ECOMMERS SALES'!$C:$C,0),MATCH('index match'!F$1,ECOMMERS_SALES[#Headers],0))</f>
        <v>2008</v>
      </c>
      <c r="G283">
        <f>INDEX('ECOMMERS SALES'!$A:$J,MATCH('index match'!$A283,'ECOMMERS SALES'!$C:$C,0),MATCH('index match'!G$1,ECOMMERS_SALES[#Headers],0))</f>
        <v>4016</v>
      </c>
      <c r="H283" t="str">
        <f>INDEX('ECOMMERS SALES'!$A:$J,MATCH('index match'!$A283,'ECOMMERS SALES'!$C:$C,0),MATCH('index match'!H$1,ECOMMERS_SALES[#Headers],0))</f>
        <v>Delhi</v>
      </c>
      <c r="I283" t="str">
        <f>INDEX('ECOMMERS SALES'!$A:$J,MATCH('index match'!$A283,'ECOMMERS SALES'!$C:$C,0),MATCH('index match'!I$1,ECOMMERS_SALES[#Headers],0))</f>
        <v>New</v>
      </c>
      <c r="J283" t="str">
        <f>INDEX('ECOMMERS SALES'!$A:$J,MATCH('index match'!$A283,'ECOMMERS SALES'!$C:$C,0),MATCH('index match'!J$1,ECOMMERS_SALES[#Headers],0))</f>
        <v>UPI</v>
      </c>
    </row>
    <row r="284" spans="1:10" x14ac:dyDescent="0.35">
      <c r="A284" t="s">
        <v>22</v>
      </c>
      <c r="B284">
        <f>INDEX('ECOMMERS SALES'!$A:$J,MATCH('index match'!$A284,'ECOMMERS SALES'!$C:$C,0),MATCH('index match'!B$1,ECOMMERS_SALES[#Headers],0))</f>
        <v>1003</v>
      </c>
      <c r="C284" t="str">
        <f>INDEX('ECOMMERS SALES'!$A:$J,MATCH('index match'!$A284,'ECOMMERS SALES'!$C:$C,0),MATCH('index match'!C$1,ECOMMERS_SALES[#Headers],0))</f>
        <v>04-01-2025</v>
      </c>
      <c r="D284" t="str">
        <f>INDEX('ECOMMERS SALES'!$A:$J,MATCH('index match'!$A284,'ECOMMERS SALES'!$C:$C,0),MATCH('index match'!D$1,ECOMMERS_SALES[#Headers],0))</f>
        <v>Fashion</v>
      </c>
      <c r="E284">
        <f>INDEX('ECOMMERS SALES'!$A:$J,MATCH('index match'!$A284,'ECOMMERS SALES'!$C:$C,0),MATCH('index match'!E$1,ECOMMERS_SALES[#Headers],0))</f>
        <v>1</v>
      </c>
      <c r="F284">
        <f>INDEX('ECOMMERS SALES'!$A:$J,MATCH('index match'!$A284,'ECOMMERS SALES'!$C:$C,0),MATCH('index match'!F$1,ECOMMERS_SALES[#Headers],0))</f>
        <v>4736</v>
      </c>
      <c r="G284">
        <f>INDEX('ECOMMERS SALES'!$A:$J,MATCH('index match'!$A284,'ECOMMERS SALES'!$C:$C,0),MATCH('index match'!G$1,ECOMMERS_SALES[#Headers],0))</f>
        <v>4736</v>
      </c>
      <c r="H284" t="str">
        <f>INDEX('ECOMMERS SALES'!$A:$J,MATCH('index match'!$A284,'ECOMMERS SALES'!$C:$C,0),MATCH('index match'!H$1,ECOMMERS_SALES[#Headers],0))</f>
        <v>Chennai</v>
      </c>
      <c r="I284" t="str">
        <f>INDEX('ECOMMERS SALES'!$A:$J,MATCH('index match'!$A284,'ECOMMERS SALES'!$C:$C,0),MATCH('index match'!I$1,ECOMMERS_SALES[#Headers],0))</f>
        <v>New</v>
      </c>
      <c r="J284" t="str">
        <f>INDEX('ECOMMERS SALES'!$A:$J,MATCH('index match'!$A284,'ECOMMERS SALES'!$C:$C,0),MATCH('index match'!J$1,ECOMMERS_SALES[#Headers],0))</f>
        <v>UPI</v>
      </c>
    </row>
    <row r="285" spans="1:10" x14ac:dyDescent="0.35">
      <c r="A285" t="s">
        <v>25</v>
      </c>
      <c r="B285">
        <f>INDEX('ECOMMERS SALES'!$A:$J,MATCH('index match'!$A285,'ECOMMERS SALES'!$C:$C,0),MATCH('index match'!B$1,ECOMMERS_SALES[#Headers],0))</f>
        <v>1004</v>
      </c>
      <c r="C285" t="str">
        <f>INDEX('ECOMMERS SALES'!$A:$J,MATCH('index match'!$A285,'ECOMMERS SALES'!$C:$C,0),MATCH('index match'!C$1,ECOMMERS_SALES[#Headers],0))</f>
        <v>05-01-2025</v>
      </c>
      <c r="D285" t="str">
        <f>INDEX('ECOMMERS SALES'!$A:$J,MATCH('index match'!$A285,'ECOMMERS SALES'!$C:$C,0),MATCH('index match'!D$1,ECOMMERS_SALES[#Headers],0))</f>
        <v>Other</v>
      </c>
      <c r="E285">
        <f>INDEX('ECOMMERS SALES'!$A:$J,MATCH('index match'!$A285,'ECOMMERS SALES'!$C:$C,0),MATCH('index match'!E$1,ECOMMERS_SALES[#Headers],0))</f>
        <v>2</v>
      </c>
      <c r="F285">
        <f>INDEX('ECOMMERS SALES'!$A:$J,MATCH('index match'!$A285,'ECOMMERS SALES'!$C:$C,0),MATCH('index match'!F$1,ECOMMERS_SALES[#Headers],0))</f>
        <v>10072</v>
      </c>
      <c r="G285">
        <f>INDEX('ECOMMERS SALES'!$A:$J,MATCH('index match'!$A285,'ECOMMERS SALES'!$C:$C,0),MATCH('index match'!G$1,ECOMMERS_SALES[#Headers],0))</f>
        <v>20144</v>
      </c>
      <c r="H285" t="str">
        <f>INDEX('ECOMMERS SALES'!$A:$J,MATCH('index match'!$A285,'ECOMMERS SALES'!$C:$C,0),MATCH('index match'!H$1,ECOMMERS_SALES[#Headers],0))</f>
        <v>Pune</v>
      </c>
      <c r="I285" t="str">
        <f>INDEX('ECOMMERS SALES'!$A:$J,MATCH('index match'!$A285,'ECOMMERS SALES'!$C:$C,0),MATCH('index match'!I$1,ECOMMERS_SALES[#Headers],0))</f>
        <v>Premimum</v>
      </c>
      <c r="J285" t="str">
        <f>INDEX('ECOMMERS SALES'!$A:$J,MATCH('index match'!$A285,'ECOMMERS SALES'!$C:$C,0),MATCH('index match'!J$1,ECOMMERS_SALES[#Headers],0))</f>
        <v>Card</v>
      </c>
    </row>
    <row r="286" spans="1:10" x14ac:dyDescent="0.35">
      <c r="A286" t="s">
        <v>29</v>
      </c>
      <c r="B286">
        <f>INDEX('ECOMMERS SALES'!$A:$J,MATCH('index match'!$A286,'ECOMMERS SALES'!$C:$C,0),MATCH('index match'!B$1,ECOMMERS_SALES[#Headers],0))</f>
        <v>1005</v>
      </c>
      <c r="C286" t="str">
        <f>INDEX('ECOMMERS SALES'!$A:$J,MATCH('index match'!$A286,'ECOMMERS SALES'!$C:$C,0),MATCH('index match'!C$1,ECOMMERS_SALES[#Headers],0))</f>
        <v>06-01-2025</v>
      </c>
      <c r="D286" t="str">
        <f>INDEX('ECOMMERS SALES'!$A:$J,MATCH('index match'!$A286,'ECOMMERS SALES'!$C:$C,0),MATCH('index match'!D$1,ECOMMERS_SALES[#Headers],0))</f>
        <v>Other</v>
      </c>
      <c r="E286">
        <f>INDEX('ECOMMERS SALES'!$A:$J,MATCH('index match'!$A286,'ECOMMERS SALES'!$C:$C,0),MATCH('index match'!E$1,ECOMMERS_SALES[#Headers],0))</f>
        <v>2</v>
      </c>
      <c r="F286">
        <f>INDEX('ECOMMERS SALES'!$A:$J,MATCH('index match'!$A286,'ECOMMERS SALES'!$C:$C,0),MATCH('index match'!F$1,ECOMMERS_SALES[#Headers],0))</f>
        <v>920</v>
      </c>
      <c r="G286">
        <f>INDEX('ECOMMERS SALES'!$A:$J,MATCH('index match'!$A286,'ECOMMERS SALES'!$C:$C,0),MATCH('index match'!G$1,ECOMMERS_SALES[#Headers],0))</f>
        <v>1840</v>
      </c>
      <c r="H286" t="str">
        <f>INDEX('ECOMMERS SALES'!$A:$J,MATCH('index match'!$A286,'ECOMMERS SALES'!$C:$C,0),MATCH('index match'!H$1,ECOMMERS_SALES[#Headers],0))</f>
        <v>Pune</v>
      </c>
      <c r="I286" t="str">
        <f>INDEX('ECOMMERS SALES'!$A:$J,MATCH('index match'!$A286,'ECOMMERS SALES'!$C:$C,0),MATCH('index match'!I$1,ECOMMERS_SALES[#Headers],0))</f>
        <v>New</v>
      </c>
      <c r="J286" t="str">
        <f>INDEX('ECOMMERS SALES'!$A:$J,MATCH('index match'!$A286,'ECOMMERS SALES'!$C:$C,0),MATCH('index match'!J$1,ECOMMERS_SALES[#Headers],0))</f>
        <v>UPI</v>
      </c>
    </row>
    <row r="287" spans="1:10" x14ac:dyDescent="0.35">
      <c r="A287" t="s">
        <v>31</v>
      </c>
      <c r="B287">
        <f>INDEX('ECOMMERS SALES'!$A:$J,MATCH('index match'!$A287,'ECOMMERS SALES'!$C:$C,0),MATCH('index match'!B$1,ECOMMERS_SALES[#Headers],0))</f>
        <v>1006</v>
      </c>
      <c r="C287" t="str">
        <f>INDEX('ECOMMERS SALES'!$A:$J,MATCH('index match'!$A287,'ECOMMERS SALES'!$C:$C,0),MATCH('index match'!C$1,ECOMMERS_SALES[#Headers],0))</f>
        <v>07-01-2025</v>
      </c>
      <c r="D287" t="str">
        <f>INDEX('ECOMMERS SALES'!$A:$J,MATCH('index match'!$A287,'ECOMMERS SALES'!$C:$C,0),MATCH('index match'!D$1,ECOMMERS_SALES[#Headers],0))</f>
        <v>Electronics</v>
      </c>
      <c r="E287">
        <f>INDEX('ECOMMERS SALES'!$A:$J,MATCH('index match'!$A287,'ECOMMERS SALES'!$C:$C,0),MATCH('index match'!E$1,ECOMMERS_SALES[#Headers],0))</f>
        <v>1</v>
      </c>
      <c r="F287">
        <f>INDEX('ECOMMERS SALES'!$A:$J,MATCH('index match'!$A287,'ECOMMERS SALES'!$C:$C,0),MATCH('index match'!F$1,ECOMMERS_SALES[#Headers],0))</f>
        <v>13225</v>
      </c>
      <c r="G287">
        <f>INDEX('ECOMMERS SALES'!$A:$J,MATCH('index match'!$A287,'ECOMMERS SALES'!$C:$C,0),MATCH('index match'!G$1,ECOMMERS_SALES[#Headers],0))</f>
        <v>13225</v>
      </c>
      <c r="H287" t="str">
        <f>INDEX('ECOMMERS SALES'!$A:$J,MATCH('index match'!$A287,'ECOMMERS SALES'!$C:$C,0),MATCH('index match'!H$1,ECOMMERS_SALES[#Headers],0))</f>
        <v>Delhi</v>
      </c>
      <c r="I287" t="str">
        <f>INDEX('ECOMMERS SALES'!$A:$J,MATCH('index match'!$A287,'ECOMMERS SALES'!$C:$C,0),MATCH('index match'!I$1,ECOMMERS_SALES[#Headers],0))</f>
        <v>Returning</v>
      </c>
      <c r="J287" t="str">
        <f>INDEX('ECOMMERS SALES'!$A:$J,MATCH('index match'!$A287,'ECOMMERS SALES'!$C:$C,0),MATCH('index match'!J$1,ECOMMERS_SALES[#Headers],0))</f>
        <v>COD</v>
      </c>
    </row>
    <row r="288" spans="1:10" x14ac:dyDescent="0.35">
      <c r="A288" t="s">
        <v>35</v>
      </c>
      <c r="B288">
        <f>INDEX('ECOMMERS SALES'!$A:$J,MATCH('index match'!$A288,'ECOMMERS SALES'!$C:$C,0),MATCH('index match'!B$1,ECOMMERS_SALES[#Headers],0))</f>
        <v>1007</v>
      </c>
      <c r="C288" t="str">
        <f>INDEX('ECOMMERS SALES'!$A:$J,MATCH('index match'!$A288,'ECOMMERS SALES'!$C:$C,0),MATCH('index match'!C$1,ECOMMERS_SALES[#Headers],0))</f>
        <v>08-01-2025</v>
      </c>
      <c r="D288" t="str">
        <f>INDEX('ECOMMERS SALES'!$A:$J,MATCH('index match'!$A288,'ECOMMERS SALES'!$C:$C,0),MATCH('index match'!D$1,ECOMMERS_SALES[#Headers],0))</f>
        <v>Books</v>
      </c>
      <c r="E288">
        <f>INDEX('ECOMMERS SALES'!$A:$J,MATCH('index match'!$A288,'ECOMMERS SALES'!$C:$C,0),MATCH('index match'!E$1,ECOMMERS_SALES[#Headers],0))</f>
        <v>3</v>
      </c>
      <c r="F288">
        <f>INDEX('ECOMMERS SALES'!$A:$J,MATCH('index match'!$A288,'ECOMMERS SALES'!$C:$C,0),MATCH('index match'!F$1,ECOMMERS_SALES[#Headers],0))</f>
        <v>621</v>
      </c>
      <c r="G288">
        <f>INDEX('ECOMMERS SALES'!$A:$J,MATCH('index match'!$A288,'ECOMMERS SALES'!$C:$C,0),MATCH('index match'!G$1,ECOMMERS_SALES[#Headers],0))</f>
        <v>1863</v>
      </c>
      <c r="H288" t="str">
        <f>INDEX('ECOMMERS SALES'!$A:$J,MATCH('index match'!$A288,'ECOMMERS SALES'!$C:$C,0),MATCH('index match'!H$1,ECOMMERS_SALES[#Headers],0))</f>
        <v>Hyderabad</v>
      </c>
      <c r="I288" t="str">
        <f>INDEX('ECOMMERS SALES'!$A:$J,MATCH('index match'!$A288,'ECOMMERS SALES'!$C:$C,0),MATCH('index match'!I$1,ECOMMERS_SALES[#Headers],0))</f>
        <v>Premimum</v>
      </c>
      <c r="J288" t="str">
        <f>INDEX('ECOMMERS SALES'!$A:$J,MATCH('index match'!$A288,'ECOMMERS SALES'!$C:$C,0),MATCH('index match'!J$1,ECOMMERS_SALES[#Headers],0))</f>
        <v>UPI</v>
      </c>
    </row>
    <row r="289" spans="1:10" x14ac:dyDescent="0.35">
      <c r="A289" t="s">
        <v>39</v>
      </c>
      <c r="B289">
        <f>INDEX('ECOMMERS SALES'!$A:$J,MATCH('index match'!$A289,'ECOMMERS SALES'!$C:$C,0),MATCH('index match'!B$1,ECOMMERS_SALES[#Headers],0))</f>
        <v>1008</v>
      </c>
      <c r="C289" t="str">
        <f>INDEX('ECOMMERS SALES'!$A:$J,MATCH('index match'!$A289,'ECOMMERS SALES'!$C:$C,0),MATCH('index match'!C$1,ECOMMERS_SALES[#Headers],0))</f>
        <v>09-01-2025</v>
      </c>
      <c r="D289" t="str">
        <f>INDEX('ECOMMERS SALES'!$A:$J,MATCH('index match'!$A289,'ECOMMERS SALES'!$C:$C,0),MATCH('index match'!D$1,ECOMMERS_SALES[#Headers],0))</f>
        <v>Fashion</v>
      </c>
      <c r="E289">
        <f>INDEX('ECOMMERS SALES'!$A:$J,MATCH('index match'!$A289,'ECOMMERS SALES'!$C:$C,0),MATCH('index match'!E$1,ECOMMERS_SALES[#Headers],0))</f>
        <v>2</v>
      </c>
      <c r="F289">
        <f>INDEX('ECOMMERS SALES'!$A:$J,MATCH('index match'!$A289,'ECOMMERS SALES'!$C:$C,0),MATCH('index match'!F$1,ECOMMERS_SALES[#Headers],0))</f>
        <v>905</v>
      </c>
      <c r="G289">
        <f>INDEX('ECOMMERS SALES'!$A:$J,MATCH('index match'!$A289,'ECOMMERS SALES'!$C:$C,0),MATCH('index match'!G$1,ECOMMERS_SALES[#Headers],0))</f>
        <v>1810</v>
      </c>
      <c r="H289" t="str">
        <f>INDEX('ECOMMERS SALES'!$A:$J,MATCH('index match'!$A289,'ECOMMERS SALES'!$C:$C,0),MATCH('index match'!H$1,ECOMMERS_SALES[#Headers],0))</f>
        <v>Bangalore</v>
      </c>
      <c r="I289" t="str">
        <f>INDEX('ECOMMERS SALES'!$A:$J,MATCH('index match'!$A289,'ECOMMERS SALES'!$C:$C,0),MATCH('index match'!I$1,ECOMMERS_SALES[#Headers],0))</f>
        <v>New</v>
      </c>
      <c r="J289" t="str">
        <f>INDEX('ECOMMERS SALES'!$A:$J,MATCH('index match'!$A289,'ECOMMERS SALES'!$C:$C,0),MATCH('index match'!J$1,ECOMMERS_SALES[#Headers],0))</f>
        <v>COD</v>
      </c>
    </row>
    <row r="290" spans="1:10" x14ac:dyDescent="0.35">
      <c r="A290" t="s">
        <v>42</v>
      </c>
      <c r="B290">
        <f>INDEX('ECOMMERS SALES'!$A:$J,MATCH('index match'!$A290,'ECOMMERS SALES'!$C:$C,0),MATCH('index match'!B$1,ECOMMERS_SALES[#Headers],0))</f>
        <v>1009</v>
      </c>
      <c r="C290" t="str">
        <f>INDEX('ECOMMERS SALES'!$A:$J,MATCH('index match'!$A290,'ECOMMERS SALES'!$C:$C,0),MATCH('index match'!C$1,ECOMMERS_SALES[#Headers],0))</f>
        <v>10-01-2025</v>
      </c>
      <c r="D290" t="str">
        <f>INDEX('ECOMMERS SALES'!$A:$J,MATCH('index match'!$A290,'ECOMMERS SALES'!$C:$C,0),MATCH('index match'!D$1,ECOMMERS_SALES[#Headers],0))</f>
        <v>Electronics</v>
      </c>
      <c r="E290">
        <f>INDEX('ECOMMERS SALES'!$A:$J,MATCH('index match'!$A290,'ECOMMERS SALES'!$C:$C,0),MATCH('index match'!E$1,ECOMMERS_SALES[#Headers],0))</f>
        <v>1</v>
      </c>
      <c r="F290">
        <f>INDEX('ECOMMERS SALES'!$A:$J,MATCH('index match'!$A290,'ECOMMERS SALES'!$C:$C,0),MATCH('index match'!F$1,ECOMMERS_SALES[#Headers],0))</f>
        <v>8563</v>
      </c>
      <c r="G290">
        <f>INDEX('ECOMMERS SALES'!$A:$J,MATCH('index match'!$A290,'ECOMMERS SALES'!$C:$C,0),MATCH('index match'!G$1,ECOMMERS_SALES[#Headers],0))</f>
        <v>8563</v>
      </c>
      <c r="H290" t="str">
        <f>INDEX('ECOMMERS SALES'!$A:$J,MATCH('index match'!$A290,'ECOMMERS SALES'!$C:$C,0),MATCH('index match'!H$1,ECOMMERS_SALES[#Headers],0))</f>
        <v>Hyderabad</v>
      </c>
      <c r="I290" t="str">
        <f>INDEX('ECOMMERS SALES'!$A:$J,MATCH('index match'!$A290,'ECOMMERS SALES'!$C:$C,0),MATCH('index match'!I$1,ECOMMERS_SALES[#Headers],0))</f>
        <v>Returning</v>
      </c>
      <c r="J290" t="str">
        <f>INDEX('ECOMMERS SALES'!$A:$J,MATCH('index match'!$A290,'ECOMMERS SALES'!$C:$C,0),MATCH('index match'!J$1,ECOMMERS_SALES[#Headers],0))</f>
        <v>Card</v>
      </c>
    </row>
    <row r="291" spans="1:10" x14ac:dyDescent="0.35">
      <c r="A291" t="s">
        <v>44</v>
      </c>
      <c r="B291">
        <f>INDEX('ECOMMERS SALES'!$A:$J,MATCH('index match'!$A291,'ECOMMERS SALES'!$C:$C,0),MATCH('index match'!B$1,ECOMMERS_SALES[#Headers],0))</f>
        <v>1010</v>
      </c>
      <c r="C291" t="str">
        <f>INDEX('ECOMMERS SALES'!$A:$J,MATCH('index match'!$A291,'ECOMMERS SALES'!$C:$C,0),MATCH('index match'!C$1,ECOMMERS_SALES[#Headers],0))</f>
        <v>11-01-2025</v>
      </c>
      <c r="D291" t="str">
        <f>INDEX('ECOMMERS SALES'!$A:$J,MATCH('index match'!$A291,'ECOMMERS SALES'!$C:$C,0),MATCH('index match'!D$1,ECOMMERS_SALES[#Headers],0))</f>
        <v>Other</v>
      </c>
      <c r="E291">
        <f>INDEX('ECOMMERS SALES'!$A:$J,MATCH('index match'!$A291,'ECOMMERS SALES'!$C:$C,0),MATCH('index match'!E$1,ECOMMERS_SALES[#Headers],0))</f>
        <v>1</v>
      </c>
      <c r="F291">
        <f>INDEX('ECOMMERS SALES'!$A:$J,MATCH('index match'!$A291,'ECOMMERS SALES'!$C:$C,0),MATCH('index match'!F$1,ECOMMERS_SALES[#Headers],0))</f>
        <v>268</v>
      </c>
      <c r="G291">
        <f>INDEX('ECOMMERS SALES'!$A:$J,MATCH('index match'!$A291,'ECOMMERS SALES'!$C:$C,0),MATCH('index match'!G$1,ECOMMERS_SALES[#Headers],0))</f>
        <v>268</v>
      </c>
      <c r="H291" t="str">
        <f>INDEX('ECOMMERS SALES'!$A:$J,MATCH('index match'!$A291,'ECOMMERS SALES'!$C:$C,0),MATCH('index match'!H$1,ECOMMERS_SALES[#Headers],0))</f>
        <v>Chennai</v>
      </c>
      <c r="I291" t="str">
        <f>INDEX('ECOMMERS SALES'!$A:$J,MATCH('index match'!$A291,'ECOMMERS SALES'!$C:$C,0),MATCH('index match'!I$1,ECOMMERS_SALES[#Headers],0))</f>
        <v>New</v>
      </c>
      <c r="J291" t="str">
        <f>INDEX('ECOMMERS SALES'!$A:$J,MATCH('index match'!$A291,'ECOMMERS SALES'!$C:$C,0),MATCH('index match'!J$1,ECOMMERS_SALES[#Headers],0))</f>
        <v>UPI</v>
      </c>
    </row>
    <row r="292" spans="1:10" x14ac:dyDescent="0.35">
      <c r="A292" t="s">
        <v>11</v>
      </c>
      <c r="B292">
        <f>INDEX('ECOMMERS SALES'!$A:$J,MATCH('index match'!$A292,'ECOMMERS SALES'!$C:$C,0),MATCH('index match'!B$1,ECOMMERS_SALES[#Headers],0))</f>
        <v>1001</v>
      </c>
      <c r="C292" t="str">
        <f>INDEX('ECOMMERS SALES'!$A:$J,MATCH('index match'!$A292,'ECOMMERS SALES'!$C:$C,0),MATCH('index match'!C$1,ECOMMERS_SALES[#Headers],0))</f>
        <v>02-01-2025</v>
      </c>
      <c r="D292" t="str">
        <f>INDEX('ECOMMERS SALES'!$A:$J,MATCH('index match'!$A292,'ECOMMERS SALES'!$C:$C,0),MATCH('index match'!D$1,ECOMMERS_SALES[#Headers],0))</f>
        <v>Electronics</v>
      </c>
      <c r="E292">
        <f>INDEX('ECOMMERS SALES'!$A:$J,MATCH('index match'!$A292,'ECOMMERS SALES'!$C:$C,0),MATCH('index match'!E$1,ECOMMERS_SALES[#Headers],0))</f>
        <v>2</v>
      </c>
      <c r="F292">
        <f>INDEX('ECOMMERS SALES'!$A:$J,MATCH('index match'!$A292,'ECOMMERS SALES'!$C:$C,0),MATCH('index match'!F$1,ECOMMERS_SALES[#Headers],0))</f>
        <v>50353</v>
      </c>
      <c r="G292">
        <f>INDEX('ECOMMERS SALES'!$A:$J,MATCH('index match'!$A292,'ECOMMERS SALES'!$C:$C,0),MATCH('index match'!G$1,ECOMMERS_SALES[#Headers],0))</f>
        <v>100706</v>
      </c>
      <c r="H292" t="str">
        <f>INDEX('ECOMMERS SALES'!$A:$J,MATCH('index match'!$A292,'ECOMMERS SALES'!$C:$C,0),MATCH('index match'!H$1,ECOMMERS_SALES[#Headers],0))</f>
        <v>Chennai</v>
      </c>
      <c r="I292" t="str">
        <f>INDEX('ECOMMERS SALES'!$A:$J,MATCH('index match'!$A292,'ECOMMERS SALES'!$C:$C,0),MATCH('index match'!I$1,ECOMMERS_SALES[#Headers],0))</f>
        <v>Premimum</v>
      </c>
      <c r="J292" t="str">
        <f>INDEX('ECOMMERS SALES'!$A:$J,MATCH('index match'!$A292,'ECOMMERS SALES'!$C:$C,0),MATCH('index match'!J$1,ECOMMERS_SALES[#Headers],0))</f>
        <v>Card</v>
      </c>
    </row>
    <row r="293" spans="1:10" x14ac:dyDescent="0.35">
      <c r="A293" t="s">
        <v>17</v>
      </c>
      <c r="B293">
        <f>INDEX('ECOMMERS SALES'!$A:$J,MATCH('index match'!$A293,'ECOMMERS SALES'!$C:$C,0),MATCH('index match'!B$1,ECOMMERS_SALES[#Headers],0))</f>
        <v>1002</v>
      </c>
      <c r="C293" t="str">
        <f>INDEX('ECOMMERS SALES'!$A:$J,MATCH('index match'!$A293,'ECOMMERS SALES'!$C:$C,0),MATCH('index match'!C$1,ECOMMERS_SALES[#Headers],0))</f>
        <v>03-01-2025</v>
      </c>
      <c r="D293" t="str">
        <f>INDEX('ECOMMERS SALES'!$A:$J,MATCH('index match'!$A293,'ECOMMERS SALES'!$C:$C,0),MATCH('index match'!D$1,ECOMMERS_SALES[#Headers],0))</f>
        <v>Electronics</v>
      </c>
      <c r="E293">
        <f>INDEX('ECOMMERS SALES'!$A:$J,MATCH('index match'!$A293,'ECOMMERS SALES'!$C:$C,0),MATCH('index match'!E$1,ECOMMERS_SALES[#Headers],0))</f>
        <v>2</v>
      </c>
      <c r="F293">
        <f>INDEX('ECOMMERS SALES'!$A:$J,MATCH('index match'!$A293,'ECOMMERS SALES'!$C:$C,0),MATCH('index match'!F$1,ECOMMERS_SALES[#Headers],0))</f>
        <v>2008</v>
      </c>
      <c r="G293">
        <f>INDEX('ECOMMERS SALES'!$A:$J,MATCH('index match'!$A293,'ECOMMERS SALES'!$C:$C,0),MATCH('index match'!G$1,ECOMMERS_SALES[#Headers],0))</f>
        <v>4016</v>
      </c>
      <c r="H293" t="str">
        <f>INDEX('ECOMMERS SALES'!$A:$J,MATCH('index match'!$A293,'ECOMMERS SALES'!$C:$C,0),MATCH('index match'!H$1,ECOMMERS_SALES[#Headers],0))</f>
        <v>Delhi</v>
      </c>
      <c r="I293" t="str">
        <f>INDEX('ECOMMERS SALES'!$A:$J,MATCH('index match'!$A293,'ECOMMERS SALES'!$C:$C,0),MATCH('index match'!I$1,ECOMMERS_SALES[#Headers],0))</f>
        <v>New</v>
      </c>
      <c r="J293" t="str">
        <f>INDEX('ECOMMERS SALES'!$A:$J,MATCH('index match'!$A293,'ECOMMERS SALES'!$C:$C,0),MATCH('index match'!J$1,ECOMMERS_SALES[#Headers],0))</f>
        <v>UPI</v>
      </c>
    </row>
    <row r="294" spans="1:10" x14ac:dyDescent="0.35">
      <c r="A294" t="s">
        <v>22</v>
      </c>
      <c r="B294">
        <f>INDEX('ECOMMERS SALES'!$A:$J,MATCH('index match'!$A294,'ECOMMERS SALES'!$C:$C,0),MATCH('index match'!B$1,ECOMMERS_SALES[#Headers],0))</f>
        <v>1003</v>
      </c>
      <c r="C294" t="str">
        <f>INDEX('ECOMMERS SALES'!$A:$J,MATCH('index match'!$A294,'ECOMMERS SALES'!$C:$C,0),MATCH('index match'!C$1,ECOMMERS_SALES[#Headers],0))</f>
        <v>04-01-2025</v>
      </c>
      <c r="D294" t="str">
        <f>INDEX('ECOMMERS SALES'!$A:$J,MATCH('index match'!$A294,'ECOMMERS SALES'!$C:$C,0),MATCH('index match'!D$1,ECOMMERS_SALES[#Headers],0))</f>
        <v>Fashion</v>
      </c>
      <c r="E294">
        <f>INDEX('ECOMMERS SALES'!$A:$J,MATCH('index match'!$A294,'ECOMMERS SALES'!$C:$C,0),MATCH('index match'!E$1,ECOMMERS_SALES[#Headers],0))</f>
        <v>1</v>
      </c>
      <c r="F294">
        <f>INDEX('ECOMMERS SALES'!$A:$J,MATCH('index match'!$A294,'ECOMMERS SALES'!$C:$C,0),MATCH('index match'!F$1,ECOMMERS_SALES[#Headers],0))</f>
        <v>4736</v>
      </c>
      <c r="G294">
        <f>INDEX('ECOMMERS SALES'!$A:$J,MATCH('index match'!$A294,'ECOMMERS SALES'!$C:$C,0),MATCH('index match'!G$1,ECOMMERS_SALES[#Headers],0))</f>
        <v>4736</v>
      </c>
      <c r="H294" t="str">
        <f>INDEX('ECOMMERS SALES'!$A:$J,MATCH('index match'!$A294,'ECOMMERS SALES'!$C:$C,0),MATCH('index match'!H$1,ECOMMERS_SALES[#Headers],0))</f>
        <v>Chennai</v>
      </c>
      <c r="I294" t="str">
        <f>INDEX('ECOMMERS SALES'!$A:$J,MATCH('index match'!$A294,'ECOMMERS SALES'!$C:$C,0),MATCH('index match'!I$1,ECOMMERS_SALES[#Headers],0))</f>
        <v>New</v>
      </c>
      <c r="J294" t="str">
        <f>INDEX('ECOMMERS SALES'!$A:$J,MATCH('index match'!$A294,'ECOMMERS SALES'!$C:$C,0),MATCH('index match'!J$1,ECOMMERS_SALES[#Headers],0))</f>
        <v>UPI</v>
      </c>
    </row>
    <row r="295" spans="1:10" x14ac:dyDescent="0.35">
      <c r="A295" t="s">
        <v>25</v>
      </c>
      <c r="B295">
        <f>INDEX('ECOMMERS SALES'!$A:$J,MATCH('index match'!$A295,'ECOMMERS SALES'!$C:$C,0),MATCH('index match'!B$1,ECOMMERS_SALES[#Headers],0))</f>
        <v>1004</v>
      </c>
      <c r="C295" t="str">
        <f>INDEX('ECOMMERS SALES'!$A:$J,MATCH('index match'!$A295,'ECOMMERS SALES'!$C:$C,0),MATCH('index match'!C$1,ECOMMERS_SALES[#Headers],0))</f>
        <v>05-01-2025</v>
      </c>
      <c r="D295" t="str">
        <f>INDEX('ECOMMERS SALES'!$A:$J,MATCH('index match'!$A295,'ECOMMERS SALES'!$C:$C,0),MATCH('index match'!D$1,ECOMMERS_SALES[#Headers],0))</f>
        <v>Other</v>
      </c>
      <c r="E295">
        <f>INDEX('ECOMMERS SALES'!$A:$J,MATCH('index match'!$A295,'ECOMMERS SALES'!$C:$C,0),MATCH('index match'!E$1,ECOMMERS_SALES[#Headers],0))</f>
        <v>2</v>
      </c>
      <c r="F295">
        <f>INDEX('ECOMMERS SALES'!$A:$J,MATCH('index match'!$A295,'ECOMMERS SALES'!$C:$C,0),MATCH('index match'!F$1,ECOMMERS_SALES[#Headers],0))</f>
        <v>10072</v>
      </c>
      <c r="G295">
        <f>INDEX('ECOMMERS SALES'!$A:$J,MATCH('index match'!$A295,'ECOMMERS SALES'!$C:$C,0),MATCH('index match'!G$1,ECOMMERS_SALES[#Headers],0))</f>
        <v>20144</v>
      </c>
      <c r="H295" t="str">
        <f>INDEX('ECOMMERS SALES'!$A:$J,MATCH('index match'!$A295,'ECOMMERS SALES'!$C:$C,0),MATCH('index match'!H$1,ECOMMERS_SALES[#Headers],0))</f>
        <v>Pune</v>
      </c>
      <c r="I295" t="str">
        <f>INDEX('ECOMMERS SALES'!$A:$J,MATCH('index match'!$A295,'ECOMMERS SALES'!$C:$C,0),MATCH('index match'!I$1,ECOMMERS_SALES[#Headers],0))</f>
        <v>Premimum</v>
      </c>
      <c r="J295" t="str">
        <f>INDEX('ECOMMERS SALES'!$A:$J,MATCH('index match'!$A295,'ECOMMERS SALES'!$C:$C,0),MATCH('index match'!J$1,ECOMMERS_SALES[#Headers],0))</f>
        <v>Card</v>
      </c>
    </row>
    <row r="296" spans="1:10" x14ac:dyDescent="0.35">
      <c r="A296" t="s">
        <v>29</v>
      </c>
      <c r="B296">
        <f>INDEX('ECOMMERS SALES'!$A:$J,MATCH('index match'!$A296,'ECOMMERS SALES'!$C:$C,0),MATCH('index match'!B$1,ECOMMERS_SALES[#Headers],0))</f>
        <v>1005</v>
      </c>
      <c r="C296" t="str">
        <f>INDEX('ECOMMERS SALES'!$A:$J,MATCH('index match'!$A296,'ECOMMERS SALES'!$C:$C,0),MATCH('index match'!C$1,ECOMMERS_SALES[#Headers],0))</f>
        <v>06-01-2025</v>
      </c>
      <c r="D296" t="str">
        <f>INDEX('ECOMMERS SALES'!$A:$J,MATCH('index match'!$A296,'ECOMMERS SALES'!$C:$C,0),MATCH('index match'!D$1,ECOMMERS_SALES[#Headers],0))</f>
        <v>Other</v>
      </c>
      <c r="E296">
        <f>INDEX('ECOMMERS SALES'!$A:$J,MATCH('index match'!$A296,'ECOMMERS SALES'!$C:$C,0),MATCH('index match'!E$1,ECOMMERS_SALES[#Headers],0))</f>
        <v>2</v>
      </c>
      <c r="F296">
        <f>INDEX('ECOMMERS SALES'!$A:$J,MATCH('index match'!$A296,'ECOMMERS SALES'!$C:$C,0),MATCH('index match'!F$1,ECOMMERS_SALES[#Headers],0))</f>
        <v>920</v>
      </c>
      <c r="G296">
        <f>INDEX('ECOMMERS SALES'!$A:$J,MATCH('index match'!$A296,'ECOMMERS SALES'!$C:$C,0),MATCH('index match'!G$1,ECOMMERS_SALES[#Headers],0))</f>
        <v>1840</v>
      </c>
      <c r="H296" t="str">
        <f>INDEX('ECOMMERS SALES'!$A:$J,MATCH('index match'!$A296,'ECOMMERS SALES'!$C:$C,0),MATCH('index match'!H$1,ECOMMERS_SALES[#Headers],0))</f>
        <v>Pune</v>
      </c>
      <c r="I296" t="str">
        <f>INDEX('ECOMMERS SALES'!$A:$J,MATCH('index match'!$A296,'ECOMMERS SALES'!$C:$C,0),MATCH('index match'!I$1,ECOMMERS_SALES[#Headers],0))</f>
        <v>New</v>
      </c>
      <c r="J296" t="str">
        <f>INDEX('ECOMMERS SALES'!$A:$J,MATCH('index match'!$A296,'ECOMMERS SALES'!$C:$C,0),MATCH('index match'!J$1,ECOMMERS_SALES[#Headers],0))</f>
        <v>UPI</v>
      </c>
    </row>
    <row r="297" spans="1:10" x14ac:dyDescent="0.35">
      <c r="A297" t="s">
        <v>31</v>
      </c>
      <c r="B297">
        <f>INDEX('ECOMMERS SALES'!$A:$J,MATCH('index match'!$A297,'ECOMMERS SALES'!$C:$C,0),MATCH('index match'!B$1,ECOMMERS_SALES[#Headers],0))</f>
        <v>1006</v>
      </c>
      <c r="C297" t="str">
        <f>INDEX('ECOMMERS SALES'!$A:$J,MATCH('index match'!$A297,'ECOMMERS SALES'!$C:$C,0),MATCH('index match'!C$1,ECOMMERS_SALES[#Headers],0))</f>
        <v>07-01-2025</v>
      </c>
      <c r="D297" t="str">
        <f>INDEX('ECOMMERS SALES'!$A:$J,MATCH('index match'!$A297,'ECOMMERS SALES'!$C:$C,0),MATCH('index match'!D$1,ECOMMERS_SALES[#Headers],0))</f>
        <v>Electronics</v>
      </c>
      <c r="E297">
        <f>INDEX('ECOMMERS SALES'!$A:$J,MATCH('index match'!$A297,'ECOMMERS SALES'!$C:$C,0),MATCH('index match'!E$1,ECOMMERS_SALES[#Headers],0))</f>
        <v>1</v>
      </c>
      <c r="F297">
        <f>INDEX('ECOMMERS SALES'!$A:$J,MATCH('index match'!$A297,'ECOMMERS SALES'!$C:$C,0),MATCH('index match'!F$1,ECOMMERS_SALES[#Headers],0))</f>
        <v>13225</v>
      </c>
      <c r="G297">
        <f>INDEX('ECOMMERS SALES'!$A:$J,MATCH('index match'!$A297,'ECOMMERS SALES'!$C:$C,0),MATCH('index match'!G$1,ECOMMERS_SALES[#Headers],0))</f>
        <v>13225</v>
      </c>
      <c r="H297" t="str">
        <f>INDEX('ECOMMERS SALES'!$A:$J,MATCH('index match'!$A297,'ECOMMERS SALES'!$C:$C,0),MATCH('index match'!H$1,ECOMMERS_SALES[#Headers],0))</f>
        <v>Delhi</v>
      </c>
      <c r="I297" t="str">
        <f>INDEX('ECOMMERS SALES'!$A:$J,MATCH('index match'!$A297,'ECOMMERS SALES'!$C:$C,0),MATCH('index match'!I$1,ECOMMERS_SALES[#Headers],0))</f>
        <v>Returning</v>
      </c>
      <c r="J297" t="str">
        <f>INDEX('ECOMMERS SALES'!$A:$J,MATCH('index match'!$A297,'ECOMMERS SALES'!$C:$C,0),MATCH('index match'!J$1,ECOMMERS_SALES[#Headers],0))</f>
        <v>COD</v>
      </c>
    </row>
    <row r="298" spans="1:10" x14ac:dyDescent="0.35">
      <c r="A298" t="s">
        <v>35</v>
      </c>
      <c r="B298">
        <f>INDEX('ECOMMERS SALES'!$A:$J,MATCH('index match'!$A298,'ECOMMERS SALES'!$C:$C,0),MATCH('index match'!B$1,ECOMMERS_SALES[#Headers],0))</f>
        <v>1007</v>
      </c>
      <c r="C298" t="str">
        <f>INDEX('ECOMMERS SALES'!$A:$J,MATCH('index match'!$A298,'ECOMMERS SALES'!$C:$C,0),MATCH('index match'!C$1,ECOMMERS_SALES[#Headers],0))</f>
        <v>08-01-2025</v>
      </c>
      <c r="D298" t="str">
        <f>INDEX('ECOMMERS SALES'!$A:$J,MATCH('index match'!$A298,'ECOMMERS SALES'!$C:$C,0),MATCH('index match'!D$1,ECOMMERS_SALES[#Headers],0))</f>
        <v>Books</v>
      </c>
      <c r="E298">
        <f>INDEX('ECOMMERS SALES'!$A:$J,MATCH('index match'!$A298,'ECOMMERS SALES'!$C:$C,0),MATCH('index match'!E$1,ECOMMERS_SALES[#Headers],0))</f>
        <v>3</v>
      </c>
      <c r="F298">
        <f>INDEX('ECOMMERS SALES'!$A:$J,MATCH('index match'!$A298,'ECOMMERS SALES'!$C:$C,0),MATCH('index match'!F$1,ECOMMERS_SALES[#Headers],0))</f>
        <v>621</v>
      </c>
      <c r="G298">
        <f>INDEX('ECOMMERS SALES'!$A:$J,MATCH('index match'!$A298,'ECOMMERS SALES'!$C:$C,0),MATCH('index match'!G$1,ECOMMERS_SALES[#Headers],0))</f>
        <v>1863</v>
      </c>
      <c r="H298" t="str">
        <f>INDEX('ECOMMERS SALES'!$A:$J,MATCH('index match'!$A298,'ECOMMERS SALES'!$C:$C,0),MATCH('index match'!H$1,ECOMMERS_SALES[#Headers],0))</f>
        <v>Hyderabad</v>
      </c>
      <c r="I298" t="str">
        <f>INDEX('ECOMMERS SALES'!$A:$J,MATCH('index match'!$A298,'ECOMMERS SALES'!$C:$C,0),MATCH('index match'!I$1,ECOMMERS_SALES[#Headers],0))</f>
        <v>Premimum</v>
      </c>
      <c r="J298" t="str">
        <f>INDEX('ECOMMERS SALES'!$A:$J,MATCH('index match'!$A298,'ECOMMERS SALES'!$C:$C,0),MATCH('index match'!J$1,ECOMMERS_SALES[#Headers],0))</f>
        <v>UPI</v>
      </c>
    </row>
    <row r="299" spans="1:10" x14ac:dyDescent="0.35">
      <c r="A299" t="s">
        <v>39</v>
      </c>
      <c r="B299">
        <f>INDEX('ECOMMERS SALES'!$A:$J,MATCH('index match'!$A299,'ECOMMERS SALES'!$C:$C,0),MATCH('index match'!B$1,ECOMMERS_SALES[#Headers],0))</f>
        <v>1008</v>
      </c>
      <c r="C299" t="str">
        <f>INDEX('ECOMMERS SALES'!$A:$J,MATCH('index match'!$A299,'ECOMMERS SALES'!$C:$C,0),MATCH('index match'!C$1,ECOMMERS_SALES[#Headers],0))</f>
        <v>09-01-2025</v>
      </c>
      <c r="D299" t="str">
        <f>INDEX('ECOMMERS SALES'!$A:$J,MATCH('index match'!$A299,'ECOMMERS SALES'!$C:$C,0),MATCH('index match'!D$1,ECOMMERS_SALES[#Headers],0))</f>
        <v>Fashion</v>
      </c>
      <c r="E299">
        <f>INDEX('ECOMMERS SALES'!$A:$J,MATCH('index match'!$A299,'ECOMMERS SALES'!$C:$C,0),MATCH('index match'!E$1,ECOMMERS_SALES[#Headers],0))</f>
        <v>2</v>
      </c>
      <c r="F299">
        <f>INDEX('ECOMMERS SALES'!$A:$J,MATCH('index match'!$A299,'ECOMMERS SALES'!$C:$C,0),MATCH('index match'!F$1,ECOMMERS_SALES[#Headers],0))</f>
        <v>905</v>
      </c>
      <c r="G299">
        <f>INDEX('ECOMMERS SALES'!$A:$J,MATCH('index match'!$A299,'ECOMMERS SALES'!$C:$C,0),MATCH('index match'!G$1,ECOMMERS_SALES[#Headers],0))</f>
        <v>1810</v>
      </c>
      <c r="H299" t="str">
        <f>INDEX('ECOMMERS SALES'!$A:$J,MATCH('index match'!$A299,'ECOMMERS SALES'!$C:$C,0),MATCH('index match'!H$1,ECOMMERS_SALES[#Headers],0))</f>
        <v>Bangalore</v>
      </c>
      <c r="I299" t="str">
        <f>INDEX('ECOMMERS SALES'!$A:$J,MATCH('index match'!$A299,'ECOMMERS SALES'!$C:$C,0),MATCH('index match'!I$1,ECOMMERS_SALES[#Headers],0))</f>
        <v>New</v>
      </c>
      <c r="J299" t="str">
        <f>INDEX('ECOMMERS SALES'!$A:$J,MATCH('index match'!$A299,'ECOMMERS SALES'!$C:$C,0),MATCH('index match'!J$1,ECOMMERS_SALES[#Headers],0))</f>
        <v>COD</v>
      </c>
    </row>
    <row r="300" spans="1:10" x14ac:dyDescent="0.35">
      <c r="A300" t="s">
        <v>42</v>
      </c>
      <c r="B300">
        <f>INDEX('ECOMMERS SALES'!$A:$J,MATCH('index match'!$A300,'ECOMMERS SALES'!$C:$C,0),MATCH('index match'!B$1,ECOMMERS_SALES[#Headers],0))</f>
        <v>1009</v>
      </c>
      <c r="C300" t="str">
        <f>INDEX('ECOMMERS SALES'!$A:$J,MATCH('index match'!$A300,'ECOMMERS SALES'!$C:$C,0),MATCH('index match'!C$1,ECOMMERS_SALES[#Headers],0))</f>
        <v>10-01-2025</v>
      </c>
      <c r="D300" t="str">
        <f>INDEX('ECOMMERS SALES'!$A:$J,MATCH('index match'!$A300,'ECOMMERS SALES'!$C:$C,0),MATCH('index match'!D$1,ECOMMERS_SALES[#Headers],0))</f>
        <v>Electronics</v>
      </c>
      <c r="E300">
        <f>INDEX('ECOMMERS SALES'!$A:$J,MATCH('index match'!$A300,'ECOMMERS SALES'!$C:$C,0),MATCH('index match'!E$1,ECOMMERS_SALES[#Headers],0))</f>
        <v>1</v>
      </c>
      <c r="F300">
        <f>INDEX('ECOMMERS SALES'!$A:$J,MATCH('index match'!$A300,'ECOMMERS SALES'!$C:$C,0),MATCH('index match'!F$1,ECOMMERS_SALES[#Headers],0))</f>
        <v>8563</v>
      </c>
      <c r="G300">
        <f>INDEX('ECOMMERS SALES'!$A:$J,MATCH('index match'!$A300,'ECOMMERS SALES'!$C:$C,0),MATCH('index match'!G$1,ECOMMERS_SALES[#Headers],0))</f>
        <v>8563</v>
      </c>
      <c r="H300" t="str">
        <f>INDEX('ECOMMERS SALES'!$A:$J,MATCH('index match'!$A300,'ECOMMERS SALES'!$C:$C,0),MATCH('index match'!H$1,ECOMMERS_SALES[#Headers],0))</f>
        <v>Hyderabad</v>
      </c>
      <c r="I300" t="str">
        <f>INDEX('ECOMMERS SALES'!$A:$J,MATCH('index match'!$A300,'ECOMMERS SALES'!$C:$C,0),MATCH('index match'!I$1,ECOMMERS_SALES[#Headers],0))</f>
        <v>Returning</v>
      </c>
      <c r="J300" t="str">
        <f>INDEX('ECOMMERS SALES'!$A:$J,MATCH('index match'!$A300,'ECOMMERS SALES'!$C:$C,0),MATCH('index match'!J$1,ECOMMERS_SALES[#Headers],0))</f>
        <v>Card</v>
      </c>
    </row>
    <row r="301" spans="1:10" x14ac:dyDescent="0.35">
      <c r="A301" t="s">
        <v>44</v>
      </c>
      <c r="B301">
        <f>INDEX('ECOMMERS SALES'!$A:$J,MATCH('index match'!$A301,'ECOMMERS SALES'!$C:$C,0),MATCH('index match'!B$1,ECOMMERS_SALES[#Headers],0))</f>
        <v>1010</v>
      </c>
      <c r="C301" t="str">
        <f>INDEX('ECOMMERS SALES'!$A:$J,MATCH('index match'!$A301,'ECOMMERS SALES'!$C:$C,0),MATCH('index match'!C$1,ECOMMERS_SALES[#Headers],0))</f>
        <v>11-01-2025</v>
      </c>
      <c r="D301" t="str">
        <f>INDEX('ECOMMERS SALES'!$A:$J,MATCH('index match'!$A301,'ECOMMERS SALES'!$C:$C,0),MATCH('index match'!D$1,ECOMMERS_SALES[#Headers],0))</f>
        <v>Other</v>
      </c>
      <c r="E301">
        <f>INDEX('ECOMMERS SALES'!$A:$J,MATCH('index match'!$A301,'ECOMMERS SALES'!$C:$C,0),MATCH('index match'!E$1,ECOMMERS_SALES[#Headers],0))</f>
        <v>1</v>
      </c>
      <c r="F301">
        <f>INDEX('ECOMMERS SALES'!$A:$J,MATCH('index match'!$A301,'ECOMMERS SALES'!$C:$C,0),MATCH('index match'!F$1,ECOMMERS_SALES[#Headers],0))</f>
        <v>268</v>
      </c>
      <c r="G301">
        <f>INDEX('ECOMMERS SALES'!$A:$J,MATCH('index match'!$A301,'ECOMMERS SALES'!$C:$C,0),MATCH('index match'!G$1,ECOMMERS_SALES[#Headers],0))</f>
        <v>268</v>
      </c>
      <c r="H301" t="str">
        <f>INDEX('ECOMMERS SALES'!$A:$J,MATCH('index match'!$A301,'ECOMMERS SALES'!$C:$C,0),MATCH('index match'!H$1,ECOMMERS_SALES[#Headers],0))</f>
        <v>Chennai</v>
      </c>
      <c r="I301" t="str">
        <f>INDEX('ECOMMERS SALES'!$A:$J,MATCH('index match'!$A301,'ECOMMERS SALES'!$C:$C,0),MATCH('index match'!I$1,ECOMMERS_SALES[#Headers],0))</f>
        <v>New</v>
      </c>
      <c r="J301" t="str">
        <f>INDEX('ECOMMERS SALES'!$A:$J,MATCH('index match'!$A301,'ECOMMERS SALES'!$C:$C,0),MATCH('index match'!J$1,ECOMMERS_SALES[#Headers],0))</f>
        <v>UPI</v>
      </c>
    </row>
    <row r="302" spans="1:10" x14ac:dyDescent="0.35">
      <c r="A302" t="s">
        <v>11</v>
      </c>
      <c r="B302">
        <f>INDEX('ECOMMERS SALES'!$A:$J,MATCH('index match'!$A302,'ECOMMERS SALES'!$C:$C,0),MATCH('index match'!B$1,ECOMMERS_SALES[#Headers],0))</f>
        <v>1001</v>
      </c>
      <c r="C302" t="str">
        <f>INDEX('ECOMMERS SALES'!$A:$J,MATCH('index match'!$A302,'ECOMMERS SALES'!$C:$C,0),MATCH('index match'!C$1,ECOMMERS_SALES[#Headers],0))</f>
        <v>02-01-2025</v>
      </c>
      <c r="D302" t="str">
        <f>INDEX('ECOMMERS SALES'!$A:$J,MATCH('index match'!$A302,'ECOMMERS SALES'!$C:$C,0),MATCH('index match'!D$1,ECOMMERS_SALES[#Headers],0))</f>
        <v>Electronics</v>
      </c>
      <c r="E302">
        <f>INDEX('ECOMMERS SALES'!$A:$J,MATCH('index match'!$A302,'ECOMMERS SALES'!$C:$C,0),MATCH('index match'!E$1,ECOMMERS_SALES[#Headers],0))</f>
        <v>2</v>
      </c>
      <c r="F302">
        <f>INDEX('ECOMMERS SALES'!$A:$J,MATCH('index match'!$A302,'ECOMMERS SALES'!$C:$C,0),MATCH('index match'!F$1,ECOMMERS_SALES[#Headers],0))</f>
        <v>50353</v>
      </c>
      <c r="G302">
        <f>INDEX('ECOMMERS SALES'!$A:$J,MATCH('index match'!$A302,'ECOMMERS SALES'!$C:$C,0),MATCH('index match'!G$1,ECOMMERS_SALES[#Headers],0))</f>
        <v>100706</v>
      </c>
      <c r="H302" t="str">
        <f>INDEX('ECOMMERS SALES'!$A:$J,MATCH('index match'!$A302,'ECOMMERS SALES'!$C:$C,0),MATCH('index match'!H$1,ECOMMERS_SALES[#Headers],0))</f>
        <v>Chennai</v>
      </c>
      <c r="I302" t="str">
        <f>INDEX('ECOMMERS SALES'!$A:$J,MATCH('index match'!$A302,'ECOMMERS SALES'!$C:$C,0),MATCH('index match'!I$1,ECOMMERS_SALES[#Headers],0))</f>
        <v>Premimum</v>
      </c>
      <c r="J302" t="str">
        <f>INDEX('ECOMMERS SALES'!$A:$J,MATCH('index match'!$A302,'ECOMMERS SALES'!$C:$C,0),MATCH('index match'!J$1,ECOMMERS_SALES[#Headers],0))</f>
        <v>Card</v>
      </c>
    </row>
    <row r="303" spans="1:10" x14ac:dyDescent="0.35">
      <c r="A303" t="s">
        <v>17</v>
      </c>
      <c r="B303">
        <f>INDEX('ECOMMERS SALES'!$A:$J,MATCH('index match'!$A303,'ECOMMERS SALES'!$C:$C,0),MATCH('index match'!B$1,ECOMMERS_SALES[#Headers],0))</f>
        <v>1002</v>
      </c>
      <c r="C303" t="str">
        <f>INDEX('ECOMMERS SALES'!$A:$J,MATCH('index match'!$A303,'ECOMMERS SALES'!$C:$C,0),MATCH('index match'!C$1,ECOMMERS_SALES[#Headers],0))</f>
        <v>03-01-2025</v>
      </c>
      <c r="D303" t="str">
        <f>INDEX('ECOMMERS SALES'!$A:$J,MATCH('index match'!$A303,'ECOMMERS SALES'!$C:$C,0),MATCH('index match'!D$1,ECOMMERS_SALES[#Headers],0))</f>
        <v>Electronics</v>
      </c>
      <c r="E303">
        <f>INDEX('ECOMMERS SALES'!$A:$J,MATCH('index match'!$A303,'ECOMMERS SALES'!$C:$C,0),MATCH('index match'!E$1,ECOMMERS_SALES[#Headers],0))</f>
        <v>2</v>
      </c>
      <c r="F303">
        <f>INDEX('ECOMMERS SALES'!$A:$J,MATCH('index match'!$A303,'ECOMMERS SALES'!$C:$C,0),MATCH('index match'!F$1,ECOMMERS_SALES[#Headers],0))</f>
        <v>2008</v>
      </c>
      <c r="G303">
        <f>INDEX('ECOMMERS SALES'!$A:$J,MATCH('index match'!$A303,'ECOMMERS SALES'!$C:$C,0),MATCH('index match'!G$1,ECOMMERS_SALES[#Headers],0))</f>
        <v>4016</v>
      </c>
      <c r="H303" t="str">
        <f>INDEX('ECOMMERS SALES'!$A:$J,MATCH('index match'!$A303,'ECOMMERS SALES'!$C:$C,0),MATCH('index match'!H$1,ECOMMERS_SALES[#Headers],0))</f>
        <v>Delhi</v>
      </c>
      <c r="I303" t="str">
        <f>INDEX('ECOMMERS SALES'!$A:$J,MATCH('index match'!$A303,'ECOMMERS SALES'!$C:$C,0),MATCH('index match'!I$1,ECOMMERS_SALES[#Headers],0))</f>
        <v>New</v>
      </c>
      <c r="J303" t="str">
        <f>INDEX('ECOMMERS SALES'!$A:$J,MATCH('index match'!$A303,'ECOMMERS SALES'!$C:$C,0),MATCH('index match'!J$1,ECOMMERS_SALES[#Headers],0))</f>
        <v>UPI</v>
      </c>
    </row>
    <row r="304" spans="1:10" x14ac:dyDescent="0.35">
      <c r="A304" t="s">
        <v>22</v>
      </c>
      <c r="B304">
        <f>INDEX('ECOMMERS SALES'!$A:$J,MATCH('index match'!$A304,'ECOMMERS SALES'!$C:$C,0),MATCH('index match'!B$1,ECOMMERS_SALES[#Headers],0))</f>
        <v>1003</v>
      </c>
      <c r="C304" t="str">
        <f>INDEX('ECOMMERS SALES'!$A:$J,MATCH('index match'!$A304,'ECOMMERS SALES'!$C:$C,0),MATCH('index match'!C$1,ECOMMERS_SALES[#Headers],0))</f>
        <v>04-01-2025</v>
      </c>
      <c r="D304" t="str">
        <f>INDEX('ECOMMERS SALES'!$A:$J,MATCH('index match'!$A304,'ECOMMERS SALES'!$C:$C,0),MATCH('index match'!D$1,ECOMMERS_SALES[#Headers],0))</f>
        <v>Fashion</v>
      </c>
      <c r="E304">
        <f>INDEX('ECOMMERS SALES'!$A:$J,MATCH('index match'!$A304,'ECOMMERS SALES'!$C:$C,0),MATCH('index match'!E$1,ECOMMERS_SALES[#Headers],0))</f>
        <v>1</v>
      </c>
      <c r="F304">
        <f>INDEX('ECOMMERS SALES'!$A:$J,MATCH('index match'!$A304,'ECOMMERS SALES'!$C:$C,0),MATCH('index match'!F$1,ECOMMERS_SALES[#Headers],0))</f>
        <v>4736</v>
      </c>
      <c r="G304">
        <f>INDEX('ECOMMERS SALES'!$A:$J,MATCH('index match'!$A304,'ECOMMERS SALES'!$C:$C,0),MATCH('index match'!G$1,ECOMMERS_SALES[#Headers],0))</f>
        <v>4736</v>
      </c>
      <c r="H304" t="str">
        <f>INDEX('ECOMMERS SALES'!$A:$J,MATCH('index match'!$A304,'ECOMMERS SALES'!$C:$C,0),MATCH('index match'!H$1,ECOMMERS_SALES[#Headers],0))</f>
        <v>Chennai</v>
      </c>
      <c r="I304" t="str">
        <f>INDEX('ECOMMERS SALES'!$A:$J,MATCH('index match'!$A304,'ECOMMERS SALES'!$C:$C,0),MATCH('index match'!I$1,ECOMMERS_SALES[#Headers],0))</f>
        <v>New</v>
      </c>
      <c r="J304" t="str">
        <f>INDEX('ECOMMERS SALES'!$A:$J,MATCH('index match'!$A304,'ECOMMERS SALES'!$C:$C,0),MATCH('index match'!J$1,ECOMMERS_SALES[#Headers],0))</f>
        <v>UPI</v>
      </c>
    </row>
    <row r="305" spans="1:10" x14ac:dyDescent="0.35">
      <c r="A305" t="s">
        <v>25</v>
      </c>
      <c r="B305">
        <f>INDEX('ECOMMERS SALES'!$A:$J,MATCH('index match'!$A305,'ECOMMERS SALES'!$C:$C,0),MATCH('index match'!B$1,ECOMMERS_SALES[#Headers],0))</f>
        <v>1004</v>
      </c>
      <c r="C305" t="str">
        <f>INDEX('ECOMMERS SALES'!$A:$J,MATCH('index match'!$A305,'ECOMMERS SALES'!$C:$C,0),MATCH('index match'!C$1,ECOMMERS_SALES[#Headers],0))</f>
        <v>05-01-2025</v>
      </c>
      <c r="D305" t="str">
        <f>INDEX('ECOMMERS SALES'!$A:$J,MATCH('index match'!$A305,'ECOMMERS SALES'!$C:$C,0),MATCH('index match'!D$1,ECOMMERS_SALES[#Headers],0))</f>
        <v>Other</v>
      </c>
      <c r="E305">
        <f>INDEX('ECOMMERS SALES'!$A:$J,MATCH('index match'!$A305,'ECOMMERS SALES'!$C:$C,0),MATCH('index match'!E$1,ECOMMERS_SALES[#Headers],0))</f>
        <v>2</v>
      </c>
      <c r="F305">
        <f>INDEX('ECOMMERS SALES'!$A:$J,MATCH('index match'!$A305,'ECOMMERS SALES'!$C:$C,0),MATCH('index match'!F$1,ECOMMERS_SALES[#Headers],0))</f>
        <v>10072</v>
      </c>
      <c r="G305">
        <f>INDEX('ECOMMERS SALES'!$A:$J,MATCH('index match'!$A305,'ECOMMERS SALES'!$C:$C,0),MATCH('index match'!G$1,ECOMMERS_SALES[#Headers],0))</f>
        <v>20144</v>
      </c>
      <c r="H305" t="str">
        <f>INDEX('ECOMMERS SALES'!$A:$J,MATCH('index match'!$A305,'ECOMMERS SALES'!$C:$C,0),MATCH('index match'!H$1,ECOMMERS_SALES[#Headers],0))</f>
        <v>Pune</v>
      </c>
      <c r="I305" t="str">
        <f>INDEX('ECOMMERS SALES'!$A:$J,MATCH('index match'!$A305,'ECOMMERS SALES'!$C:$C,0),MATCH('index match'!I$1,ECOMMERS_SALES[#Headers],0))</f>
        <v>Premimum</v>
      </c>
      <c r="J305" t="str">
        <f>INDEX('ECOMMERS SALES'!$A:$J,MATCH('index match'!$A305,'ECOMMERS SALES'!$C:$C,0),MATCH('index match'!J$1,ECOMMERS_SALES[#Headers],0))</f>
        <v>Card</v>
      </c>
    </row>
    <row r="306" spans="1:10" x14ac:dyDescent="0.35">
      <c r="A306" t="s">
        <v>29</v>
      </c>
      <c r="B306">
        <f>INDEX('ECOMMERS SALES'!$A:$J,MATCH('index match'!$A306,'ECOMMERS SALES'!$C:$C,0),MATCH('index match'!B$1,ECOMMERS_SALES[#Headers],0))</f>
        <v>1005</v>
      </c>
      <c r="C306" t="str">
        <f>INDEX('ECOMMERS SALES'!$A:$J,MATCH('index match'!$A306,'ECOMMERS SALES'!$C:$C,0),MATCH('index match'!C$1,ECOMMERS_SALES[#Headers],0))</f>
        <v>06-01-2025</v>
      </c>
      <c r="D306" t="str">
        <f>INDEX('ECOMMERS SALES'!$A:$J,MATCH('index match'!$A306,'ECOMMERS SALES'!$C:$C,0),MATCH('index match'!D$1,ECOMMERS_SALES[#Headers],0))</f>
        <v>Other</v>
      </c>
      <c r="E306">
        <f>INDEX('ECOMMERS SALES'!$A:$J,MATCH('index match'!$A306,'ECOMMERS SALES'!$C:$C,0),MATCH('index match'!E$1,ECOMMERS_SALES[#Headers],0))</f>
        <v>2</v>
      </c>
      <c r="F306">
        <f>INDEX('ECOMMERS SALES'!$A:$J,MATCH('index match'!$A306,'ECOMMERS SALES'!$C:$C,0),MATCH('index match'!F$1,ECOMMERS_SALES[#Headers],0))</f>
        <v>920</v>
      </c>
      <c r="G306">
        <f>INDEX('ECOMMERS SALES'!$A:$J,MATCH('index match'!$A306,'ECOMMERS SALES'!$C:$C,0),MATCH('index match'!G$1,ECOMMERS_SALES[#Headers],0))</f>
        <v>1840</v>
      </c>
      <c r="H306" t="str">
        <f>INDEX('ECOMMERS SALES'!$A:$J,MATCH('index match'!$A306,'ECOMMERS SALES'!$C:$C,0),MATCH('index match'!H$1,ECOMMERS_SALES[#Headers],0))</f>
        <v>Pune</v>
      </c>
      <c r="I306" t="str">
        <f>INDEX('ECOMMERS SALES'!$A:$J,MATCH('index match'!$A306,'ECOMMERS SALES'!$C:$C,0),MATCH('index match'!I$1,ECOMMERS_SALES[#Headers],0))</f>
        <v>New</v>
      </c>
      <c r="J306" t="str">
        <f>INDEX('ECOMMERS SALES'!$A:$J,MATCH('index match'!$A306,'ECOMMERS SALES'!$C:$C,0),MATCH('index match'!J$1,ECOMMERS_SALES[#Headers],0))</f>
        <v>UPI</v>
      </c>
    </row>
    <row r="307" spans="1:10" x14ac:dyDescent="0.35">
      <c r="A307" t="s">
        <v>31</v>
      </c>
      <c r="B307">
        <f>INDEX('ECOMMERS SALES'!$A:$J,MATCH('index match'!$A307,'ECOMMERS SALES'!$C:$C,0),MATCH('index match'!B$1,ECOMMERS_SALES[#Headers],0))</f>
        <v>1006</v>
      </c>
      <c r="C307" t="str">
        <f>INDEX('ECOMMERS SALES'!$A:$J,MATCH('index match'!$A307,'ECOMMERS SALES'!$C:$C,0),MATCH('index match'!C$1,ECOMMERS_SALES[#Headers],0))</f>
        <v>07-01-2025</v>
      </c>
      <c r="D307" t="str">
        <f>INDEX('ECOMMERS SALES'!$A:$J,MATCH('index match'!$A307,'ECOMMERS SALES'!$C:$C,0),MATCH('index match'!D$1,ECOMMERS_SALES[#Headers],0))</f>
        <v>Electronics</v>
      </c>
      <c r="E307">
        <f>INDEX('ECOMMERS SALES'!$A:$J,MATCH('index match'!$A307,'ECOMMERS SALES'!$C:$C,0),MATCH('index match'!E$1,ECOMMERS_SALES[#Headers],0))</f>
        <v>1</v>
      </c>
      <c r="F307">
        <f>INDEX('ECOMMERS SALES'!$A:$J,MATCH('index match'!$A307,'ECOMMERS SALES'!$C:$C,0),MATCH('index match'!F$1,ECOMMERS_SALES[#Headers],0))</f>
        <v>13225</v>
      </c>
      <c r="G307">
        <f>INDEX('ECOMMERS SALES'!$A:$J,MATCH('index match'!$A307,'ECOMMERS SALES'!$C:$C,0),MATCH('index match'!G$1,ECOMMERS_SALES[#Headers],0))</f>
        <v>13225</v>
      </c>
      <c r="H307" t="str">
        <f>INDEX('ECOMMERS SALES'!$A:$J,MATCH('index match'!$A307,'ECOMMERS SALES'!$C:$C,0),MATCH('index match'!H$1,ECOMMERS_SALES[#Headers],0))</f>
        <v>Delhi</v>
      </c>
      <c r="I307" t="str">
        <f>INDEX('ECOMMERS SALES'!$A:$J,MATCH('index match'!$A307,'ECOMMERS SALES'!$C:$C,0),MATCH('index match'!I$1,ECOMMERS_SALES[#Headers],0))</f>
        <v>Returning</v>
      </c>
      <c r="J307" t="str">
        <f>INDEX('ECOMMERS SALES'!$A:$J,MATCH('index match'!$A307,'ECOMMERS SALES'!$C:$C,0),MATCH('index match'!J$1,ECOMMERS_SALES[#Headers],0))</f>
        <v>COD</v>
      </c>
    </row>
    <row r="308" spans="1:10" x14ac:dyDescent="0.35">
      <c r="A308" t="s">
        <v>35</v>
      </c>
      <c r="B308">
        <f>INDEX('ECOMMERS SALES'!$A:$J,MATCH('index match'!$A308,'ECOMMERS SALES'!$C:$C,0),MATCH('index match'!B$1,ECOMMERS_SALES[#Headers],0))</f>
        <v>1007</v>
      </c>
      <c r="C308" t="str">
        <f>INDEX('ECOMMERS SALES'!$A:$J,MATCH('index match'!$A308,'ECOMMERS SALES'!$C:$C,0),MATCH('index match'!C$1,ECOMMERS_SALES[#Headers],0))</f>
        <v>08-01-2025</v>
      </c>
      <c r="D308" t="str">
        <f>INDEX('ECOMMERS SALES'!$A:$J,MATCH('index match'!$A308,'ECOMMERS SALES'!$C:$C,0),MATCH('index match'!D$1,ECOMMERS_SALES[#Headers],0))</f>
        <v>Books</v>
      </c>
      <c r="E308">
        <f>INDEX('ECOMMERS SALES'!$A:$J,MATCH('index match'!$A308,'ECOMMERS SALES'!$C:$C,0),MATCH('index match'!E$1,ECOMMERS_SALES[#Headers],0))</f>
        <v>3</v>
      </c>
      <c r="F308">
        <f>INDEX('ECOMMERS SALES'!$A:$J,MATCH('index match'!$A308,'ECOMMERS SALES'!$C:$C,0),MATCH('index match'!F$1,ECOMMERS_SALES[#Headers],0))</f>
        <v>621</v>
      </c>
      <c r="G308">
        <f>INDEX('ECOMMERS SALES'!$A:$J,MATCH('index match'!$A308,'ECOMMERS SALES'!$C:$C,0),MATCH('index match'!G$1,ECOMMERS_SALES[#Headers],0))</f>
        <v>1863</v>
      </c>
      <c r="H308" t="str">
        <f>INDEX('ECOMMERS SALES'!$A:$J,MATCH('index match'!$A308,'ECOMMERS SALES'!$C:$C,0),MATCH('index match'!H$1,ECOMMERS_SALES[#Headers],0))</f>
        <v>Hyderabad</v>
      </c>
      <c r="I308" t="str">
        <f>INDEX('ECOMMERS SALES'!$A:$J,MATCH('index match'!$A308,'ECOMMERS SALES'!$C:$C,0),MATCH('index match'!I$1,ECOMMERS_SALES[#Headers],0))</f>
        <v>Premimum</v>
      </c>
      <c r="J308" t="str">
        <f>INDEX('ECOMMERS SALES'!$A:$J,MATCH('index match'!$A308,'ECOMMERS SALES'!$C:$C,0),MATCH('index match'!J$1,ECOMMERS_SALES[#Headers],0))</f>
        <v>UPI</v>
      </c>
    </row>
    <row r="309" spans="1:10" x14ac:dyDescent="0.35">
      <c r="A309" t="s">
        <v>39</v>
      </c>
      <c r="B309">
        <f>INDEX('ECOMMERS SALES'!$A:$J,MATCH('index match'!$A309,'ECOMMERS SALES'!$C:$C,0),MATCH('index match'!B$1,ECOMMERS_SALES[#Headers],0))</f>
        <v>1008</v>
      </c>
      <c r="C309" t="str">
        <f>INDEX('ECOMMERS SALES'!$A:$J,MATCH('index match'!$A309,'ECOMMERS SALES'!$C:$C,0),MATCH('index match'!C$1,ECOMMERS_SALES[#Headers],0))</f>
        <v>09-01-2025</v>
      </c>
      <c r="D309" t="str">
        <f>INDEX('ECOMMERS SALES'!$A:$J,MATCH('index match'!$A309,'ECOMMERS SALES'!$C:$C,0),MATCH('index match'!D$1,ECOMMERS_SALES[#Headers],0))</f>
        <v>Fashion</v>
      </c>
      <c r="E309">
        <f>INDEX('ECOMMERS SALES'!$A:$J,MATCH('index match'!$A309,'ECOMMERS SALES'!$C:$C,0),MATCH('index match'!E$1,ECOMMERS_SALES[#Headers],0))</f>
        <v>2</v>
      </c>
      <c r="F309">
        <f>INDEX('ECOMMERS SALES'!$A:$J,MATCH('index match'!$A309,'ECOMMERS SALES'!$C:$C,0),MATCH('index match'!F$1,ECOMMERS_SALES[#Headers],0))</f>
        <v>905</v>
      </c>
      <c r="G309">
        <f>INDEX('ECOMMERS SALES'!$A:$J,MATCH('index match'!$A309,'ECOMMERS SALES'!$C:$C,0),MATCH('index match'!G$1,ECOMMERS_SALES[#Headers],0))</f>
        <v>1810</v>
      </c>
      <c r="H309" t="str">
        <f>INDEX('ECOMMERS SALES'!$A:$J,MATCH('index match'!$A309,'ECOMMERS SALES'!$C:$C,0),MATCH('index match'!H$1,ECOMMERS_SALES[#Headers],0))</f>
        <v>Bangalore</v>
      </c>
      <c r="I309" t="str">
        <f>INDEX('ECOMMERS SALES'!$A:$J,MATCH('index match'!$A309,'ECOMMERS SALES'!$C:$C,0),MATCH('index match'!I$1,ECOMMERS_SALES[#Headers],0))</f>
        <v>New</v>
      </c>
      <c r="J309" t="str">
        <f>INDEX('ECOMMERS SALES'!$A:$J,MATCH('index match'!$A309,'ECOMMERS SALES'!$C:$C,0),MATCH('index match'!J$1,ECOMMERS_SALES[#Headers],0))</f>
        <v>COD</v>
      </c>
    </row>
    <row r="310" spans="1:10" x14ac:dyDescent="0.35">
      <c r="A310" t="s">
        <v>42</v>
      </c>
      <c r="B310">
        <f>INDEX('ECOMMERS SALES'!$A:$J,MATCH('index match'!$A310,'ECOMMERS SALES'!$C:$C,0),MATCH('index match'!B$1,ECOMMERS_SALES[#Headers],0))</f>
        <v>1009</v>
      </c>
      <c r="C310" t="str">
        <f>INDEX('ECOMMERS SALES'!$A:$J,MATCH('index match'!$A310,'ECOMMERS SALES'!$C:$C,0),MATCH('index match'!C$1,ECOMMERS_SALES[#Headers],0))</f>
        <v>10-01-2025</v>
      </c>
      <c r="D310" t="str">
        <f>INDEX('ECOMMERS SALES'!$A:$J,MATCH('index match'!$A310,'ECOMMERS SALES'!$C:$C,0),MATCH('index match'!D$1,ECOMMERS_SALES[#Headers],0))</f>
        <v>Electronics</v>
      </c>
      <c r="E310">
        <f>INDEX('ECOMMERS SALES'!$A:$J,MATCH('index match'!$A310,'ECOMMERS SALES'!$C:$C,0),MATCH('index match'!E$1,ECOMMERS_SALES[#Headers],0))</f>
        <v>1</v>
      </c>
      <c r="F310">
        <f>INDEX('ECOMMERS SALES'!$A:$J,MATCH('index match'!$A310,'ECOMMERS SALES'!$C:$C,0),MATCH('index match'!F$1,ECOMMERS_SALES[#Headers],0))</f>
        <v>8563</v>
      </c>
      <c r="G310">
        <f>INDEX('ECOMMERS SALES'!$A:$J,MATCH('index match'!$A310,'ECOMMERS SALES'!$C:$C,0),MATCH('index match'!G$1,ECOMMERS_SALES[#Headers],0))</f>
        <v>8563</v>
      </c>
      <c r="H310" t="str">
        <f>INDEX('ECOMMERS SALES'!$A:$J,MATCH('index match'!$A310,'ECOMMERS SALES'!$C:$C,0),MATCH('index match'!H$1,ECOMMERS_SALES[#Headers],0))</f>
        <v>Hyderabad</v>
      </c>
      <c r="I310" t="str">
        <f>INDEX('ECOMMERS SALES'!$A:$J,MATCH('index match'!$A310,'ECOMMERS SALES'!$C:$C,0),MATCH('index match'!I$1,ECOMMERS_SALES[#Headers],0))</f>
        <v>Returning</v>
      </c>
      <c r="J310" t="str">
        <f>INDEX('ECOMMERS SALES'!$A:$J,MATCH('index match'!$A310,'ECOMMERS SALES'!$C:$C,0),MATCH('index match'!J$1,ECOMMERS_SALES[#Headers],0))</f>
        <v>Card</v>
      </c>
    </row>
    <row r="311" spans="1:10" x14ac:dyDescent="0.35">
      <c r="A311" t="s">
        <v>44</v>
      </c>
      <c r="B311">
        <f>INDEX('ECOMMERS SALES'!$A:$J,MATCH('index match'!$A311,'ECOMMERS SALES'!$C:$C,0),MATCH('index match'!B$1,ECOMMERS_SALES[#Headers],0))</f>
        <v>1010</v>
      </c>
      <c r="C311" t="str">
        <f>INDEX('ECOMMERS SALES'!$A:$J,MATCH('index match'!$A311,'ECOMMERS SALES'!$C:$C,0),MATCH('index match'!C$1,ECOMMERS_SALES[#Headers],0))</f>
        <v>11-01-2025</v>
      </c>
      <c r="D311" t="str">
        <f>INDEX('ECOMMERS SALES'!$A:$J,MATCH('index match'!$A311,'ECOMMERS SALES'!$C:$C,0),MATCH('index match'!D$1,ECOMMERS_SALES[#Headers],0))</f>
        <v>Other</v>
      </c>
      <c r="E311">
        <f>INDEX('ECOMMERS SALES'!$A:$J,MATCH('index match'!$A311,'ECOMMERS SALES'!$C:$C,0),MATCH('index match'!E$1,ECOMMERS_SALES[#Headers],0))</f>
        <v>1</v>
      </c>
      <c r="F311">
        <f>INDEX('ECOMMERS SALES'!$A:$J,MATCH('index match'!$A311,'ECOMMERS SALES'!$C:$C,0),MATCH('index match'!F$1,ECOMMERS_SALES[#Headers],0))</f>
        <v>268</v>
      </c>
      <c r="G311">
        <f>INDEX('ECOMMERS SALES'!$A:$J,MATCH('index match'!$A311,'ECOMMERS SALES'!$C:$C,0),MATCH('index match'!G$1,ECOMMERS_SALES[#Headers],0))</f>
        <v>268</v>
      </c>
      <c r="H311" t="str">
        <f>INDEX('ECOMMERS SALES'!$A:$J,MATCH('index match'!$A311,'ECOMMERS SALES'!$C:$C,0),MATCH('index match'!H$1,ECOMMERS_SALES[#Headers],0))</f>
        <v>Chennai</v>
      </c>
      <c r="I311" t="str">
        <f>INDEX('ECOMMERS SALES'!$A:$J,MATCH('index match'!$A311,'ECOMMERS SALES'!$C:$C,0),MATCH('index match'!I$1,ECOMMERS_SALES[#Headers],0))</f>
        <v>New</v>
      </c>
      <c r="J311" t="str">
        <f>INDEX('ECOMMERS SALES'!$A:$J,MATCH('index match'!$A311,'ECOMMERS SALES'!$C:$C,0),MATCH('index match'!J$1,ECOMMERS_SALES[#Headers],0))</f>
        <v>UPI</v>
      </c>
    </row>
    <row r="312" spans="1:10" x14ac:dyDescent="0.35">
      <c r="A312" t="s">
        <v>11</v>
      </c>
      <c r="B312">
        <f>INDEX('ECOMMERS SALES'!$A:$J,MATCH('index match'!$A312,'ECOMMERS SALES'!$C:$C,0),MATCH('index match'!B$1,ECOMMERS_SALES[#Headers],0))</f>
        <v>1001</v>
      </c>
      <c r="C312" t="str">
        <f>INDEX('ECOMMERS SALES'!$A:$J,MATCH('index match'!$A312,'ECOMMERS SALES'!$C:$C,0),MATCH('index match'!C$1,ECOMMERS_SALES[#Headers],0))</f>
        <v>02-01-2025</v>
      </c>
      <c r="D312" t="str">
        <f>INDEX('ECOMMERS SALES'!$A:$J,MATCH('index match'!$A312,'ECOMMERS SALES'!$C:$C,0),MATCH('index match'!D$1,ECOMMERS_SALES[#Headers],0))</f>
        <v>Electronics</v>
      </c>
      <c r="E312">
        <f>INDEX('ECOMMERS SALES'!$A:$J,MATCH('index match'!$A312,'ECOMMERS SALES'!$C:$C,0),MATCH('index match'!E$1,ECOMMERS_SALES[#Headers],0))</f>
        <v>2</v>
      </c>
      <c r="F312">
        <f>INDEX('ECOMMERS SALES'!$A:$J,MATCH('index match'!$A312,'ECOMMERS SALES'!$C:$C,0),MATCH('index match'!F$1,ECOMMERS_SALES[#Headers],0))</f>
        <v>50353</v>
      </c>
      <c r="G312">
        <f>INDEX('ECOMMERS SALES'!$A:$J,MATCH('index match'!$A312,'ECOMMERS SALES'!$C:$C,0),MATCH('index match'!G$1,ECOMMERS_SALES[#Headers],0))</f>
        <v>100706</v>
      </c>
      <c r="H312" t="str">
        <f>INDEX('ECOMMERS SALES'!$A:$J,MATCH('index match'!$A312,'ECOMMERS SALES'!$C:$C,0),MATCH('index match'!H$1,ECOMMERS_SALES[#Headers],0))</f>
        <v>Chennai</v>
      </c>
      <c r="I312" t="str">
        <f>INDEX('ECOMMERS SALES'!$A:$J,MATCH('index match'!$A312,'ECOMMERS SALES'!$C:$C,0),MATCH('index match'!I$1,ECOMMERS_SALES[#Headers],0))</f>
        <v>Premimum</v>
      </c>
      <c r="J312" t="str">
        <f>INDEX('ECOMMERS SALES'!$A:$J,MATCH('index match'!$A312,'ECOMMERS SALES'!$C:$C,0),MATCH('index match'!J$1,ECOMMERS_SALES[#Headers],0))</f>
        <v>Card</v>
      </c>
    </row>
    <row r="313" spans="1:10" x14ac:dyDescent="0.35">
      <c r="A313" t="s">
        <v>17</v>
      </c>
      <c r="B313">
        <f>INDEX('ECOMMERS SALES'!$A:$J,MATCH('index match'!$A313,'ECOMMERS SALES'!$C:$C,0),MATCH('index match'!B$1,ECOMMERS_SALES[#Headers],0))</f>
        <v>1002</v>
      </c>
      <c r="C313" t="str">
        <f>INDEX('ECOMMERS SALES'!$A:$J,MATCH('index match'!$A313,'ECOMMERS SALES'!$C:$C,0),MATCH('index match'!C$1,ECOMMERS_SALES[#Headers],0))</f>
        <v>03-01-2025</v>
      </c>
      <c r="D313" t="str">
        <f>INDEX('ECOMMERS SALES'!$A:$J,MATCH('index match'!$A313,'ECOMMERS SALES'!$C:$C,0),MATCH('index match'!D$1,ECOMMERS_SALES[#Headers],0))</f>
        <v>Electronics</v>
      </c>
      <c r="E313">
        <f>INDEX('ECOMMERS SALES'!$A:$J,MATCH('index match'!$A313,'ECOMMERS SALES'!$C:$C,0),MATCH('index match'!E$1,ECOMMERS_SALES[#Headers],0))</f>
        <v>2</v>
      </c>
      <c r="F313">
        <f>INDEX('ECOMMERS SALES'!$A:$J,MATCH('index match'!$A313,'ECOMMERS SALES'!$C:$C,0),MATCH('index match'!F$1,ECOMMERS_SALES[#Headers],0))</f>
        <v>2008</v>
      </c>
      <c r="G313">
        <f>INDEX('ECOMMERS SALES'!$A:$J,MATCH('index match'!$A313,'ECOMMERS SALES'!$C:$C,0),MATCH('index match'!G$1,ECOMMERS_SALES[#Headers],0))</f>
        <v>4016</v>
      </c>
      <c r="H313" t="str">
        <f>INDEX('ECOMMERS SALES'!$A:$J,MATCH('index match'!$A313,'ECOMMERS SALES'!$C:$C,0),MATCH('index match'!H$1,ECOMMERS_SALES[#Headers],0))</f>
        <v>Delhi</v>
      </c>
      <c r="I313" t="str">
        <f>INDEX('ECOMMERS SALES'!$A:$J,MATCH('index match'!$A313,'ECOMMERS SALES'!$C:$C,0),MATCH('index match'!I$1,ECOMMERS_SALES[#Headers],0))</f>
        <v>New</v>
      </c>
      <c r="J313" t="str">
        <f>INDEX('ECOMMERS SALES'!$A:$J,MATCH('index match'!$A313,'ECOMMERS SALES'!$C:$C,0),MATCH('index match'!J$1,ECOMMERS_SALES[#Headers],0))</f>
        <v>UPI</v>
      </c>
    </row>
    <row r="314" spans="1:10" x14ac:dyDescent="0.35">
      <c r="A314" t="s">
        <v>22</v>
      </c>
      <c r="B314">
        <f>INDEX('ECOMMERS SALES'!$A:$J,MATCH('index match'!$A314,'ECOMMERS SALES'!$C:$C,0),MATCH('index match'!B$1,ECOMMERS_SALES[#Headers],0))</f>
        <v>1003</v>
      </c>
      <c r="C314" t="str">
        <f>INDEX('ECOMMERS SALES'!$A:$J,MATCH('index match'!$A314,'ECOMMERS SALES'!$C:$C,0),MATCH('index match'!C$1,ECOMMERS_SALES[#Headers],0))</f>
        <v>04-01-2025</v>
      </c>
      <c r="D314" t="str">
        <f>INDEX('ECOMMERS SALES'!$A:$J,MATCH('index match'!$A314,'ECOMMERS SALES'!$C:$C,0),MATCH('index match'!D$1,ECOMMERS_SALES[#Headers],0))</f>
        <v>Fashion</v>
      </c>
      <c r="E314">
        <f>INDEX('ECOMMERS SALES'!$A:$J,MATCH('index match'!$A314,'ECOMMERS SALES'!$C:$C,0),MATCH('index match'!E$1,ECOMMERS_SALES[#Headers],0))</f>
        <v>1</v>
      </c>
      <c r="F314">
        <f>INDEX('ECOMMERS SALES'!$A:$J,MATCH('index match'!$A314,'ECOMMERS SALES'!$C:$C,0),MATCH('index match'!F$1,ECOMMERS_SALES[#Headers],0))</f>
        <v>4736</v>
      </c>
      <c r="G314">
        <f>INDEX('ECOMMERS SALES'!$A:$J,MATCH('index match'!$A314,'ECOMMERS SALES'!$C:$C,0),MATCH('index match'!G$1,ECOMMERS_SALES[#Headers],0))</f>
        <v>4736</v>
      </c>
      <c r="H314" t="str">
        <f>INDEX('ECOMMERS SALES'!$A:$J,MATCH('index match'!$A314,'ECOMMERS SALES'!$C:$C,0),MATCH('index match'!H$1,ECOMMERS_SALES[#Headers],0))</f>
        <v>Chennai</v>
      </c>
      <c r="I314" t="str">
        <f>INDEX('ECOMMERS SALES'!$A:$J,MATCH('index match'!$A314,'ECOMMERS SALES'!$C:$C,0),MATCH('index match'!I$1,ECOMMERS_SALES[#Headers],0))</f>
        <v>New</v>
      </c>
      <c r="J314" t="str">
        <f>INDEX('ECOMMERS SALES'!$A:$J,MATCH('index match'!$A314,'ECOMMERS SALES'!$C:$C,0),MATCH('index match'!J$1,ECOMMERS_SALES[#Headers],0))</f>
        <v>UPI</v>
      </c>
    </row>
    <row r="315" spans="1:10" x14ac:dyDescent="0.35">
      <c r="A315" t="s">
        <v>25</v>
      </c>
      <c r="B315">
        <f>INDEX('ECOMMERS SALES'!$A:$J,MATCH('index match'!$A315,'ECOMMERS SALES'!$C:$C,0),MATCH('index match'!B$1,ECOMMERS_SALES[#Headers],0))</f>
        <v>1004</v>
      </c>
      <c r="C315" t="str">
        <f>INDEX('ECOMMERS SALES'!$A:$J,MATCH('index match'!$A315,'ECOMMERS SALES'!$C:$C,0),MATCH('index match'!C$1,ECOMMERS_SALES[#Headers],0))</f>
        <v>05-01-2025</v>
      </c>
      <c r="D315" t="str">
        <f>INDEX('ECOMMERS SALES'!$A:$J,MATCH('index match'!$A315,'ECOMMERS SALES'!$C:$C,0),MATCH('index match'!D$1,ECOMMERS_SALES[#Headers],0))</f>
        <v>Other</v>
      </c>
      <c r="E315">
        <f>INDEX('ECOMMERS SALES'!$A:$J,MATCH('index match'!$A315,'ECOMMERS SALES'!$C:$C,0),MATCH('index match'!E$1,ECOMMERS_SALES[#Headers],0))</f>
        <v>2</v>
      </c>
      <c r="F315">
        <f>INDEX('ECOMMERS SALES'!$A:$J,MATCH('index match'!$A315,'ECOMMERS SALES'!$C:$C,0),MATCH('index match'!F$1,ECOMMERS_SALES[#Headers],0))</f>
        <v>10072</v>
      </c>
      <c r="G315">
        <f>INDEX('ECOMMERS SALES'!$A:$J,MATCH('index match'!$A315,'ECOMMERS SALES'!$C:$C,0),MATCH('index match'!G$1,ECOMMERS_SALES[#Headers],0))</f>
        <v>20144</v>
      </c>
      <c r="H315" t="str">
        <f>INDEX('ECOMMERS SALES'!$A:$J,MATCH('index match'!$A315,'ECOMMERS SALES'!$C:$C,0),MATCH('index match'!H$1,ECOMMERS_SALES[#Headers],0))</f>
        <v>Pune</v>
      </c>
      <c r="I315" t="str">
        <f>INDEX('ECOMMERS SALES'!$A:$J,MATCH('index match'!$A315,'ECOMMERS SALES'!$C:$C,0),MATCH('index match'!I$1,ECOMMERS_SALES[#Headers],0))</f>
        <v>Premimum</v>
      </c>
      <c r="J315" t="str">
        <f>INDEX('ECOMMERS SALES'!$A:$J,MATCH('index match'!$A315,'ECOMMERS SALES'!$C:$C,0),MATCH('index match'!J$1,ECOMMERS_SALES[#Headers],0))</f>
        <v>Card</v>
      </c>
    </row>
    <row r="316" spans="1:10" x14ac:dyDescent="0.35">
      <c r="A316" t="s">
        <v>29</v>
      </c>
      <c r="B316">
        <f>INDEX('ECOMMERS SALES'!$A:$J,MATCH('index match'!$A316,'ECOMMERS SALES'!$C:$C,0),MATCH('index match'!B$1,ECOMMERS_SALES[#Headers],0))</f>
        <v>1005</v>
      </c>
      <c r="C316" t="str">
        <f>INDEX('ECOMMERS SALES'!$A:$J,MATCH('index match'!$A316,'ECOMMERS SALES'!$C:$C,0),MATCH('index match'!C$1,ECOMMERS_SALES[#Headers],0))</f>
        <v>06-01-2025</v>
      </c>
      <c r="D316" t="str">
        <f>INDEX('ECOMMERS SALES'!$A:$J,MATCH('index match'!$A316,'ECOMMERS SALES'!$C:$C,0),MATCH('index match'!D$1,ECOMMERS_SALES[#Headers],0))</f>
        <v>Other</v>
      </c>
      <c r="E316">
        <f>INDEX('ECOMMERS SALES'!$A:$J,MATCH('index match'!$A316,'ECOMMERS SALES'!$C:$C,0),MATCH('index match'!E$1,ECOMMERS_SALES[#Headers],0))</f>
        <v>2</v>
      </c>
      <c r="F316">
        <f>INDEX('ECOMMERS SALES'!$A:$J,MATCH('index match'!$A316,'ECOMMERS SALES'!$C:$C,0),MATCH('index match'!F$1,ECOMMERS_SALES[#Headers],0))</f>
        <v>920</v>
      </c>
      <c r="G316">
        <f>INDEX('ECOMMERS SALES'!$A:$J,MATCH('index match'!$A316,'ECOMMERS SALES'!$C:$C,0),MATCH('index match'!G$1,ECOMMERS_SALES[#Headers],0))</f>
        <v>1840</v>
      </c>
      <c r="H316" t="str">
        <f>INDEX('ECOMMERS SALES'!$A:$J,MATCH('index match'!$A316,'ECOMMERS SALES'!$C:$C,0),MATCH('index match'!H$1,ECOMMERS_SALES[#Headers],0))</f>
        <v>Pune</v>
      </c>
      <c r="I316" t="str">
        <f>INDEX('ECOMMERS SALES'!$A:$J,MATCH('index match'!$A316,'ECOMMERS SALES'!$C:$C,0),MATCH('index match'!I$1,ECOMMERS_SALES[#Headers],0))</f>
        <v>New</v>
      </c>
      <c r="J316" t="str">
        <f>INDEX('ECOMMERS SALES'!$A:$J,MATCH('index match'!$A316,'ECOMMERS SALES'!$C:$C,0),MATCH('index match'!J$1,ECOMMERS_SALES[#Headers],0))</f>
        <v>UPI</v>
      </c>
    </row>
    <row r="317" spans="1:10" x14ac:dyDescent="0.35">
      <c r="A317" t="s">
        <v>31</v>
      </c>
      <c r="B317">
        <f>INDEX('ECOMMERS SALES'!$A:$J,MATCH('index match'!$A317,'ECOMMERS SALES'!$C:$C,0),MATCH('index match'!B$1,ECOMMERS_SALES[#Headers],0))</f>
        <v>1006</v>
      </c>
      <c r="C317" t="str">
        <f>INDEX('ECOMMERS SALES'!$A:$J,MATCH('index match'!$A317,'ECOMMERS SALES'!$C:$C,0),MATCH('index match'!C$1,ECOMMERS_SALES[#Headers],0))</f>
        <v>07-01-2025</v>
      </c>
      <c r="D317" t="str">
        <f>INDEX('ECOMMERS SALES'!$A:$J,MATCH('index match'!$A317,'ECOMMERS SALES'!$C:$C,0),MATCH('index match'!D$1,ECOMMERS_SALES[#Headers],0))</f>
        <v>Electronics</v>
      </c>
      <c r="E317">
        <f>INDEX('ECOMMERS SALES'!$A:$J,MATCH('index match'!$A317,'ECOMMERS SALES'!$C:$C,0),MATCH('index match'!E$1,ECOMMERS_SALES[#Headers],0))</f>
        <v>1</v>
      </c>
      <c r="F317">
        <f>INDEX('ECOMMERS SALES'!$A:$J,MATCH('index match'!$A317,'ECOMMERS SALES'!$C:$C,0),MATCH('index match'!F$1,ECOMMERS_SALES[#Headers],0))</f>
        <v>13225</v>
      </c>
      <c r="G317">
        <f>INDEX('ECOMMERS SALES'!$A:$J,MATCH('index match'!$A317,'ECOMMERS SALES'!$C:$C,0),MATCH('index match'!G$1,ECOMMERS_SALES[#Headers],0))</f>
        <v>13225</v>
      </c>
      <c r="H317" t="str">
        <f>INDEX('ECOMMERS SALES'!$A:$J,MATCH('index match'!$A317,'ECOMMERS SALES'!$C:$C,0),MATCH('index match'!H$1,ECOMMERS_SALES[#Headers],0))</f>
        <v>Delhi</v>
      </c>
      <c r="I317" t="str">
        <f>INDEX('ECOMMERS SALES'!$A:$J,MATCH('index match'!$A317,'ECOMMERS SALES'!$C:$C,0),MATCH('index match'!I$1,ECOMMERS_SALES[#Headers],0))</f>
        <v>Returning</v>
      </c>
      <c r="J317" t="str">
        <f>INDEX('ECOMMERS SALES'!$A:$J,MATCH('index match'!$A317,'ECOMMERS SALES'!$C:$C,0),MATCH('index match'!J$1,ECOMMERS_SALES[#Headers],0))</f>
        <v>COD</v>
      </c>
    </row>
    <row r="318" spans="1:10" x14ac:dyDescent="0.35">
      <c r="A318" t="s">
        <v>35</v>
      </c>
      <c r="B318">
        <f>INDEX('ECOMMERS SALES'!$A:$J,MATCH('index match'!$A318,'ECOMMERS SALES'!$C:$C,0),MATCH('index match'!B$1,ECOMMERS_SALES[#Headers],0))</f>
        <v>1007</v>
      </c>
      <c r="C318" t="str">
        <f>INDEX('ECOMMERS SALES'!$A:$J,MATCH('index match'!$A318,'ECOMMERS SALES'!$C:$C,0),MATCH('index match'!C$1,ECOMMERS_SALES[#Headers],0))</f>
        <v>08-01-2025</v>
      </c>
      <c r="D318" t="str">
        <f>INDEX('ECOMMERS SALES'!$A:$J,MATCH('index match'!$A318,'ECOMMERS SALES'!$C:$C,0),MATCH('index match'!D$1,ECOMMERS_SALES[#Headers],0))</f>
        <v>Books</v>
      </c>
      <c r="E318">
        <f>INDEX('ECOMMERS SALES'!$A:$J,MATCH('index match'!$A318,'ECOMMERS SALES'!$C:$C,0),MATCH('index match'!E$1,ECOMMERS_SALES[#Headers],0))</f>
        <v>3</v>
      </c>
      <c r="F318">
        <f>INDEX('ECOMMERS SALES'!$A:$J,MATCH('index match'!$A318,'ECOMMERS SALES'!$C:$C,0),MATCH('index match'!F$1,ECOMMERS_SALES[#Headers],0))</f>
        <v>621</v>
      </c>
      <c r="G318">
        <f>INDEX('ECOMMERS SALES'!$A:$J,MATCH('index match'!$A318,'ECOMMERS SALES'!$C:$C,0),MATCH('index match'!G$1,ECOMMERS_SALES[#Headers],0))</f>
        <v>1863</v>
      </c>
      <c r="H318" t="str">
        <f>INDEX('ECOMMERS SALES'!$A:$J,MATCH('index match'!$A318,'ECOMMERS SALES'!$C:$C,0),MATCH('index match'!H$1,ECOMMERS_SALES[#Headers],0))</f>
        <v>Hyderabad</v>
      </c>
      <c r="I318" t="str">
        <f>INDEX('ECOMMERS SALES'!$A:$J,MATCH('index match'!$A318,'ECOMMERS SALES'!$C:$C,0),MATCH('index match'!I$1,ECOMMERS_SALES[#Headers],0))</f>
        <v>Premimum</v>
      </c>
      <c r="J318" t="str">
        <f>INDEX('ECOMMERS SALES'!$A:$J,MATCH('index match'!$A318,'ECOMMERS SALES'!$C:$C,0),MATCH('index match'!J$1,ECOMMERS_SALES[#Headers],0))</f>
        <v>UPI</v>
      </c>
    </row>
    <row r="319" spans="1:10" x14ac:dyDescent="0.35">
      <c r="A319" t="s">
        <v>39</v>
      </c>
      <c r="B319">
        <f>INDEX('ECOMMERS SALES'!$A:$J,MATCH('index match'!$A319,'ECOMMERS SALES'!$C:$C,0),MATCH('index match'!B$1,ECOMMERS_SALES[#Headers],0))</f>
        <v>1008</v>
      </c>
      <c r="C319" t="str">
        <f>INDEX('ECOMMERS SALES'!$A:$J,MATCH('index match'!$A319,'ECOMMERS SALES'!$C:$C,0),MATCH('index match'!C$1,ECOMMERS_SALES[#Headers],0))</f>
        <v>09-01-2025</v>
      </c>
      <c r="D319" t="str">
        <f>INDEX('ECOMMERS SALES'!$A:$J,MATCH('index match'!$A319,'ECOMMERS SALES'!$C:$C,0),MATCH('index match'!D$1,ECOMMERS_SALES[#Headers],0))</f>
        <v>Fashion</v>
      </c>
      <c r="E319">
        <f>INDEX('ECOMMERS SALES'!$A:$J,MATCH('index match'!$A319,'ECOMMERS SALES'!$C:$C,0),MATCH('index match'!E$1,ECOMMERS_SALES[#Headers],0))</f>
        <v>2</v>
      </c>
      <c r="F319">
        <f>INDEX('ECOMMERS SALES'!$A:$J,MATCH('index match'!$A319,'ECOMMERS SALES'!$C:$C,0),MATCH('index match'!F$1,ECOMMERS_SALES[#Headers],0))</f>
        <v>905</v>
      </c>
      <c r="G319">
        <f>INDEX('ECOMMERS SALES'!$A:$J,MATCH('index match'!$A319,'ECOMMERS SALES'!$C:$C,0),MATCH('index match'!G$1,ECOMMERS_SALES[#Headers],0))</f>
        <v>1810</v>
      </c>
      <c r="H319" t="str">
        <f>INDEX('ECOMMERS SALES'!$A:$J,MATCH('index match'!$A319,'ECOMMERS SALES'!$C:$C,0),MATCH('index match'!H$1,ECOMMERS_SALES[#Headers],0))</f>
        <v>Bangalore</v>
      </c>
      <c r="I319" t="str">
        <f>INDEX('ECOMMERS SALES'!$A:$J,MATCH('index match'!$A319,'ECOMMERS SALES'!$C:$C,0),MATCH('index match'!I$1,ECOMMERS_SALES[#Headers],0))</f>
        <v>New</v>
      </c>
      <c r="J319" t="str">
        <f>INDEX('ECOMMERS SALES'!$A:$J,MATCH('index match'!$A319,'ECOMMERS SALES'!$C:$C,0),MATCH('index match'!J$1,ECOMMERS_SALES[#Headers],0))</f>
        <v>COD</v>
      </c>
    </row>
    <row r="320" spans="1:10" x14ac:dyDescent="0.35">
      <c r="A320" t="s">
        <v>42</v>
      </c>
      <c r="B320">
        <f>INDEX('ECOMMERS SALES'!$A:$J,MATCH('index match'!$A320,'ECOMMERS SALES'!$C:$C,0),MATCH('index match'!B$1,ECOMMERS_SALES[#Headers],0))</f>
        <v>1009</v>
      </c>
      <c r="C320" t="str">
        <f>INDEX('ECOMMERS SALES'!$A:$J,MATCH('index match'!$A320,'ECOMMERS SALES'!$C:$C,0),MATCH('index match'!C$1,ECOMMERS_SALES[#Headers],0))</f>
        <v>10-01-2025</v>
      </c>
      <c r="D320" t="str">
        <f>INDEX('ECOMMERS SALES'!$A:$J,MATCH('index match'!$A320,'ECOMMERS SALES'!$C:$C,0),MATCH('index match'!D$1,ECOMMERS_SALES[#Headers],0))</f>
        <v>Electronics</v>
      </c>
      <c r="E320">
        <f>INDEX('ECOMMERS SALES'!$A:$J,MATCH('index match'!$A320,'ECOMMERS SALES'!$C:$C,0),MATCH('index match'!E$1,ECOMMERS_SALES[#Headers],0))</f>
        <v>1</v>
      </c>
      <c r="F320">
        <f>INDEX('ECOMMERS SALES'!$A:$J,MATCH('index match'!$A320,'ECOMMERS SALES'!$C:$C,0),MATCH('index match'!F$1,ECOMMERS_SALES[#Headers],0))</f>
        <v>8563</v>
      </c>
      <c r="G320">
        <f>INDEX('ECOMMERS SALES'!$A:$J,MATCH('index match'!$A320,'ECOMMERS SALES'!$C:$C,0),MATCH('index match'!G$1,ECOMMERS_SALES[#Headers],0))</f>
        <v>8563</v>
      </c>
      <c r="H320" t="str">
        <f>INDEX('ECOMMERS SALES'!$A:$J,MATCH('index match'!$A320,'ECOMMERS SALES'!$C:$C,0),MATCH('index match'!H$1,ECOMMERS_SALES[#Headers],0))</f>
        <v>Hyderabad</v>
      </c>
      <c r="I320" t="str">
        <f>INDEX('ECOMMERS SALES'!$A:$J,MATCH('index match'!$A320,'ECOMMERS SALES'!$C:$C,0),MATCH('index match'!I$1,ECOMMERS_SALES[#Headers],0))</f>
        <v>Returning</v>
      </c>
      <c r="J320" t="str">
        <f>INDEX('ECOMMERS SALES'!$A:$J,MATCH('index match'!$A320,'ECOMMERS SALES'!$C:$C,0),MATCH('index match'!J$1,ECOMMERS_SALES[#Headers],0))</f>
        <v>Card</v>
      </c>
    </row>
    <row r="321" spans="1:10" x14ac:dyDescent="0.35">
      <c r="A321" t="s">
        <v>44</v>
      </c>
      <c r="B321">
        <f>INDEX('ECOMMERS SALES'!$A:$J,MATCH('index match'!$A321,'ECOMMERS SALES'!$C:$C,0),MATCH('index match'!B$1,ECOMMERS_SALES[#Headers],0))</f>
        <v>1010</v>
      </c>
      <c r="C321" t="str">
        <f>INDEX('ECOMMERS SALES'!$A:$J,MATCH('index match'!$A321,'ECOMMERS SALES'!$C:$C,0),MATCH('index match'!C$1,ECOMMERS_SALES[#Headers],0))</f>
        <v>11-01-2025</v>
      </c>
      <c r="D321" t="str">
        <f>INDEX('ECOMMERS SALES'!$A:$J,MATCH('index match'!$A321,'ECOMMERS SALES'!$C:$C,0),MATCH('index match'!D$1,ECOMMERS_SALES[#Headers],0))</f>
        <v>Other</v>
      </c>
      <c r="E321">
        <f>INDEX('ECOMMERS SALES'!$A:$J,MATCH('index match'!$A321,'ECOMMERS SALES'!$C:$C,0),MATCH('index match'!E$1,ECOMMERS_SALES[#Headers],0))</f>
        <v>1</v>
      </c>
      <c r="F321">
        <f>INDEX('ECOMMERS SALES'!$A:$J,MATCH('index match'!$A321,'ECOMMERS SALES'!$C:$C,0),MATCH('index match'!F$1,ECOMMERS_SALES[#Headers],0))</f>
        <v>268</v>
      </c>
      <c r="G321">
        <f>INDEX('ECOMMERS SALES'!$A:$J,MATCH('index match'!$A321,'ECOMMERS SALES'!$C:$C,0),MATCH('index match'!G$1,ECOMMERS_SALES[#Headers],0))</f>
        <v>268</v>
      </c>
      <c r="H321" t="str">
        <f>INDEX('ECOMMERS SALES'!$A:$J,MATCH('index match'!$A321,'ECOMMERS SALES'!$C:$C,0),MATCH('index match'!H$1,ECOMMERS_SALES[#Headers],0))</f>
        <v>Chennai</v>
      </c>
      <c r="I321" t="str">
        <f>INDEX('ECOMMERS SALES'!$A:$J,MATCH('index match'!$A321,'ECOMMERS SALES'!$C:$C,0),MATCH('index match'!I$1,ECOMMERS_SALES[#Headers],0))</f>
        <v>New</v>
      </c>
      <c r="J321" t="str">
        <f>INDEX('ECOMMERS SALES'!$A:$J,MATCH('index match'!$A321,'ECOMMERS SALES'!$C:$C,0),MATCH('index match'!J$1,ECOMMERS_SALES[#Headers],0))</f>
        <v>UPI</v>
      </c>
    </row>
    <row r="322" spans="1:10" x14ac:dyDescent="0.35">
      <c r="A322" t="s">
        <v>11</v>
      </c>
      <c r="B322">
        <f>INDEX('ECOMMERS SALES'!$A:$J,MATCH('index match'!$A322,'ECOMMERS SALES'!$C:$C,0),MATCH('index match'!B$1,ECOMMERS_SALES[#Headers],0))</f>
        <v>1001</v>
      </c>
      <c r="C322" t="str">
        <f>INDEX('ECOMMERS SALES'!$A:$J,MATCH('index match'!$A322,'ECOMMERS SALES'!$C:$C,0),MATCH('index match'!C$1,ECOMMERS_SALES[#Headers],0))</f>
        <v>02-01-2025</v>
      </c>
      <c r="D322" t="str">
        <f>INDEX('ECOMMERS SALES'!$A:$J,MATCH('index match'!$A322,'ECOMMERS SALES'!$C:$C,0),MATCH('index match'!D$1,ECOMMERS_SALES[#Headers],0))</f>
        <v>Electronics</v>
      </c>
      <c r="E322">
        <f>INDEX('ECOMMERS SALES'!$A:$J,MATCH('index match'!$A322,'ECOMMERS SALES'!$C:$C,0),MATCH('index match'!E$1,ECOMMERS_SALES[#Headers],0))</f>
        <v>2</v>
      </c>
      <c r="F322">
        <f>INDEX('ECOMMERS SALES'!$A:$J,MATCH('index match'!$A322,'ECOMMERS SALES'!$C:$C,0),MATCH('index match'!F$1,ECOMMERS_SALES[#Headers],0))</f>
        <v>50353</v>
      </c>
      <c r="G322">
        <f>INDEX('ECOMMERS SALES'!$A:$J,MATCH('index match'!$A322,'ECOMMERS SALES'!$C:$C,0),MATCH('index match'!G$1,ECOMMERS_SALES[#Headers],0))</f>
        <v>100706</v>
      </c>
      <c r="H322" t="str">
        <f>INDEX('ECOMMERS SALES'!$A:$J,MATCH('index match'!$A322,'ECOMMERS SALES'!$C:$C,0),MATCH('index match'!H$1,ECOMMERS_SALES[#Headers],0))</f>
        <v>Chennai</v>
      </c>
      <c r="I322" t="str">
        <f>INDEX('ECOMMERS SALES'!$A:$J,MATCH('index match'!$A322,'ECOMMERS SALES'!$C:$C,0),MATCH('index match'!I$1,ECOMMERS_SALES[#Headers],0))</f>
        <v>Premimum</v>
      </c>
      <c r="J322" t="str">
        <f>INDEX('ECOMMERS SALES'!$A:$J,MATCH('index match'!$A322,'ECOMMERS SALES'!$C:$C,0),MATCH('index match'!J$1,ECOMMERS_SALES[#Headers],0))</f>
        <v>Card</v>
      </c>
    </row>
    <row r="323" spans="1:10" x14ac:dyDescent="0.35">
      <c r="A323" t="s">
        <v>17</v>
      </c>
      <c r="B323">
        <f>INDEX('ECOMMERS SALES'!$A:$J,MATCH('index match'!$A323,'ECOMMERS SALES'!$C:$C,0),MATCH('index match'!B$1,ECOMMERS_SALES[#Headers],0))</f>
        <v>1002</v>
      </c>
      <c r="C323" t="str">
        <f>INDEX('ECOMMERS SALES'!$A:$J,MATCH('index match'!$A323,'ECOMMERS SALES'!$C:$C,0),MATCH('index match'!C$1,ECOMMERS_SALES[#Headers],0))</f>
        <v>03-01-2025</v>
      </c>
      <c r="D323" t="str">
        <f>INDEX('ECOMMERS SALES'!$A:$J,MATCH('index match'!$A323,'ECOMMERS SALES'!$C:$C,0),MATCH('index match'!D$1,ECOMMERS_SALES[#Headers],0))</f>
        <v>Electronics</v>
      </c>
      <c r="E323">
        <f>INDEX('ECOMMERS SALES'!$A:$J,MATCH('index match'!$A323,'ECOMMERS SALES'!$C:$C,0),MATCH('index match'!E$1,ECOMMERS_SALES[#Headers],0))</f>
        <v>2</v>
      </c>
      <c r="F323">
        <f>INDEX('ECOMMERS SALES'!$A:$J,MATCH('index match'!$A323,'ECOMMERS SALES'!$C:$C,0),MATCH('index match'!F$1,ECOMMERS_SALES[#Headers],0))</f>
        <v>2008</v>
      </c>
      <c r="G323">
        <f>INDEX('ECOMMERS SALES'!$A:$J,MATCH('index match'!$A323,'ECOMMERS SALES'!$C:$C,0),MATCH('index match'!G$1,ECOMMERS_SALES[#Headers],0))</f>
        <v>4016</v>
      </c>
      <c r="H323" t="str">
        <f>INDEX('ECOMMERS SALES'!$A:$J,MATCH('index match'!$A323,'ECOMMERS SALES'!$C:$C,0),MATCH('index match'!H$1,ECOMMERS_SALES[#Headers],0))</f>
        <v>Delhi</v>
      </c>
      <c r="I323" t="str">
        <f>INDEX('ECOMMERS SALES'!$A:$J,MATCH('index match'!$A323,'ECOMMERS SALES'!$C:$C,0),MATCH('index match'!I$1,ECOMMERS_SALES[#Headers],0))</f>
        <v>New</v>
      </c>
      <c r="J323" t="str">
        <f>INDEX('ECOMMERS SALES'!$A:$J,MATCH('index match'!$A323,'ECOMMERS SALES'!$C:$C,0),MATCH('index match'!J$1,ECOMMERS_SALES[#Headers],0))</f>
        <v>UPI</v>
      </c>
    </row>
    <row r="324" spans="1:10" x14ac:dyDescent="0.35">
      <c r="A324" t="s">
        <v>22</v>
      </c>
      <c r="B324">
        <f>INDEX('ECOMMERS SALES'!$A:$J,MATCH('index match'!$A324,'ECOMMERS SALES'!$C:$C,0),MATCH('index match'!B$1,ECOMMERS_SALES[#Headers],0))</f>
        <v>1003</v>
      </c>
      <c r="C324" t="str">
        <f>INDEX('ECOMMERS SALES'!$A:$J,MATCH('index match'!$A324,'ECOMMERS SALES'!$C:$C,0),MATCH('index match'!C$1,ECOMMERS_SALES[#Headers],0))</f>
        <v>04-01-2025</v>
      </c>
      <c r="D324" t="str">
        <f>INDEX('ECOMMERS SALES'!$A:$J,MATCH('index match'!$A324,'ECOMMERS SALES'!$C:$C,0),MATCH('index match'!D$1,ECOMMERS_SALES[#Headers],0))</f>
        <v>Fashion</v>
      </c>
      <c r="E324">
        <f>INDEX('ECOMMERS SALES'!$A:$J,MATCH('index match'!$A324,'ECOMMERS SALES'!$C:$C,0),MATCH('index match'!E$1,ECOMMERS_SALES[#Headers],0))</f>
        <v>1</v>
      </c>
      <c r="F324">
        <f>INDEX('ECOMMERS SALES'!$A:$J,MATCH('index match'!$A324,'ECOMMERS SALES'!$C:$C,0),MATCH('index match'!F$1,ECOMMERS_SALES[#Headers],0))</f>
        <v>4736</v>
      </c>
      <c r="G324">
        <f>INDEX('ECOMMERS SALES'!$A:$J,MATCH('index match'!$A324,'ECOMMERS SALES'!$C:$C,0),MATCH('index match'!G$1,ECOMMERS_SALES[#Headers],0))</f>
        <v>4736</v>
      </c>
      <c r="H324" t="str">
        <f>INDEX('ECOMMERS SALES'!$A:$J,MATCH('index match'!$A324,'ECOMMERS SALES'!$C:$C,0),MATCH('index match'!H$1,ECOMMERS_SALES[#Headers],0))</f>
        <v>Chennai</v>
      </c>
      <c r="I324" t="str">
        <f>INDEX('ECOMMERS SALES'!$A:$J,MATCH('index match'!$A324,'ECOMMERS SALES'!$C:$C,0),MATCH('index match'!I$1,ECOMMERS_SALES[#Headers],0))</f>
        <v>New</v>
      </c>
      <c r="J324" t="str">
        <f>INDEX('ECOMMERS SALES'!$A:$J,MATCH('index match'!$A324,'ECOMMERS SALES'!$C:$C,0),MATCH('index match'!J$1,ECOMMERS_SALES[#Headers],0))</f>
        <v>UPI</v>
      </c>
    </row>
    <row r="325" spans="1:10" x14ac:dyDescent="0.35">
      <c r="A325" t="s">
        <v>25</v>
      </c>
      <c r="B325">
        <f>INDEX('ECOMMERS SALES'!$A:$J,MATCH('index match'!$A325,'ECOMMERS SALES'!$C:$C,0),MATCH('index match'!B$1,ECOMMERS_SALES[#Headers],0))</f>
        <v>1004</v>
      </c>
      <c r="C325" t="str">
        <f>INDEX('ECOMMERS SALES'!$A:$J,MATCH('index match'!$A325,'ECOMMERS SALES'!$C:$C,0),MATCH('index match'!C$1,ECOMMERS_SALES[#Headers],0))</f>
        <v>05-01-2025</v>
      </c>
      <c r="D325" t="str">
        <f>INDEX('ECOMMERS SALES'!$A:$J,MATCH('index match'!$A325,'ECOMMERS SALES'!$C:$C,0),MATCH('index match'!D$1,ECOMMERS_SALES[#Headers],0))</f>
        <v>Other</v>
      </c>
      <c r="E325">
        <f>INDEX('ECOMMERS SALES'!$A:$J,MATCH('index match'!$A325,'ECOMMERS SALES'!$C:$C,0),MATCH('index match'!E$1,ECOMMERS_SALES[#Headers],0))</f>
        <v>2</v>
      </c>
      <c r="F325">
        <f>INDEX('ECOMMERS SALES'!$A:$J,MATCH('index match'!$A325,'ECOMMERS SALES'!$C:$C,0),MATCH('index match'!F$1,ECOMMERS_SALES[#Headers],0))</f>
        <v>10072</v>
      </c>
      <c r="G325">
        <f>INDEX('ECOMMERS SALES'!$A:$J,MATCH('index match'!$A325,'ECOMMERS SALES'!$C:$C,0),MATCH('index match'!G$1,ECOMMERS_SALES[#Headers],0))</f>
        <v>20144</v>
      </c>
      <c r="H325" t="str">
        <f>INDEX('ECOMMERS SALES'!$A:$J,MATCH('index match'!$A325,'ECOMMERS SALES'!$C:$C,0),MATCH('index match'!H$1,ECOMMERS_SALES[#Headers],0))</f>
        <v>Pune</v>
      </c>
      <c r="I325" t="str">
        <f>INDEX('ECOMMERS SALES'!$A:$J,MATCH('index match'!$A325,'ECOMMERS SALES'!$C:$C,0),MATCH('index match'!I$1,ECOMMERS_SALES[#Headers],0))</f>
        <v>Premimum</v>
      </c>
      <c r="J325" t="str">
        <f>INDEX('ECOMMERS SALES'!$A:$J,MATCH('index match'!$A325,'ECOMMERS SALES'!$C:$C,0),MATCH('index match'!J$1,ECOMMERS_SALES[#Headers],0))</f>
        <v>Card</v>
      </c>
    </row>
    <row r="326" spans="1:10" x14ac:dyDescent="0.35">
      <c r="A326" t="s">
        <v>29</v>
      </c>
      <c r="B326">
        <f>INDEX('ECOMMERS SALES'!$A:$J,MATCH('index match'!$A326,'ECOMMERS SALES'!$C:$C,0),MATCH('index match'!B$1,ECOMMERS_SALES[#Headers],0))</f>
        <v>1005</v>
      </c>
      <c r="C326" t="str">
        <f>INDEX('ECOMMERS SALES'!$A:$J,MATCH('index match'!$A326,'ECOMMERS SALES'!$C:$C,0),MATCH('index match'!C$1,ECOMMERS_SALES[#Headers],0))</f>
        <v>06-01-2025</v>
      </c>
      <c r="D326" t="str">
        <f>INDEX('ECOMMERS SALES'!$A:$J,MATCH('index match'!$A326,'ECOMMERS SALES'!$C:$C,0),MATCH('index match'!D$1,ECOMMERS_SALES[#Headers],0))</f>
        <v>Other</v>
      </c>
      <c r="E326">
        <f>INDEX('ECOMMERS SALES'!$A:$J,MATCH('index match'!$A326,'ECOMMERS SALES'!$C:$C,0),MATCH('index match'!E$1,ECOMMERS_SALES[#Headers],0))</f>
        <v>2</v>
      </c>
      <c r="F326">
        <f>INDEX('ECOMMERS SALES'!$A:$J,MATCH('index match'!$A326,'ECOMMERS SALES'!$C:$C,0),MATCH('index match'!F$1,ECOMMERS_SALES[#Headers],0))</f>
        <v>920</v>
      </c>
      <c r="G326">
        <f>INDEX('ECOMMERS SALES'!$A:$J,MATCH('index match'!$A326,'ECOMMERS SALES'!$C:$C,0),MATCH('index match'!G$1,ECOMMERS_SALES[#Headers],0))</f>
        <v>1840</v>
      </c>
      <c r="H326" t="str">
        <f>INDEX('ECOMMERS SALES'!$A:$J,MATCH('index match'!$A326,'ECOMMERS SALES'!$C:$C,0),MATCH('index match'!H$1,ECOMMERS_SALES[#Headers],0))</f>
        <v>Pune</v>
      </c>
      <c r="I326" t="str">
        <f>INDEX('ECOMMERS SALES'!$A:$J,MATCH('index match'!$A326,'ECOMMERS SALES'!$C:$C,0),MATCH('index match'!I$1,ECOMMERS_SALES[#Headers],0))</f>
        <v>New</v>
      </c>
      <c r="J326" t="str">
        <f>INDEX('ECOMMERS SALES'!$A:$J,MATCH('index match'!$A326,'ECOMMERS SALES'!$C:$C,0),MATCH('index match'!J$1,ECOMMERS_SALES[#Headers],0))</f>
        <v>UPI</v>
      </c>
    </row>
    <row r="327" spans="1:10" x14ac:dyDescent="0.35">
      <c r="A327" t="s">
        <v>31</v>
      </c>
      <c r="B327">
        <f>INDEX('ECOMMERS SALES'!$A:$J,MATCH('index match'!$A327,'ECOMMERS SALES'!$C:$C,0),MATCH('index match'!B$1,ECOMMERS_SALES[#Headers],0))</f>
        <v>1006</v>
      </c>
      <c r="C327" t="str">
        <f>INDEX('ECOMMERS SALES'!$A:$J,MATCH('index match'!$A327,'ECOMMERS SALES'!$C:$C,0),MATCH('index match'!C$1,ECOMMERS_SALES[#Headers],0))</f>
        <v>07-01-2025</v>
      </c>
      <c r="D327" t="str">
        <f>INDEX('ECOMMERS SALES'!$A:$J,MATCH('index match'!$A327,'ECOMMERS SALES'!$C:$C,0),MATCH('index match'!D$1,ECOMMERS_SALES[#Headers],0))</f>
        <v>Electronics</v>
      </c>
      <c r="E327">
        <f>INDEX('ECOMMERS SALES'!$A:$J,MATCH('index match'!$A327,'ECOMMERS SALES'!$C:$C,0),MATCH('index match'!E$1,ECOMMERS_SALES[#Headers],0))</f>
        <v>1</v>
      </c>
      <c r="F327">
        <f>INDEX('ECOMMERS SALES'!$A:$J,MATCH('index match'!$A327,'ECOMMERS SALES'!$C:$C,0),MATCH('index match'!F$1,ECOMMERS_SALES[#Headers],0))</f>
        <v>13225</v>
      </c>
      <c r="G327">
        <f>INDEX('ECOMMERS SALES'!$A:$J,MATCH('index match'!$A327,'ECOMMERS SALES'!$C:$C,0),MATCH('index match'!G$1,ECOMMERS_SALES[#Headers],0))</f>
        <v>13225</v>
      </c>
      <c r="H327" t="str">
        <f>INDEX('ECOMMERS SALES'!$A:$J,MATCH('index match'!$A327,'ECOMMERS SALES'!$C:$C,0),MATCH('index match'!H$1,ECOMMERS_SALES[#Headers],0))</f>
        <v>Delhi</v>
      </c>
      <c r="I327" t="str">
        <f>INDEX('ECOMMERS SALES'!$A:$J,MATCH('index match'!$A327,'ECOMMERS SALES'!$C:$C,0),MATCH('index match'!I$1,ECOMMERS_SALES[#Headers],0))</f>
        <v>Returning</v>
      </c>
      <c r="J327" t="str">
        <f>INDEX('ECOMMERS SALES'!$A:$J,MATCH('index match'!$A327,'ECOMMERS SALES'!$C:$C,0),MATCH('index match'!J$1,ECOMMERS_SALES[#Headers],0))</f>
        <v>COD</v>
      </c>
    </row>
    <row r="328" spans="1:10" x14ac:dyDescent="0.35">
      <c r="A328" t="s">
        <v>35</v>
      </c>
      <c r="B328">
        <f>INDEX('ECOMMERS SALES'!$A:$J,MATCH('index match'!$A328,'ECOMMERS SALES'!$C:$C,0),MATCH('index match'!B$1,ECOMMERS_SALES[#Headers],0))</f>
        <v>1007</v>
      </c>
      <c r="C328" t="str">
        <f>INDEX('ECOMMERS SALES'!$A:$J,MATCH('index match'!$A328,'ECOMMERS SALES'!$C:$C,0),MATCH('index match'!C$1,ECOMMERS_SALES[#Headers],0))</f>
        <v>08-01-2025</v>
      </c>
      <c r="D328" t="str">
        <f>INDEX('ECOMMERS SALES'!$A:$J,MATCH('index match'!$A328,'ECOMMERS SALES'!$C:$C,0),MATCH('index match'!D$1,ECOMMERS_SALES[#Headers],0))</f>
        <v>Books</v>
      </c>
      <c r="E328">
        <f>INDEX('ECOMMERS SALES'!$A:$J,MATCH('index match'!$A328,'ECOMMERS SALES'!$C:$C,0),MATCH('index match'!E$1,ECOMMERS_SALES[#Headers],0))</f>
        <v>3</v>
      </c>
      <c r="F328">
        <f>INDEX('ECOMMERS SALES'!$A:$J,MATCH('index match'!$A328,'ECOMMERS SALES'!$C:$C,0),MATCH('index match'!F$1,ECOMMERS_SALES[#Headers],0))</f>
        <v>621</v>
      </c>
      <c r="G328">
        <f>INDEX('ECOMMERS SALES'!$A:$J,MATCH('index match'!$A328,'ECOMMERS SALES'!$C:$C,0),MATCH('index match'!G$1,ECOMMERS_SALES[#Headers],0))</f>
        <v>1863</v>
      </c>
      <c r="H328" t="str">
        <f>INDEX('ECOMMERS SALES'!$A:$J,MATCH('index match'!$A328,'ECOMMERS SALES'!$C:$C,0),MATCH('index match'!H$1,ECOMMERS_SALES[#Headers],0))</f>
        <v>Hyderabad</v>
      </c>
      <c r="I328" t="str">
        <f>INDEX('ECOMMERS SALES'!$A:$J,MATCH('index match'!$A328,'ECOMMERS SALES'!$C:$C,0),MATCH('index match'!I$1,ECOMMERS_SALES[#Headers],0))</f>
        <v>Premimum</v>
      </c>
      <c r="J328" t="str">
        <f>INDEX('ECOMMERS SALES'!$A:$J,MATCH('index match'!$A328,'ECOMMERS SALES'!$C:$C,0),MATCH('index match'!J$1,ECOMMERS_SALES[#Headers],0))</f>
        <v>UPI</v>
      </c>
    </row>
    <row r="329" spans="1:10" x14ac:dyDescent="0.35">
      <c r="A329" t="s">
        <v>39</v>
      </c>
      <c r="B329">
        <f>INDEX('ECOMMERS SALES'!$A:$J,MATCH('index match'!$A329,'ECOMMERS SALES'!$C:$C,0),MATCH('index match'!B$1,ECOMMERS_SALES[#Headers],0))</f>
        <v>1008</v>
      </c>
      <c r="C329" t="str">
        <f>INDEX('ECOMMERS SALES'!$A:$J,MATCH('index match'!$A329,'ECOMMERS SALES'!$C:$C,0),MATCH('index match'!C$1,ECOMMERS_SALES[#Headers],0))</f>
        <v>09-01-2025</v>
      </c>
      <c r="D329" t="str">
        <f>INDEX('ECOMMERS SALES'!$A:$J,MATCH('index match'!$A329,'ECOMMERS SALES'!$C:$C,0),MATCH('index match'!D$1,ECOMMERS_SALES[#Headers],0))</f>
        <v>Fashion</v>
      </c>
      <c r="E329">
        <f>INDEX('ECOMMERS SALES'!$A:$J,MATCH('index match'!$A329,'ECOMMERS SALES'!$C:$C,0),MATCH('index match'!E$1,ECOMMERS_SALES[#Headers],0))</f>
        <v>2</v>
      </c>
      <c r="F329">
        <f>INDEX('ECOMMERS SALES'!$A:$J,MATCH('index match'!$A329,'ECOMMERS SALES'!$C:$C,0),MATCH('index match'!F$1,ECOMMERS_SALES[#Headers],0))</f>
        <v>905</v>
      </c>
      <c r="G329">
        <f>INDEX('ECOMMERS SALES'!$A:$J,MATCH('index match'!$A329,'ECOMMERS SALES'!$C:$C,0),MATCH('index match'!G$1,ECOMMERS_SALES[#Headers],0))</f>
        <v>1810</v>
      </c>
      <c r="H329" t="str">
        <f>INDEX('ECOMMERS SALES'!$A:$J,MATCH('index match'!$A329,'ECOMMERS SALES'!$C:$C,0),MATCH('index match'!H$1,ECOMMERS_SALES[#Headers],0))</f>
        <v>Bangalore</v>
      </c>
      <c r="I329" t="str">
        <f>INDEX('ECOMMERS SALES'!$A:$J,MATCH('index match'!$A329,'ECOMMERS SALES'!$C:$C,0),MATCH('index match'!I$1,ECOMMERS_SALES[#Headers],0))</f>
        <v>New</v>
      </c>
      <c r="J329" t="str">
        <f>INDEX('ECOMMERS SALES'!$A:$J,MATCH('index match'!$A329,'ECOMMERS SALES'!$C:$C,0),MATCH('index match'!J$1,ECOMMERS_SALES[#Headers],0))</f>
        <v>COD</v>
      </c>
    </row>
    <row r="330" spans="1:10" x14ac:dyDescent="0.35">
      <c r="A330" t="s">
        <v>42</v>
      </c>
      <c r="B330">
        <f>INDEX('ECOMMERS SALES'!$A:$J,MATCH('index match'!$A330,'ECOMMERS SALES'!$C:$C,0),MATCH('index match'!B$1,ECOMMERS_SALES[#Headers],0))</f>
        <v>1009</v>
      </c>
      <c r="C330" t="str">
        <f>INDEX('ECOMMERS SALES'!$A:$J,MATCH('index match'!$A330,'ECOMMERS SALES'!$C:$C,0),MATCH('index match'!C$1,ECOMMERS_SALES[#Headers],0))</f>
        <v>10-01-2025</v>
      </c>
      <c r="D330" t="str">
        <f>INDEX('ECOMMERS SALES'!$A:$J,MATCH('index match'!$A330,'ECOMMERS SALES'!$C:$C,0),MATCH('index match'!D$1,ECOMMERS_SALES[#Headers],0))</f>
        <v>Electronics</v>
      </c>
      <c r="E330">
        <f>INDEX('ECOMMERS SALES'!$A:$J,MATCH('index match'!$A330,'ECOMMERS SALES'!$C:$C,0),MATCH('index match'!E$1,ECOMMERS_SALES[#Headers],0))</f>
        <v>1</v>
      </c>
      <c r="F330">
        <f>INDEX('ECOMMERS SALES'!$A:$J,MATCH('index match'!$A330,'ECOMMERS SALES'!$C:$C,0),MATCH('index match'!F$1,ECOMMERS_SALES[#Headers],0))</f>
        <v>8563</v>
      </c>
      <c r="G330">
        <f>INDEX('ECOMMERS SALES'!$A:$J,MATCH('index match'!$A330,'ECOMMERS SALES'!$C:$C,0),MATCH('index match'!G$1,ECOMMERS_SALES[#Headers],0))</f>
        <v>8563</v>
      </c>
      <c r="H330" t="str">
        <f>INDEX('ECOMMERS SALES'!$A:$J,MATCH('index match'!$A330,'ECOMMERS SALES'!$C:$C,0),MATCH('index match'!H$1,ECOMMERS_SALES[#Headers],0))</f>
        <v>Hyderabad</v>
      </c>
      <c r="I330" t="str">
        <f>INDEX('ECOMMERS SALES'!$A:$J,MATCH('index match'!$A330,'ECOMMERS SALES'!$C:$C,0),MATCH('index match'!I$1,ECOMMERS_SALES[#Headers],0))</f>
        <v>Returning</v>
      </c>
      <c r="J330" t="str">
        <f>INDEX('ECOMMERS SALES'!$A:$J,MATCH('index match'!$A330,'ECOMMERS SALES'!$C:$C,0),MATCH('index match'!J$1,ECOMMERS_SALES[#Headers],0))</f>
        <v>Card</v>
      </c>
    </row>
    <row r="331" spans="1:10" x14ac:dyDescent="0.35">
      <c r="A331" t="s">
        <v>44</v>
      </c>
      <c r="B331">
        <f>INDEX('ECOMMERS SALES'!$A:$J,MATCH('index match'!$A331,'ECOMMERS SALES'!$C:$C,0),MATCH('index match'!B$1,ECOMMERS_SALES[#Headers],0))</f>
        <v>1010</v>
      </c>
      <c r="C331" t="str">
        <f>INDEX('ECOMMERS SALES'!$A:$J,MATCH('index match'!$A331,'ECOMMERS SALES'!$C:$C,0),MATCH('index match'!C$1,ECOMMERS_SALES[#Headers],0))</f>
        <v>11-01-2025</v>
      </c>
      <c r="D331" t="str">
        <f>INDEX('ECOMMERS SALES'!$A:$J,MATCH('index match'!$A331,'ECOMMERS SALES'!$C:$C,0),MATCH('index match'!D$1,ECOMMERS_SALES[#Headers],0))</f>
        <v>Other</v>
      </c>
      <c r="E331">
        <f>INDEX('ECOMMERS SALES'!$A:$J,MATCH('index match'!$A331,'ECOMMERS SALES'!$C:$C,0),MATCH('index match'!E$1,ECOMMERS_SALES[#Headers],0))</f>
        <v>1</v>
      </c>
      <c r="F331">
        <f>INDEX('ECOMMERS SALES'!$A:$J,MATCH('index match'!$A331,'ECOMMERS SALES'!$C:$C,0),MATCH('index match'!F$1,ECOMMERS_SALES[#Headers],0))</f>
        <v>268</v>
      </c>
      <c r="G331">
        <f>INDEX('ECOMMERS SALES'!$A:$J,MATCH('index match'!$A331,'ECOMMERS SALES'!$C:$C,0),MATCH('index match'!G$1,ECOMMERS_SALES[#Headers],0))</f>
        <v>268</v>
      </c>
      <c r="H331" t="str">
        <f>INDEX('ECOMMERS SALES'!$A:$J,MATCH('index match'!$A331,'ECOMMERS SALES'!$C:$C,0),MATCH('index match'!H$1,ECOMMERS_SALES[#Headers],0))</f>
        <v>Chennai</v>
      </c>
      <c r="I331" t="str">
        <f>INDEX('ECOMMERS SALES'!$A:$J,MATCH('index match'!$A331,'ECOMMERS SALES'!$C:$C,0),MATCH('index match'!I$1,ECOMMERS_SALES[#Headers],0))</f>
        <v>New</v>
      </c>
      <c r="J331" t="str">
        <f>INDEX('ECOMMERS SALES'!$A:$J,MATCH('index match'!$A331,'ECOMMERS SALES'!$C:$C,0),MATCH('index match'!J$1,ECOMMERS_SALES[#Headers],0))</f>
        <v>UPI</v>
      </c>
    </row>
    <row r="332" spans="1:10" x14ac:dyDescent="0.35">
      <c r="A332" t="s">
        <v>11</v>
      </c>
      <c r="B332">
        <f>INDEX('ECOMMERS SALES'!$A:$J,MATCH('index match'!$A332,'ECOMMERS SALES'!$C:$C,0),MATCH('index match'!B$1,ECOMMERS_SALES[#Headers],0))</f>
        <v>1001</v>
      </c>
      <c r="C332" t="str">
        <f>INDEX('ECOMMERS SALES'!$A:$J,MATCH('index match'!$A332,'ECOMMERS SALES'!$C:$C,0),MATCH('index match'!C$1,ECOMMERS_SALES[#Headers],0))</f>
        <v>02-01-2025</v>
      </c>
      <c r="D332" t="str">
        <f>INDEX('ECOMMERS SALES'!$A:$J,MATCH('index match'!$A332,'ECOMMERS SALES'!$C:$C,0),MATCH('index match'!D$1,ECOMMERS_SALES[#Headers],0))</f>
        <v>Electronics</v>
      </c>
      <c r="E332">
        <f>INDEX('ECOMMERS SALES'!$A:$J,MATCH('index match'!$A332,'ECOMMERS SALES'!$C:$C,0),MATCH('index match'!E$1,ECOMMERS_SALES[#Headers],0))</f>
        <v>2</v>
      </c>
      <c r="F332">
        <f>INDEX('ECOMMERS SALES'!$A:$J,MATCH('index match'!$A332,'ECOMMERS SALES'!$C:$C,0),MATCH('index match'!F$1,ECOMMERS_SALES[#Headers],0))</f>
        <v>50353</v>
      </c>
      <c r="G332">
        <f>INDEX('ECOMMERS SALES'!$A:$J,MATCH('index match'!$A332,'ECOMMERS SALES'!$C:$C,0),MATCH('index match'!G$1,ECOMMERS_SALES[#Headers],0))</f>
        <v>100706</v>
      </c>
      <c r="H332" t="str">
        <f>INDEX('ECOMMERS SALES'!$A:$J,MATCH('index match'!$A332,'ECOMMERS SALES'!$C:$C,0),MATCH('index match'!H$1,ECOMMERS_SALES[#Headers],0))</f>
        <v>Chennai</v>
      </c>
      <c r="I332" t="str">
        <f>INDEX('ECOMMERS SALES'!$A:$J,MATCH('index match'!$A332,'ECOMMERS SALES'!$C:$C,0),MATCH('index match'!I$1,ECOMMERS_SALES[#Headers],0))</f>
        <v>Premimum</v>
      </c>
      <c r="J332" t="str">
        <f>INDEX('ECOMMERS SALES'!$A:$J,MATCH('index match'!$A332,'ECOMMERS SALES'!$C:$C,0),MATCH('index match'!J$1,ECOMMERS_SALES[#Headers],0))</f>
        <v>Card</v>
      </c>
    </row>
    <row r="333" spans="1:10" x14ac:dyDescent="0.35">
      <c r="A333" t="s">
        <v>17</v>
      </c>
      <c r="B333">
        <f>INDEX('ECOMMERS SALES'!$A:$J,MATCH('index match'!$A333,'ECOMMERS SALES'!$C:$C,0),MATCH('index match'!B$1,ECOMMERS_SALES[#Headers],0))</f>
        <v>1002</v>
      </c>
      <c r="C333" t="str">
        <f>INDEX('ECOMMERS SALES'!$A:$J,MATCH('index match'!$A333,'ECOMMERS SALES'!$C:$C,0),MATCH('index match'!C$1,ECOMMERS_SALES[#Headers],0))</f>
        <v>03-01-2025</v>
      </c>
      <c r="D333" t="str">
        <f>INDEX('ECOMMERS SALES'!$A:$J,MATCH('index match'!$A333,'ECOMMERS SALES'!$C:$C,0),MATCH('index match'!D$1,ECOMMERS_SALES[#Headers],0))</f>
        <v>Electronics</v>
      </c>
      <c r="E333">
        <f>INDEX('ECOMMERS SALES'!$A:$J,MATCH('index match'!$A333,'ECOMMERS SALES'!$C:$C,0),MATCH('index match'!E$1,ECOMMERS_SALES[#Headers],0))</f>
        <v>2</v>
      </c>
      <c r="F333">
        <f>INDEX('ECOMMERS SALES'!$A:$J,MATCH('index match'!$A333,'ECOMMERS SALES'!$C:$C,0),MATCH('index match'!F$1,ECOMMERS_SALES[#Headers],0))</f>
        <v>2008</v>
      </c>
      <c r="G333">
        <f>INDEX('ECOMMERS SALES'!$A:$J,MATCH('index match'!$A333,'ECOMMERS SALES'!$C:$C,0),MATCH('index match'!G$1,ECOMMERS_SALES[#Headers],0))</f>
        <v>4016</v>
      </c>
      <c r="H333" t="str">
        <f>INDEX('ECOMMERS SALES'!$A:$J,MATCH('index match'!$A333,'ECOMMERS SALES'!$C:$C,0),MATCH('index match'!H$1,ECOMMERS_SALES[#Headers],0))</f>
        <v>Delhi</v>
      </c>
      <c r="I333" t="str">
        <f>INDEX('ECOMMERS SALES'!$A:$J,MATCH('index match'!$A333,'ECOMMERS SALES'!$C:$C,0),MATCH('index match'!I$1,ECOMMERS_SALES[#Headers],0))</f>
        <v>New</v>
      </c>
      <c r="J333" t="str">
        <f>INDEX('ECOMMERS SALES'!$A:$J,MATCH('index match'!$A333,'ECOMMERS SALES'!$C:$C,0),MATCH('index match'!J$1,ECOMMERS_SALES[#Headers],0))</f>
        <v>UPI</v>
      </c>
    </row>
    <row r="334" spans="1:10" x14ac:dyDescent="0.35">
      <c r="A334" t="s">
        <v>22</v>
      </c>
      <c r="B334">
        <f>INDEX('ECOMMERS SALES'!$A:$J,MATCH('index match'!$A334,'ECOMMERS SALES'!$C:$C,0),MATCH('index match'!B$1,ECOMMERS_SALES[#Headers],0))</f>
        <v>1003</v>
      </c>
      <c r="C334" t="str">
        <f>INDEX('ECOMMERS SALES'!$A:$J,MATCH('index match'!$A334,'ECOMMERS SALES'!$C:$C,0),MATCH('index match'!C$1,ECOMMERS_SALES[#Headers],0))</f>
        <v>04-01-2025</v>
      </c>
      <c r="D334" t="str">
        <f>INDEX('ECOMMERS SALES'!$A:$J,MATCH('index match'!$A334,'ECOMMERS SALES'!$C:$C,0),MATCH('index match'!D$1,ECOMMERS_SALES[#Headers],0))</f>
        <v>Fashion</v>
      </c>
      <c r="E334">
        <f>INDEX('ECOMMERS SALES'!$A:$J,MATCH('index match'!$A334,'ECOMMERS SALES'!$C:$C,0),MATCH('index match'!E$1,ECOMMERS_SALES[#Headers],0))</f>
        <v>1</v>
      </c>
      <c r="F334">
        <f>INDEX('ECOMMERS SALES'!$A:$J,MATCH('index match'!$A334,'ECOMMERS SALES'!$C:$C,0),MATCH('index match'!F$1,ECOMMERS_SALES[#Headers],0))</f>
        <v>4736</v>
      </c>
      <c r="G334">
        <f>INDEX('ECOMMERS SALES'!$A:$J,MATCH('index match'!$A334,'ECOMMERS SALES'!$C:$C,0),MATCH('index match'!G$1,ECOMMERS_SALES[#Headers],0))</f>
        <v>4736</v>
      </c>
      <c r="H334" t="str">
        <f>INDEX('ECOMMERS SALES'!$A:$J,MATCH('index match'!$A334,'ECOMMERS SALES'!$C:$C,0),MATCH('index match'!H$1,ECOMMERS_SALES[#Headers],0))</f>
        <v>Chennai</v>
      </c>
      <c r="I334" t="str">
        <f>INDEX('ECOMMERS SALES'!$A:$J,MATCH('index match'!$A334,'ECOMMERS SALES'!$C:$C,0),MATCH('index match'!I$1,ECOMMERS_SALES[#Headers],0))</f>
        <v>New</v>
      </c>
      <c r="J334" t="str">
        <f>INDEX('ECOMMERS SALES'!$A:$J,MATCH('index match'!$A334,'ECOMMERS SALES'!$C:$C,0),MATCH('index match'!J$1,ECOMMERS_SALES[#Headers],0))</f>
        <v>UPI</v>
      </c>
    </row>
    <row r="335" spans="1:10" x14ac:dyDescent="0.35">
      <c r="A335" t="s">
        <v>25</v>
      </c>
      <c r="B335">
        <f>INDEX('ECOMMERS SALES'!$A:$J,MATCH('index match'!$A335,'ECOMMERS SALES'!$C:$C,0),MATCH('index match'!B$1,ECOMMERS_SALES[#Headers],0))</f>
        <v>1004</v>
      </c>
      <c r="C335" t="str">
        <f>INDEX('ECOMMERS SALES'!$A:$J,MATCH('index match'!$A335,'ECOMMERS SALES'!$C:$C,0),MATCH('index match'!C$1,ECOMMERS_SALES[#Headers],0))</f>
        <v>05-01-2025</v>
      </c>
      <c r="D335" t="str">
        <f>INDEX('ECOMMERS SALES'!$A:$J,MATCH('index match'!$A335,'ECOMMERS SALES'!$C:$C,0),MATCH('index match'!D$1,ECOMMERS_SALES[#Headers],0))</f>
        <v>Other</v>
      </c>
      <c r="E335">
        <f>INDEX('ECOMMERS SALES'!$A:$J,MATCH('index match'!$A335,'ECOMMERS SALES'!$C:$C,0),MATCH('index match'!E$1,ECOMMERS_SALES[#Headers],0))</f>
        <v>2</v>
      </c>
      <c r="F335">
        <f>INDEX('ECOMMERS SALES'!$A:$J,MATCH('index match'!$A335,'ECOMMERS SALES'!$C:$C,0),MATCH('index match'!F$1,ECOMMERS_SALES[#Headers],0))</f>
        <v>10072</v>
      </c>
      <c r="G335">
        <f>INDEX('ECOMMERS SALES'!$A:$J,MATCH('index match'!$A335,'ECOMMERS SALES'!$C:$C,0),MATCH('index match'!G$1,ECOMMERS_SALES[#Headers],0))</f>
        <v>20144</v>
      </c>
      <c r="H335" t="str">
        <f>INDEX('ECOMMERS SALES'!$A:$J,MATCH('index match'!$A335,'ECOMMERS SALES'!$C:$C,0),MATCH('index match'!H$1,ECOMMERS_SALES[#Headers],0))</f>
        <v>Pune</v>
      </c>
      <c r="I335" t="str">
        <f>INDEX('ECOMMERS SALES'!$A:$J,MATCH('index match'!$A335,'ECOMMERS SALES'!$C:$C,0),MATCH('index match'!I$1,ECOMMERS_SALES[#Headers],0))</f>
        <v>Premimum</v>
      </c>
      <c r="J335" t="str">
        <f>INDEX('ECOMMERS SALES'!$A:$J,MATCH('index match'!$A335,'ECOMMERS SALES'!$C:$C,0),MATCH('index match'!J$1,ECOMMERS_SALES[#Headers],0))</f>
        <v>Card</v>
      </c>
    </row>
    <row r="336" spans="1:10" x14ac:dyDescent="0.35">
      <c r="A336" t="s">
        <v>29</v>
      </c>
      <c r="B336">
        <f>INDEX('ECOMMERS SALES'!$A:$J,MATCH('index match'!$A336,'ECOMMERS SALES'!$C:$C,0),MATCH('index match'!B$1,ECOMMERS_SALES[#Headers],0))</f>
        <v>1005</v>
      </c>
      <c r="C336" t="str">
        <f>INDEX('ECOMMERS SALES'!$A:$J,MATCH('index match'!$A336,'ECOMMERS SALES'!$C:$C,0),MATCH('index match'!C$1,ECOMMERS_SALES[#Headers],0))</f>
        <v>06-01-2025</v>
      </c>
      <c r="D336" t="str">
        <f>INDEX('ECOMMERS SALES'!$A:$J,MATCH('index match'!$A336,'ECOMMERS SALES'!$C:$C,0),MATCH('index match'!D$1,ECOMMERS_SALES[#Headers],0))</f>
        <v>Other</v>
      </c>
      <c r="E336">
        <f>INDEX('ECOMMERS SALES'!$A:$J,MATCH('index match'!$A336,'ECOMMERS SALES'!$C:$C,0),MATCH('index match'!E$1,ECOMMERS_SALES[#Headers],0))</f>
        <v>2</v>
      </c>
      <c r="F336">
        <f>INDEX('ECOMMERS SALES'!$A:$J,MATCH('index match'!$A336,'ECOMMERS SALES'!$C:$C,0),MATCH('index match'!F$1,ECOMMERS_SALES[#Headers],0))</f>
        <v>920</v>
      </c>
      <c r="G336">
        <f>INDEX('ECOMMERS SALES'!$A:$J,MATCH('index match'!$A336,'ECOMMERS SALES'!$C:$C,0),MATCH('index match'!G$1,ECOMMERS_SALES[#Headers],0))</f>
        <v>1840</v>
      </c>
      <c r="H336" t="str">
        <f>INDEX('ECOMMERS SALES'!$A:$J,MATCH('index match'!$A336,'ECOMMERS SALES'!$C:$C,0),MATCH('index match'!H$1,ECOMMERS_SALES[#Headers],0))</f>
        <v>Pune</v>
      </c>
      <c r="I336" t="str">
        <f>INDEX('ECOMMERS SALES'!$A:$J,MATCH('index match'!$A336,'ECOMMERS SALES'!$C:$C,0),MATCH('index match'!I$1,ECOMMERS_SALES[#Headers],0))</f>
        <v>New</v>
      </c>
      <c r="J336" t="str">
        <f>INDEX('ECOMMERS SALES'!$A:$J,MATCH('index match'!$A336,'ECOMMERS SALES'!$C:$C,0),MATCH('index match'!J$1,ECOMMERS_SALES[#Headers],0))</f>
        <v>UPI</v>
      </c>
    </row>
    <row r="337" spans="1:10" x14ac:dyDescent="0.35">
      <c r="A337" t="s">
        <v>31</v>
      </c>
      <c r="B337">
        <f>INDEX('ECOMMERS SALES'!$A:$J,MATCH('index match'!$A337,'ECOMMERS SALES'!$C:$C,0),MATCH('index match'!B$1,ECOMMERS_SALES[#Headers],0))</f>
        <v>1006</v>
      </c>
      <c r="C337" t="str">
        <f>INDEX('ECOMMERS SALES'!$A:$J,MATCH('index match'!$A337,'ECOMMERS SALES'!$C:$C,0),MATCH('index match'!C$1,ECOMMERS_SALES[#Headers],0))</f>
        <v>07-01-2025</v>
      </c>
      <c r="D337" t="str">
        <f>INDEX('ECOMMERS SALES'!$A:$J,MATCH('index match'!$A337,'ECOMMERS SALES'!$C:$C,0),MATCH('index match'!D$1,ECOMMERS_SALES[#Headers],0))</f>
        <v>Electronics</v>
      </c>
      <c r="E337">
        <f>INDEX('ECOMMERS SALES'!$A:$J,MATCH('index match'!$A337,'ECOMMERS SALES'!$C:$C,0),MATCH('index match'!E$1,ECOMMERS_SALES[#Headers],0))</f>
        <v>1</v>
      </c>
      <c r="F337">
        <f>INDEX('ECOMMERS SALES'!$A:$J,MATCH('index match'!$A337,'ECOMMERS SALES'!$C:$C,0),MATCH('index match'!F$1,ECOMMERS_SALES[#Headers],0))</f>
        <v>13225</v>
      </c>
      <c r="G337">
        <f>INDEX('ECOMMERS SALES'!$A:$J,MATCH('index match'!$A337,'ECOMMERS SALES'!$C:$C,0),MATCH('index match'!G$1,ECOMMERS_SALES[#Headers],0))</f>
        <v>13225</v>
      </c>
      <c r="H337" t="str">
        <f>INDEX('ECOMMERS SALES'!$A:$J,MATCH('index match'!$A337,'ECOMMERS SALES'!$C:$C,0),MATCH('index match'!H$1,ECOMMERS_SALES[#Headers],0))</f>
        <v>Delhi</v>
      </c>
      <c r="I337" t="str">
        <f>INDEX('ECOMMERS SALES'!$A:$J,MATCH('index match'!$A337,'ECOMMERS SALES'!$C:$C,0),MATCH('index match'!I$1,ECOMMERS_SALES[#Headers],0))</f>
        <v>Returning</v>
      </c>
      <c r="J337" t="str">
        <f>INDEX('ECOMMERS SALES'!$A:$J,MATCH('index match'!$A337,'ECOMMERS SALES'!$C:$C,0),MATCH('index match'!J$1,ECOMMERS_SALES[#Headers],0))</f>
        <v>COD</v>
      </c>
    </row>
    <row r="338" spans="1:10" x14ac:dyDescent="0.35">
      <c r="A338" t="s">
        <v>35</v>
      </c>
      <c r="B338">
        <f>INDEX('ECOMMERS SALES'!$A:$J,MATCH('index match'!$A338,'ECOMMERS SALES'!$C:$C,0),MATCH('index match'!B$1,ECOMMERS_SALES[#Headers],0))</f>
        <v>1007</v>
      </c>
      <c r="C338" t="str">
        <f>INDEX('ECOMMERS SALES'!$A:$J,MATCH('index match'!$A338,'ECOMMERS SALES'!$C:$C,0),MATCH('index match'!C$1,ECOMMERS_SALES[#Headers],0))</f>
        <v>08-01-2025</v>
      </c>
      <c r="D338" t="str">
        <f>INDEX('ECOMMERS SALES'!$A:$J,MATCH('index match'!$A338,'ECOMMERS SALES'!$C:$C,0),MATCH('index match'!D$1,ECOMMERS_SALES[#Headers],0))</f>
        <v>Books</v>
      </c>
      <c r="E338">
        <f>INDEX('ECOMMERS SALES'!$A:$J,MATCH('index match'!$A338,'ECOMMERS SALES'!$C:$C,0),MATCH('index match'!E$1,ECOMMERS_SALES[#Headers],0))</f>
        <v>3</v>
      </c>
      <c r="F338">
        <f>INDEX('ECOMMERS SALES'!$A:$J,MATCH('index match'!$A338,'ECOMMERS SALES'!$C:$C,0),MATCH('index match'!F$1,ECOMMERS_SALES[#Headers],0))</f>
        <v>621</v>
      </c>
      <c r="G338">
        <f>INDEX('ECOMMERS SALES'!$A:$J,MATCH('index match'!$A338,'ECOMMERS SALES'!$C:$C,0),MATCH('index match'!G$1,ECOMMERS_SALES[#Headers],0))</f>
        <v>1863</v>
      </c>
      <c r="H338" t="str">
        <f>INDEX('ECOMMERS SALES'!$A:$J,MATCH('index match'!$A338,'ECOMMERS SALES'!$C:$C,0),MATCH('index match'!H$1,ECOMMERS_SALES[#Headers],0))</f>
        <v>Hyderabad</v>
      </c>
      <c r="I338" t="str">
        <f>INDEX('ECOMMERS SALES'!$A:$J,MATCH('index match'!$A338,'ECOMMERS SALES'!$C:$C,0),MATCH('index match'!I$1,ECOMMERS_SALES[#Headers],0))</f>
        <v>Premimum</v>
      </c>
      <c r="J338" t="str">
        <f>INDEX('ECOMMERS SALES'!$A:$J,MATCH('index match'!$A338,'ECOMMERS SALES'!$C:$C,0),MATCH('index match'!J$1,ECOMMERS_SALES[#Headers],0))</f>
        <v>UPI</v>
      </c>
    </row>
    <row r="339" spans="1:10" x14ac:dyDescent="0.35">
      <c r="A339" t="s">
        <v>39</v>
      </c>
      <c r="B339">
        <f>INDEX('ECOMMERS SALES'!$A:$J,MATCH('index match'!$A339,'ECOMMERS SALES'!$C:$C,0),MATCH('index match'!B$1,ECOMMERS_SALES[#Headers],0))</f>
        <v>1008</v>
      </c>
      <c r="C339" t="str">
        <f>INDEX('ECOMMERS SALES'!$A:$J,MATCH('index match'!$A339,'ECOMMERS SALES'!$C:$C,0),MATCH('index match'!C$1,ECOMMERS_SALES[#Headers],0))</f>
        <v>09-01-2025</v>
      </c>
      <c r="D339" t="str">
        <f>INDEX('ECOMMERS SALES'!$A:$J,MATCH('index match'!$A339,'ECOMMERS SALES'!$C:$C,0),MATCH('index match'!D$1,ECOMMERS_SALES[#Headers],0))</f>
        <v>Fashion</v>
      </c>
      <c r="E339">
        <f>INDEX('ECOMMERS SALES'!$A:$J,MATCH('index match'!$A339,'ECOMMERS SALES'!$C:$C,0),MATCH('index match'!E$1,ECOMMERS_SALES[#Headers],0))</f>
        <v>2</v>
      </c>
      <c r="F339">
        <f>INDEX('ECOMMERS SALES'!$A:$J,MATCH('index match'!$A339,'ECOMMERS SALES'!$C:$C,0),MATCH('index match'!F$1,ECOMMERS_SALES[#Headers],0))</f>
        <v>905</v>
      </c>
      <c r="G339">
        <f>INDEX('ECOMMERS SALES'!$A:$J,MATCH('index match'!$A339,'ECOMMERS SALES'!$C:$C,0),MATCH('index match'!G$1,ECOMMERS_SALES[#Headers],0))</f>
        <v>1810</v>
      </c>
      <c r="H339" t="str">
        <f>INDEX('ECOMMERS SALES'!$A:$J,MATCH('index match'!$A339,'ECOMMERS SALES'!$C:$C,0),MATCH('index match'!H$1,ECOMMERS_SALES[#Headers],0))</f>
        <v>Bangalore</v>
      </c>
      <c r="I339" t="str">
        <f>INDEX('ECOMMERS SALES'!$A:$J,MATCH('index match'!$A339,'ECOMMERS SALES'!$C:$C,0),MATCH('index match'!I$1,ECOMMERS_SALES[#Headers],0))</f>
        <v>New</v>
      </c>
      <c r="J339" t="str">
        <f>INDEX('ECOMMERS SALES'!$A:$J,MATCH('index match'!$A339,'ECOMMERS SALES'!$C:$C,0),MATCH('index match'!J$1,ECOMMERS_SALES[#Headers],0))</f>
        <v>COD</v>
      </c>
    </row>
    <row r="340" spans="1:10" x14ac:dyDescent="0.35">
      <c r="A340" t="s">
        <v>42</v>
      </c>
      <c r="B340">
        <f>INDEX('ECOMMERS SALES'!$A:$J,MATCH('index match'!$A340,'ECOMMERS SALES'!$C:$C,0),MATCH('index match'!B$1,ECOMMERS_SALES[#Headers],0))</f>
        <v>1009</v>
      </c>
      <c r="C340" t="str">
        <f>INDEX('ECOMMERS SALES'!$A:$J,MATCH('index match'!$A340,'ECOMMERS SALES'!$C:$C,0),MATCH('index match'!C$1,ECOMMERS_SALES[#Headers],0))</f>
        <v>10-01-2025</v>
      </c>
      <c r="D340" t="str">
        <f>INDEX('ECOMMERS SALES'!$A:$J,MATCH('index match'!$A340,'ECOMMERS SALES'!$C:$C,0),MATCH('index match'!D$1,ECOMMERS_SALES[#Headers],0))</f>
        <v>Electronics</v>
      </c>
      <c r="E340">
        <f>INDEX('ECOMMERS SALES'!$A:$J,MATCH('index match'!$A340,'ECOMMERS SALES'!$C:$C,0),MATCH('index match'!E$1,ECOMMERS_SALES[#Headers],0))</f>
        <v>1</v>
      </c>
      <c r="F340">
        <f>INDEX('ECOMMERS SALES'!$A:$J,MATCH('index match'!$A340,'ECOMMERS SALES'!$C:$C,0),MATCH('index match'!F$1,ECOMMERS_SALES[#Headers],0))</f>
        <v>8563</v>
      </c>
      <c r="G340">
        <f>INDEX('ECOMMERS SALES'!$A:$J,MATCH('index match'!$A340,'ECOMMERS SALES'!$C:$C,0),MATCH('index match'!G$1,ECOMMERS_SALES[#Headers],0))</f>
        <v>8563</v>
      </c>
      <c r="H340" t="str">
        <f>INDEX('ECOMMERS SALES'!$A:$J,MATCH('index match'!$A340,'ECOMMERS SALES'!$C:$C,0),MATCH('index match'!H$1,ECOMMERS_SALES[#Headers],0))</f>
        <v>Hyderabad</v>
      </c>
      <c r="I340" t="str">
        <f>INDEX('ECOMMERS SALES'!$A:$J,MATCH('index match'!$A340,'ECOMMERS SALES'!$C:$C,0),MATCH('index match'!I$1,ECOMMERS_SALES[#Headers],0))</f>
        <v>Returning</v>
      </c>
      <c r="J340" t="str">
        <f>INDEX('ECOMMERS SALES'!$A:$J,MATCH('index match'!$A340,'ECOMMERS SALES'!$C:$C,0),MATCH('index match'!J$1,ECOMMERS_SALES[#Headers],0))</f>
        <v>Card</v>
      </c>
    </row>
    <row r="341" spans="1:10" x14ac:dyDescent="0.35">
      <c r="A341" t="s">
        <v>44</v>
      </c>
      <c r="B341">
        <f>INDEX('ECOMMERS SALES'!$A:$J,MATCH('index match'!$A341,'ECOMMERS SALES'!$C:$C,0),MATCH('index match'!B$1,ECOMMERS_SALES[#Headers],0))</f>
        <v>1010</v>
      </c>
      <c r="C341" t="str">
        <f>INDEX('ECOMMERS SALES'!$A:$J,MATCH('index match'!$A341,'ECOMMERS SALES'!$C:$C,0),MATCH('index match'!C$1,ECOMMERS_SALES[#Headers],0))</f>
        <v>11-01-2025</v>
      </c>
      <c r="D341" t="str">
        <f>INDEX('ECOMMERS SALES'!$A:$J,MATCH('index match'!$A341,'ECOMMERS SALES'!$C:$C,0),MATCH('index match'!D$1,ECOMMERS_SALES[#Headers],0))</f>
        <v>Other</v>
      </c>
      <c r="E341">
        <f>INDEX('ECOMMERS SALES'!$A:$J,MATCH('index match'!$A341,'ECOMMERS SALES'!$C:$C,0),MATCH('index match'!E$1,ECOMMERS_SALES[#Headers],0))</f>
        <v>1</v>
      </c>
      <c r="F341">
        <f>INDEX('ECOMMERS SALES'!$A:$J,MATCH('index match'!$A341,'ECOMMERS SALES'!$C:$C,0),MATCH('index match'!F$1,ECOMMERS_SALES[#Headers],0))</f>
        <v>268</v>
      </c>
      <c r="G341">
        <f>INDEX('ECOMMERS SALES'!$A:$J,MATCH('index match'!$A341,'ECOMMERS SALES'!$C:$C,0),MATCH('index match'!G$1,ECOMMERS_SALES[#Headers],0))</f>
        <v>268</v>
      </c>
      <c r="H341" t="str">
        <f>INDEX('ECOMMERS SALES'!$A:$J,MATCH('index match'!$A341,'ECOMMERS SALES'!$C:$C,0),MATCH('index match'!H$1,ECOMMERS_SALES[#Headers],0))</f>
        <v>Chennai</v>
      </c>
      <c r="I341" t="str">
        <f>INDEX('ECOMMERS SALES'!$A:$J,MATCH('index match'!$A341,'ECOMMERS SALES'!$C:$C,0),MATCH('index match'!I$1,ECOMMERS_SALES[#Headers],0))</f>
        <v>New</v>
      </c>
      <c r="J341" t="str">
        <f>INDEX('ECOMMERS SALES'!$A:$J,MATCH('index match'!$A341,'ECOMMERS SALES'!$C:$C,0),MATCH('index match'!J$1,ECOMMERS_SALES[#Headers],0))</f>
        <v>UPI</v>
      </c>
    </row>
    <row r="342" spans="1:10" x14ac:dyDescent="0.35">
      <c r="A342" t="s">
        <v>11</v>
      </c>
      <c r="B342">
        <f>INDEX('ECOMMERS SALES'!$A:$J,MATCH('index match'!$A342,'ECOMMERS SALES'!$C:$C,0),MATCH('index match'!B$1,ECOMMERS_SALES[#Headers],0))</f>
        <v>1001</v>
      </c>
      <c r="C342" t="str">
        <f>INDEX('ECOMMERS SALES'!$A:$J,MATCH('index match'!$A342,'ECOMMERS SALES'!$C:$C,0),MATCH('index match'!C$1,ECOMMERS_SALES[#Headers],0))</f>
        <v>02-01-2025</v>
      </c>
      <c r="D342" t="str">
        <f>INDEX('ECOMMERS SALES'!$A:$J,MATCH('index match'!$A342,'ECOMMERS SALES'!$C:$C,0),MATCH('index match'!D$1,ECOMMERS_SALES[#Headers],0))</f>
        <v>Electronics</v>
      </c>
      <c r="E342">
        <f>INDEX('ECOMMERS SALES'!$A:$J,MATCH('index match'!$A342,'ECOMMERS SALES'!$C:$C,0),MATCH('index match'!E$1,ECOMMERS_SALES[#Headers],0))</f>
        <v>2</v>
      </c>
      <c r="F342">
        <f>INDEX('ECOMMERS SALES'!$A:$J,MATCH('index match'!$A342,'ECOMMERS SALES'!$C:$C,0),MATCH('index match'!F$1,ECOMMERS_SALES[#Headers],0))</f>
        <v>50353</v>
      </c>
      <c r="G342">
        <f>INDEX('ECOMMERS SALES'!$A:$J,MATCH('index match'!$A342,'ECOMMERS SALES'!$C:$C,0),MATCH('index match'!G$1,ECOMMERS_SALES[#Headers],0))</f>
        <v>100706</v>
      </c>
      <c r="H342" t="str">
        <f>INDEX('ECOMMERS SALES'!$A:$J,MATCH('index match'!$A342,'ECOMMERS SALES'!$C:$C,0),MATCH('index match'!H$1,ECOMMERS_SALES[#Headers],0))</f>
        <v>Chennai</v>
      </c>
      <c r="I342" t="str">
        <f>INDEX('ECOMMERS SALES'!$A:$J,MATCH('index match'!$A342,'ECOMMERS SALES'!$C:$C,0),MATCH('index match'!I$1,ECOMMERS_SALES[#Headers],0))</f>
        <v>Premimum</v>
      </c>
      <c r="J342" t="str">
        <f>INDEX('ECOMMERS SALES'!$A:$J,MATCH('index match'!$A342,'ECOMMERS SALES'!$C:$C,0),MATCH('index match'!J$1,ECOMMERS_SALES[#Headers],0))</f>
        <v>Card</v>
      </c>
    </row>
    <row r="343" spans="1:10" x14ac:dyDescent="0.35">
      <c r="A343" t="s">
        <v>17</v>
      </c>
      <c r="B343">
        <f>INDEX('ECOMMERS SALES'!$A:$J,MATCH('index match'!$A343,'ECOMMERS SALES'!$C:$C,0),MATCH('index match'!B$1,ECOMMERS_SALES[#Headers],0))</f>
        <v>1002</v>
      </c>
      <c r="C343" t="str">
        <f>INDEX('ECOMMERS SALES'!$A:$J,MATCH('index match'!$A343,'ECOMMERS SALES'!$C:$C,0),MATCH('index match'!C$1,ECOMMERS_SALES[#Headers],0))</f>
        <v>03-01-2025</v>
      </c>
      <c r="D343" t="str">
        <f>INDEX('ECOMMERS SALES'!$A:$J,MATCH('index match'!$A343,'ECOMMERS SALES'!$C:$C,0),MATCH('index match'!D$1,ECOMMERS_SALES[#Headers],0))</f>
        <v>Electronics</v>
      </c>
      <c r="E343">
        <f>INDEX('ECOMMERS SALES'!$A:$J,MATCH('index match'!$A343,'ECOMMERS SALES'!$C:$C,0),MATCH('index match'!E$1,ECOMMERS_SALES[#Headers],0))</f>
        <v>2</v>
      </c>
      <c r="F343">
        <f>INDEX('ECOMMERS SALES'!$A:$J,MATCH('index match'!$A343,'ECOMMERS SALES'!$C:$C,0),MATCH('index match'!F$1,ECOMMERS_SALES[#Headers],0))</f>
        <v>2008</v>
      </c>
      <c r="G343">
        <f>INDEX('ECOMMERS SALES'!$A:$J,MATCH('index match'!$A343,'ECOMMERS SALES'!$C:$C,0),MATCH('index match'!G$1,ECOMMERS_SALES[#Headers],0))</f>
        <v>4016</v>
      </c>
      <c r="H343" t="str">
        <f>INDEX('ECOMMERS SALES'!$A:$J,MATCH('index match'!$A343,'ECOMMERS SALES'!$C:$C,0),MATCH('index match'!H$1,ECOMMERS_SALES[#Headers],0))</f>
        <v>Delhi</v>
      </c>
      <c r="I343" t="str">
        <f>INDEX('ECOMMERS SALES'!$A:$J,MATCH('index match'!$A343,'ECOMMERS SALES'!$C:$C,0),MATCH('index match'!I$1,ECOMMERS_SALES[#Headers],0))</f>
        <v>New</v>
      </c>
      <c r="J343" t="str">
        <f>INDEX('ECOMMERS SALES'!$A:$J,MATCH('index match'!$A343,'ECOMMERS SALES'!$C:$C,0),MATCH('index match'!J$1,ECOMMERS_SALES[#Headers],0))</f>
        <v>UPI</v>
      </c>
    </row>
    <row r="344" spans="1:10" x14ac:dyDescent="0.35">
      <c r="A344" t="s">
        <v>22</v>
      </c>
      <c r="B344">
        <f>INDEX('ECOMMERS SALES'!$A:$J,MATCH('index match'!$A344,'ECOMMERS SALES'!$C:$C,0),MATCH('index match'!B$1,ECOMMERS_SALES[#Headers],0))</f>
        <v>1003</v>
      </c>
      <c r="C344" t="str">
        <f>INDEX('ECOMMERS SALES'!$A:$J,MATCH('index match'!$A344,'ECOMMERS SALES'!$C:$C,0),MATCH('index match'!C$1,ECOMMERS_SALES[#Headers],0))</f>
        <v>04-01-2025</v>
      </c>
      <c r="D344" t="str">
        <f>INDEX('ECOMMERS SALES'!$A:$J,MATCH('index match'!$A344,'ECOMMERS SALES'!$C:$C,0),MATCH('index match'!D$1,ECOMMERS_SALES[#Headers],0))</f>
        <v>Fashion</v>
      </c>
      <c r="E344">
        <f>INDEX('ECOMMERS SALES'!$A:$J,MATCH('index match'!$A344,'ECOMMERS SALES'!$C:$C,0),MATCH('index match'!E$1,ECOMMERS_SALES[#Headers],0))</f>
        <v>1</v>
      </c>
      <c r="F344">
        <f>INDEX('ECOMMERS SALES'!$A:$J,MATCH('index match'!$A344,'ECOMMERS SALES'!$C:$C,0),MATCH('index match'!F$1,ECOMMERS_SALES[#Headers],0))</f>
        <v>4736</v>
      </c>
      <c r="G344">
        <f>INDEX('ECOMMERS SALES'!$A:$J,MATCH('index match'!$A344,'ECOMMERS SALES'!$C:$C,0),MATCH('index match'!G$1,ECOMMERS_SALES[#Headers],0))</f>
        <v>4736</v>
      </c>
      <c r="H344" t="str">
        <f>INDEX('ECOMMERS SALES'!$A:$J,MATCH('index match'!$A344,'ECOMMERS SALES'!$C:$C,0),MATCH('index match'!H$1,ECOMMERS_SALES[#Headers],0))</f>
        <v>Chennai</v>
      </c>
      <c r="I344" t="str">
        <f>INDEX('ECOMMERS SALES'!$A:$J,MATCH('index match'!$A344,'ECOMMERS SALES'!$C:$C,0),MATCH('index match'!I$1,ECOMMERS_SALES[#Headers],0))</f>
        <v>New</v>
      </c>
      <c r="J344" t="str">
        <f>INDEX('ECOMMERS SALES'!$A:$J,MATCH('index match'!$A344,'ECOMMERS SALES'!$C:$C,0),MATCH('index match'!J$1,ECOMMERS_SALES[#Headers],0))</f>
        <v>UPI</v>
      </c>
    </row>
    <row r="345" spans="1:10" x14ac:dyDescent="0.35">
      <c r="A345" t="s">
        <v>25</v>
      </c>
      <c r="B345">
        <f>INDEX('ECOMMERS SALES'!$A:$J,MATCH('index match'!$A345,'ECOMMERS SALES'!$C:$C,0),MATCH('index match'!B$1,ECOMMERS_SALES[#Headers],0))</f>
        <v>1004</v>
      </c>
      <c r="C345" t="str">
        <f>INDEX('ECOMMERS SALES'!$A:$J,MATCH('index match'!$A345,'ECOMMERS SALES'!$C:$C,0),MATCH('index match'!C$1,ECOMMERS_SALES[#Headers],0))</f>
        <v>05-01-2025</v>
      </c>
      <c r="D345" t="str">
        <f>INDEX('ECOMMERS SALES'!$A:$J,MATCH('index match'!$A345,'ECOMMERS SALES'!$C:$C,0),MATCH('index match'!D$1,ECOMMERS_SALES[#Headers],0))</f>
        <v>Other</v>
      </c>
      <c r="E345">
        <f>INDEX('ECOMMERS SALES'!$A:$J,MATCH('index match'!$A345,'ECOMMERS SALES'!$C:$C,0),MATCH('index match'!E$1,ECOMMERS_SALES[#Headers],0))</f>
        <v>2</v>
      </c>
      <c r="F345">
        <f>INDEX('ECOMMERS SALES'!$A:$J,MATCH('index match'!$A345,'ECOMMERS SALES'!$C:$C,0),MATCH('index match'!F$1,ECOMMERS_SALES[#Headers],0))</f>
        <v>10072</v>
      </c>
      <c r="G345">
        <f>INDEX('ECOMMERS SALES'!$A:$J,MATCH('index match'!$A345,'ECOMMERS SALES'!$C:$C,0),MATCH('index match'!G$1,ECOMMERS_SALES[#Headers],0))</f>
        <v>20144</v>
      </c>
      <c r="H345" t="str">
        <f>INDEX('ECOMMERS SALES'!$A:$J,MATCH('index match'!$A345,'ECOMMERS SALES'!$C:$C,0),MATCH('index match'!H$1,ECOMMERS_SALES[#Headers],0))</f>
        <v>Pune</v>
      </c>
      <c r="I345" t="str">
        <f>INDEX('ECOMMERS SALES'!$A:$J,MATCH('index match'!$A345,'ECOMMERS SALES'!$C:$C,0),MATCH('index match'!I$1,ECOMMERS_SALES[#Headers],0))</f>
        <v>Premimum</v>
      </c>
      <c r="J345" t="str">
        <f>INDEX('ECOMMERS SALES'!$A:$J,MATCH('index match'!$A345,'ECOMMERS SALES'!$C:$C,0),MATCH('index match'!J$1,ECOMMERS_SALES[#Headers],0))</f>
        <v>Card</v>
      </c>
    </row>
    <row r="346" spans="1:10" x14ac:dyDescent="0.35">
      <c r="A346" t="s">
        <v>29</v>
      </c>
      <c r="B346">
        <f>INDEX('ECOMMERS SALES'!$A:$J,MATCH('index match'!$A346,'ECOMMERS SALES'!$C:$C,0),MATCH('index match'!B$1,ECOMMERS_SALES[#Headers],0))</f>
        <v>1005</v>
      </c>
      <c r="C346" t="str">
        <f>INDEX('ECOMMERS SALES'!$A:$J,MATCH('index match'!$A346,'ECOMMERS SALES'!$C:$C,0),MATCH('index match'!C$1,ECOMMERS_SALES[#Headers],0))</f>
        <v>06-01-2025</v>
      </c>
      <c r="D346" t="str">
        <f>INDEX('ECOMMERS SALES'!$A:$J,MATCH('index match'!$A346,'ECOMMERS SALES'!$C:$C,0),MATCH('index match'!D$1,ECOMMERS_SALES[#Headers],0))</f>
        <v>Other</v>
      </c>
      <c r="E346">
        <f>INDEX('ECOMMERS SALES'!$A:$J,MATCH('index match'!$A346,'ECOMMERS SALES'!$C:$C,0),MATCH('index match'!E$1,ECOMMERS_SALES[#Headers],0))</f>
        <v>2</v>
      </c>
      <c r="F346">
        <f>INDEX('ECOMMERS SALES'!$A:$J,MATCH('index match'!$A346,'ECOMMERS SALES'!$C:$C,0),MATCH('index match'!F$1,ECOMMERS_SALES[#Headers],0))</f>
        <v>920</v>
      </c>
      <c r="G346">
        <f>INDEX('ECOMMERS SALES'!$A:$J,MATCH('index match'!$A346,'ECOMMERS SALES'!$C:$C,0),MATCH('index match'!G$1,ECOMMERS_SALES[#Headers],0))</f>
        <v>1840</v>
      </c>
      <c r="H346" t="str">
        <f>INDEX('ECOMMERS SALES'!$A:$J,MATCH('index match'!$A346,'ECOMMERS SALES'!$C:$C,0),MATCH('index match'!H$1,ECOMMERS_SALES[#Headers],0))</f>
        <v>Pune</v>
      </c>
      <c r="I346" t="str">
        <f>INDEX('ECOMMERS SALES'!$A:$J,MATCH('index match'!$A346,'ECOMMERS SALES'!$C:$C,0),MATCH('index match'!I$1,ECOMMERS_SALES[#Headers],0))</f>
        <v>New</v>
      </c>
      <c r="J346" t="str">
        <f>INDEX('ECOMMERS SALES'!$A:$J,MATCH('index match'!$A346,'ECOMMERS SALES'!$C:$C,0),MATCH('index match'!J$1,ECOMMERS_SALES[#Headers],0))</f>
        <v>UPI</v>
      </c>
    </row>
    <row r="347" spans="1:10" x14ac:dyDescent="0.35">
      <c r="A347" t="s">
        <v>31</v>
      </c>
      <c r="B347">
        <f>INDEX('ECOMMERS SALES'!$A:$J,MATCH('index match'!$A347,'ECOMMERS SALES'!$C:$C,0),MATCH('index match'!B$1,ECOMMERS_SALES[#Headers],0))</f>
        <v>1006</v>
      </c>
      <c r="C347" t="str">
        <f>INDEX('ECOMMERS SALES'!$A:$J,MATCH('index match'!$A347,'ECOMMERS SALES'!$C:$C,0),MATCH('index match'!C$1,ECOMMERS_SALES[#Headers],0))</f>
        <v>07-01-2025</v>
      </c>
      <c r="D347" t="str">
        <f>INDEX('ECOMMERS SALES'!$A:$J,MATCH('index match'!$A347,'ECOMMERS SALES'!$C:$C,0),MATCH('index match'!D$1,ECOMMERS_SALES[#Headers],0))</f>
        <v>Electronics</v>
      </c>
      <c r="E347">
        <f>INDEX('ECOMMERS SALES'!$A:$J,MATCH('index match'!$A347,'ECOMMERS SALES'!$C:$C,0),MATCH('index match'!E$1,ECOMMERS_SALES[#Headers],0))</f>
        <v>1</v>
      </c>
      <c r="F347">
        <f>INDEX('ECOMMERS SALES'!$A:$J,MATCH('index match'!$A347,'ECOMMERS SALES'!$C:$C,0),MATCH('index match'!F$1,ECOMMERS_SALES[#Headers],0))</f>
        <v>13225</v>
      </c>
      <c r="G347">
        <f>INDEX('ECOMMERS SALES'!$A:$J,MATCH('index match'!$A347,'ECOMMERS SALES'!$C:$C,0),MATCH('index match'!G$1,ECOMMERS_SALES[#Headers],0))</f>
        <v>13225</v>
      </c>
      <c r="H347" t="str">
        <f>INDEX('ECOMMERS SALES'!$A:$J,MATCH('index match'!$A347,'ECOMMERS SALES'!$C:$C,0),MATCH('index match'!H$1,ECOMMERS_SALES[#Headers],0))</f>
        <v>Delhi</v>
      </c>
      <c r="I347" t="str">
        <f>INDEX('ECOMMERS SALES'!$A:$J,MATCH('index match'!$A347,'ECOMMERS SALES'!$C:$C,0),MATCH('index match'!I$1,ECOMMERS_SALES[#Headers],0))</f>
        <v>Returning</v>
      </c>
      <c r="J347" t="str">
        <f>INDEX('ECOMMERS SALES'!$A:$J,MATCH('index match'!$A347,'ECOMMERS SALES'!$C:$C,0),MATCH('index match'!J$1,ECOMMERS_SALES[#Headers],0))</f>
        <v>COD</v>
      </c>
    </row>
    <row r="348" spans="1:10" x14ac:dyDescent="0.35">
      <c r="A348" t="s">
        <v>35</v>
      </c>
      <c r="B348">
        <f>INDEX('ECOMMERS SALES'!$A:$J,MATCH('index match'!$A348,'ECOMMERS SALES'!$C:$C,0),MATCH('index match'!B$1,ECOMMERS_SALES[#Headers],0))</f>
        <v>1007</v>
      </c>
      <c r="C348" t="str">
        <f>INDEX('ECOMMERS SALES'!$A:$J,MATCH('index match'!$A348,'ECOMMERS SALES'!$C:$C,0),MATCH('index match'!C$1,ECOMMERS_SALES[#Headers],0))</f>
        <v>08-01-2025</v>
      </c>
      <c r="D348" t="str">
        <f>INDEX('ECOMMERS SALES'!$A:$J,MATCH('index match'!$A348,'ECOMMERS SALES'!$C:$C,0),MATCH('index match'!D$1,ECOMMERS_SALES[#Headers],0))</f>
        <v>Books</v>
      </c>
      <c r="E348">
        <f>INDEX('ECOMMERS SALES'!$A:$J,MATCH('index match'!$A348,'ECOMMERS SALES'!$C:$C,0),MATCH('index match'!E$1,ECOMMERS_SALES[#Headers],0))</f>
        <v>3</v>
      </c>
      <c r="F348">
        <f>INDEX('ECOMMERS SALES'!$A:$J,MATCH('index match'!$A348,'ECOMMERS SALES'!$C:$C,0),MATCH('index match'!F$1,ECOMMERS_SALES[#Headers],0))</f>
        <v>621</v>
      </c>
      <c r="G348">
        <f>INDEX('ECOMMERS SALES'!$A:$J,MATCH('index match'!$A348,'ECOMMERS SALES'!$C:$C,0),MATCH('index match'!G$1,ECOMMERS_SALES[#Headers],0))</f>
        <v>1863</v>
      </c>
      <c r="H348" t="str">
        <f>INDEX('ECOMMERS SALES'!$A:$J,MATCH('index match'!$A348,'ECOMMERS SALES'!$C:$C,0),MATCH('index match'!H$1,ECOMMERS_SALES[#Headers],0))</f>
        <v>Hyderabad</v>
      </c>
      <c r="I348" t="str">
        <f>INDEX('ECOMMERS SALES'!$A:$J,MATCH('index match'!$A348,'ECOMMERS SALES'!$C:$C,0),MATCH('index match'!I$1,ECOMMERS_SALES[#Headers],0))</f>
        <v>Premimum</v>
      </c>
      <c r="J348" t="str">
        <f>INDEX('ECOMMERS SALES'!$A:$J,MATCH('index match'!$A348,'ECOMMERS SALES'!$C:$C,0),MATCH('index match'!J$1,ECOMMERS_SALES[#Headers],0))</f>
        <v>UPI</v>
      </c>
    </row>
    <row r="349" spans="1:10" x14ac:dyDescent="0.35">
      <c r="A349" t="s">
        <v>39</v>
      </c>
      <c r="B349">
        <f>INDEX('ECOMMERS SALES'!$A:$J,MATCH('index match'!$A349,'ECOMMERS SALES'!$C:$C,0),MATCH('index match'!B$1,ECOMMERS_SALES[#Headers],0))</f>
        <v>1008</v>
      </c>
      <c r="C349" t="str">
        <f>INDEX('ECOMMERS SALES'!$A:$J,MATCH('index match'!$A349,'ECOMMERS SALES'!$C:$C,0),MATCH('index match'!C$1,ECOMMERS_SALES[#Headers],0))</f>
        <v>09-01-2025</v>
      </c>
      <c r="D349" t="str">
        <f>INDEX('ECOMMERS SALES'!$A:$J,MATCH('index match'!$A349,'ECOMMERS SALES'!$C:$C,0),MATCH('index match'!D$1,ECOMMERS_SALES[#Headers],0))</f>
        <v>Fashion</v>
      </c>
      <c r="E349">
        <f>INDEX('ECOMMERS SALES'!$A:$J,MATCH('index match'!$A349,'ECOMMERS SALES'!$C:$C,0),MATCH('index match'!E$1,ECOMMERS_SALES[#Headers],0))</f>
        <v>2</v>
      </c>
      <c r="F349">
        <f>INDEX('ECOMMERS SALES'!$A:$J,MATCH('index match'!$A349,'ECOMMERS SALES'!$C:$C,0),MATCH('index match'!F$1,ECOMMERS_SALES[#Headers],0))</f>
        <v>905</v>
      </c>
      <c r="G349">
        <f>INDEX('ECOMMERS SALES'!$A:$J,MATCH('index match'!$A349,'ECOMMERS SALES'!$C:$C,0),MATCH('index match'!G$1,ECOMMERS_SALES[#Headers],0))</f>
        <v>1810</v>
      </c>
      <c r="H349" t="str">
        <f>INDEX('ECOMMERS SALES'!$A:$J,MATCH('index match'!$A349,'ECOMMERS SALES'!$C:$C,0),MATCH('index match'!H$1,ECOMMERS_SALES[#Headers],0))</f>
        <v>Bangalore</v>
      </c>
      <c r="I349" t="str">
        <f>INDEX('ECOMMERS SALES'!$A:$J,MATCH('index match'!$A349,'ECOMMERS SALES'!$C:$C,0),MATCH('index match'!I$1,ECOMMERS_SALES[#Headers],0))</f>
        <v>New</v>
      </c>
      <c r="J349" t="str">
        <f>INDEX('ECOMMERS SALES'!$A:$J,MATCH('index match'!$A349,'ECOMMERS SALES'!$C:$C,0),MATCH('index match'!J$1,ECOMMERS_SALES[#Headers],0))</f>
        <v>COD</v>
      </c>
    </row>
    <row r="350" spans="1:10" x14ac:dyDescent="0.35">
      <c r="A350" t="s">
        <v>42</v>
      </c>
      <c r="B350">
        <f>INDEX('ECOMMERS SALES'!$A:$J,MATCH('index match'!$A350,'ECOMMERS SALES'!$C:$C,0),MATCH('index match'!B$1,ECOMMERS_SALES[#Headers],0))</f>
        <v>1009</v>
      </c>
      <c r="C350" t="str">
        <f>INDEX('ECOMMERS SALES'!$A:$J,MATCH('index match'!$A350,'ECOMMERS SALES'!$C:$C,0),MATCH('index match'!C$1,ECOMMERS_SALES[#Headers],0))</f>
        <v>10-01-2025</v>
      </c>
      <c r="D350" t="str">
        <f>INDEX('ECOMMERS SALES'!$A:$J,MATCH('index match'!$A350,'ECOMMERS SALES'!$C:$C,0),MATCH('index match'!D$1,ECOMMERS_SALES[#Headers],0))</f>
        <v>Electronics</v>
      </c>
      <c r="E350">
        <f>INDEX('ECOMMERS SALES'!$A:$J,MATCH('index match'!$A350,'ECOMMERS SALES'!$C:$C,0),MATCH('index match'!E$1,ECOMMERS_SALES[#Headers],0))</f>
        <v>1</v>
      </c>
      <c r="F350">
        <f>INDEX('ECOMMERS SALES'!$A:$J,MATCH('index match'!$A350,'ECOMMERS SALES'!$C:$C,0),MATCH('index match'!F$1,ECOMMERS_SALES[#Headers],0))</f>
        <v>8563</v>
      </c>
      <c r="G350">
        <f>INDEX('ECOMMERS SALES'!$A:$J,MATCH('index match'!$A350,'ECOMMERS SALES'!$C:$C,0),MATCH('index match'!G$1,ECOMMERS_SALES[#Headers],0))</f>
        <v>8563</v>
      </c>
      <c r="H350" t="str">
        <f>INDEX('ECOMMERS SALES'!$A:$J,MATCH('index match'!$A350,'ECOMMERS SALES'!$C:$C,0),MATCH('index match'!H$1,ECOMMERS_SALES[#Headers],0))</f>
        <v>Hyderabad</v>
      </c>
      <c r="I350" t="str">
        <f>INDEX('ECOMMERS SALES'!$A:$J,MATCH('index match'!$A350,'ECOMMERS SALES'!$C:$C,0),MATCH('index match'!I$1,ECOMMERS_SALES[#Headers],0))</f>
        <v>Returning</v>
      </c>
      <c r="J350" t="str">
        <f>INDEX('ECOMMERS SALES'!$A:$J,MATCH('index match'!$A350,'ECOMMERS SALES'!$C:$C,0),MATCH('index match'!J$1,ECOMMERS_SALES[#Headers],0))</f>
        <v>Card</v>
      </c>
    </row>
    <row r="351" spans="1:10" x14ac:dyDescent="0.35">
      <c r="A351" t="s">
        <v>44</v>
      </c>
      <c r="B351">
        <f>INDEX('ECOMMERS SALES'!$A:$J,MATCH('index match'!$A351,'ECOMMERS SALES'!$C:$C,0),MATCH('index match'!B$1,ECOMMERS_SALES[#Headers],0))</f>
        <v>1010</v>
      </c>
      <c r="C351" t="str">
        <f>INDEX('ECOMMERS SALES'!$A:$J,MATCH('index match'!$A351,'ECOMMERS SALES'!$C:$C,0),MATCH('index match'!C$1,ECOMMERS_SALES[#Headers],0))</f>
        <v>11-01-2025</v>
      </c>
      <c r="D351" t="str">
        <f>INDEX('ECOMMERS SALES'!$A:$J,MATCH('index match'!$A351,'ECOMMERS SALES'!$C:$C,0),MATCH('index match'!D$1,ECOMMERS_SALES[#Headers],0))</f>
        <v>Other</v>
      </c>
      <c r="E351">
        <f>INDEX('ECOMMERS SALES'!$A:$J,MATCH('index match'!$A351,'ECOMMERS SALES'!$C:$C,0),MATCH('index match'!E$1,ECOMMERS_SALES[#Headers],0))</f>
        <v>1</v>
      </c>
      <c r="F351">
        <f>INDEX('ECOMMERS SALES'!$A:$J,MATCH('index match'!$A351,'ECOMMERS SALES'!$C:$C,0),MATCH('index match'!F$1,ECOMMERS_SALES[#Headers],0))</f>
        <v>268</v>
      </c>
      <c r="G351">
        <f>INDEX('ECOMMERS SALES'!$A:$J,MATCH('index match'!$A351,'ECOMMERS SALES'!$C:$C,0),MATCH('index match'!G$1,ECOMMERS_SALES[#Headers],0))</f>
        <v>268</v>
      </c>
      <c r="H351" t="str">
        <f>INDEX('ECOMMERS SALES'!$A:$J,MATCH('index match'!$A351,'ECOMMERS SALES'!$C:$C,0),MATCH('index match'!H$1,ECOMMERS_SALES[#Headers],0))</f>
        <v>Chennai</v>
      </c>
      <c r="I351" t="str">
        <f>INDEX('ECOMMERS SALES'!$A:$J,MATCH('index match'!$A351,'ECOMMERS SALES'!$C:$C,0),MATCH('index match'!I$1,ECOMMERS_SALES[#Headers],0))</f>
        <v>New</v>
      </c>
      <c r="J351" t="str">
        <f>INDEX('ECOMMERS SALES'!$A:$J,MATCH('index match'!$A351,'ECOMMERS SALES'!$C:$C,0),MATCH('index match'!J$1,ECOMMERS_SALES[#Headers],0))</f>
        <v>UPI</v>
      </c>
    </row>
    <row r="352" spans="1:10" x14ac:dyDescent="0.35">
      <c r="A352" t="s">
        <v>11</v>
      </c>
      <c r="B352">
        <f>INDEX('ECOMMERS SALES'!$A:$J,MATCH('index match'!$A352,'ECOMMERS SALES'!$C:$C,0),MATCH('index match'!B$1,ECOMMERS_SALES[#Headers],0))</f>
        <v>1001</v>
      </c>
      <c r="C352" t="str">
        <f>INDEX('ECOMMERS SALES'!$A:$J,MATCH('index match'!$A352,'ECOMMERS SALES'!$C:$C,0),MATCH('index match'!C$1,ECOMMERS_SALES[#Headers],0))</f>
        <v>02-01-2025</v>
      </c>
      <c r="D352" t="str">
        <f>INDEX('ECOMMERS SALES'!$A:$J,MATCH('index match'!$A352,'ECOMMERS SALES'!$C:$C,0),MATCH('index match'!D$1,ECOMMERS_SALES[#Headers],0))</f>
        <v>Electronics</v>
      </c>
      <c r="E352">
        <f>INDEX('ECOMMERS SALES'!$A:$J,MATCH('index match'!$A352,'ECOMMERS SALES'!$C:$C,0),MATCH('index match'!E$1,ECOMMERS_SALES[#Headers],0))</f>
        <v>2</v>
      </c>
      <c r="F352">
        <f>INDEX('ECOMMERS SALES'!$A:$J,MATCH('index match'!$A352,'ECOMMERS SALES'!$C:$C,0),MATCH('index match'!F$1,ECOMMERS_SALES[#Headers],0))</f>
        <v>50353</v>
      </c>
      <c r="G352">
        <f>INDEX('ECOMMERS SALES'!$A:$J,MATCH('index match'!$A352,'ECOMMERS SALES'!$C:$C,0),MATCH('index match'!G$1,ECOMMERS_SALES[#Headers],0))</f>
        <v>100706</v>
      </c>
      <c r="H352" t="str">
        <f>INDEX('ECOMMERS SALES'!$A:$J,MATCH('index match'!$A352,'ECOMMERS SALES'!$C:$C,0),MATCH('index match'!H$1,ECOMMERS_SALES[#Headers],0))</f>
        <v>Chennai</v>
      </c>
      <c r="I352" t="str">
        <f>INDEX('ECOMMERS SALES'!$A:$J,MATCH('index match'!$A352,'ECOMMERS SALES'!$C:$C,0),MATCH('index match'!I$1,ECOMMERS_SALES[#Headers],0))</f>
        <v>Premimum</v>
      </c>
      <c r="J352" t="str">
        <f>INDEX('ECOMMERS SALES'!$A:$J,MATCH('index match'!$A352,'ECOMMERS SALES'!$C:$C,0),MATCH('index match'!J$1,ECOMMERS_SALES[#Headers],0))</f>
        <v>Card</v>
      </c>
    </row>
    <row r="353" spans="1:10" x14ac:dyDescent="0.35">
      <c r="A353" t="s">
        <v>17</v>
      </c>
      <c r="B353">
        <f>INDEX('ECOMMERS SALES'!$A:$J,MATCH('index match'!$A353,'ECOMMERS SALES'!$C:$C,0),MATCH('index match'!B$1,ECOMMERS_SALES[#Headers],0))</f>
        <v>1002</v>
      </c>
      <c r="C353" t="str">
        <f>INDEX('ECOMMERS SALES'!$A:$J,MATCH('index match'!$A353,'ECOMMERS SALES'!$C:$C,0),MATCH('index match'!C$1,ECOMMERS_SALES[#Headers],0))</f>
        <v>03-01-2025</v>
      </c>
      <c r="D353" t="str">
        <f>INDEX('ECOMMERS SALES'!$A:$J,MATCH('index match'!$A353,'ECOMMERS SALES'!$C:$C,0),MATCH('index match'!D$1,ECOMMERS_SALES[#Headers],0))</f>
        <v>Electronics</v>
      </c>
      <c r="E353">
        <f>INDEX('ECOMMERS SALES'!$A:$J,MATCH('index match'!$A353,'ECOMMERS SALES'!$C:$C,0),MATCH('index match'!E$1,ECOMMERS_SALES[#Headers],0))</f>
        <v>2</v>
      </c>
      <c r="F353">
        <f>INDEX('ECOMMERS SALES'!$A:$J,MATCH('index match'!$A353,'ECOMMERS SALES'!$C:$C,0),MATCH('index match'!F$1,ECOMMERS_SALES[#Headers],0))</f>
        <v>2008</v>
      </c>
      <c r="G353">
        <f>INDEX('ECOMMERS SALES'!$A:$J,MATCH('index match'!$A353,'ECOMMERS SALES'!$C:$C,0),MATCH('index match'!G$1,ECOMMERS_SALES[#Headers],0))</f>
        <v>4016</v>
      </c>
      <c r="H353" t="str">
        <f>INDEX('ECOMMERS SALES'!$A:$J,MATCH('index match'!$A353,'ECOMMERS SALES'!$C:$C,0),MATCH('index match'!H$1,ECOMMERS_SALES[#Headers],0))</f>
        <v>Delhi</v>
      </c>
      <c r="I353" t="str">
        <f>INDEX('ECOMMERS SALES'!$A:$J,MATCH('index match'!$A353,'ECOMMERS SALES'!$C:$C,0),MATCH('index match'!I$1,ECOMMERS_SALES[#Headers],0))</f>
        <v>New</v>
      </c>
      <c r="J353" t="str">
        <f>INDEX('ECOMMERS SALES'!$A:$J,MATCH('index match'!$A353,'ECOMMERS SALES'!$C:$C,0),MATCH('index match'!J$1,ECOMMERS_SALES[#Headers],0))</f>
        <v>UPI</v>
      </c>
    </row>
    <row r="354" spans="1:10" x14ac:dyDescent="0.35">
      <c r="A354" t="s">
        <v>22</v>
      </c>
      <c r="B354">
        <f>INDEX('ECOMMERS SALES'!$A:$J,MATCH('index match'!$A354,'ECOMMERS SALES'!$C:$C,0),MATCH('index match'!B$1,ECOMMERS_SALES[#Headers],0))</f>
        <v>1003</v>
      </c>
      <c r="C354" t="str">
        <f>INDEX('ECOMMERS SALES'!$A:$J,MATCH('index match'!$A354,'ECOMMERS SALES'!$C:$C,0),MATCH('index match'!C$1,ECOMMERS_SALES[#Headers],0))</f>
        <v>04-01-2025</v>
      </c>
      <c r="D354" t="str">
        <f>INDEX('ECOMMERS SALES'!$A:$J,MATCH('index match'!$A354,'ECOMMERS SALES'!$C:$C,0),MATCH('index match'!D$1,ECOMMERS_SALES[#Headers],0))</f>
        <v>Fashion</v>
      </c>
      <c r="E354">
        <f>INDEX('ECOMMERS SALES'!$A:$J,MATCH('index match'!$A354,'ECOMMERS SALES'!$C:$C,0),MATCH('index match'!E$1,ECOMMERS_SALES[#Headers],0))</f>
        <v>1</v>
      </c>
      <c r="F354">
        <f>INDEX('ECOMMERS SALES'!$A:$J,MATCH('index match'!$A354,'ECOMMERS SALES'!$C:$C,0),MATCH('index match'!F$1,ECOMMERS_SALES[#Headers],0))</f>
        <v>4736</v>
      </c>
      <c r="G354">
        <f>INDEX('ECOMMERS SALES'!$A:$J,MATCH('index match'!$A354,'ECOMMERS SALES'!$C:$C,0),MATCH('index match'!G$1,ECOMMERS_SALES[#Headers],0))</f>
        <v>4736</v>
      </c>
      <c r="H354" t="str">
        <f>INDEX('ECOMMERS SALES'!$A:$J,MATCH('index match'!$A354,'ECOMMERS SALES'!$C:$C,0),MATCH('index match'!H$1,ECOMMERS_SALES[#Headers],0))</f>
        <v>Chennai</v>
      </c>
      <c r="I354" t="str">
        <f>INDEX('ECOMMERS SALES'!$A:$J,MATCH('index match'!$A354,'ECOMMERS SALES'!$C:$C,0),MATCH('index match'!I$1,ECOMMERS_SALES[#Headers],0))</f>
        <v>New</v>
      </c>
      <c r="J354" t="str">
        <f>INDEX('ECOMMERS SALES'!$A:$J,MATCH('index match'!$A354,'ECOMMERS SALES'!$C:$C,0),MATCH('index match'!J$1,ECOMMERS_SALES[#Headers],0))</f>
        <v>UPI</v>
      </c>
    </row>
    <row r="355" spans="1:10" x14ac:dyDescent="0.35">
      <c r="A355" t="s">
        <v>25</v>
      </c>
      <c r="B355">
        <f>INDEX('ECOMMERS SALES'!$A:$J,MATCH('index match'!$A355,'ECOMMERS SALES'!$C:$C,0),MATCH('index match'!B$1,ECOMMERS_SALES[#Headers],0))</f>
        <v>1004</v>
      </c>
      <c r="C355" t="str">
        <f>INDEX('ECOMMERS SALES'!$A:$J,MATCH('index match'!$A355,'ECOMMERS SALES'!$C:$C,0),MATCH('index match'!C$1,ECOMMERS_SALES[#Headers],0))</f>
        <v>05-01-2025</v>
      </c>
      <c r="D355" t="str">
        <f>INDEX('ECOMMERS SALES'!$A:$J,MATCH('index match'!$A355,'ECOMMERS SALES'!$C:$C,0),MATCH('index match'!D$1,ECOMMERS_SALES[#Headers],0))</f>
        <v>Other</v>
      </c>
      <c r="E355">
        <f>INDEX('ECOMMERS SALES'!$A:$J,MATCH('index match'!$A355,'ECOMMERS SALES'!$C:$C,0),MATCH('index match'!E$1,ECOMMERS_SALES[#Headers],0))</f>
        <v>2</v>
      </c>
      <c r="F355">
        <f>INDEX('ECOMMERS SALES'!$A:$J,MATCH('index match'!$A355,'ECOMMERS SALES'!$C:$C,0),MATCH('index match'!F$1,ECOMMERS_SALES[#Headers],0))</f>
        <v>10072</v>
      </c>
      <c r="G355">
        <f>INDEX('ECOMMERS SALES'!$A:$J,MATCH('index match'!$A355,'ECOMMERS SALES'!$C:$C,0),MATCH('index match'!G$1,ECOMMERS_SALES[#Headers],0))</f>
        <v>20144</v>
      </c>
      <c r="H355" t="str">
        <f>INDEX('ECOMMERS SALES'!$A:$J,MATCH('index match'!$A355,'ECOMMERS SALES'!$C:$C,0),MATCH('index match'!H$1,ECOMMERS_SALES[#Headers],0))</f>
        <v>Pune</v>
      </c>
      <c r="I355" t="str">
        <f>INDEX('ECOMMERS SALES'!$A:$J,MATCH('index match'!$A355,'ECOMMERS SALES'!$C:$C,0),MATCH('index match'!I$1,ECOMMERS_SALES[#Headers],0))</f>
        <v>Premimum</v>
      </c>
      <c r="J355" t="str">
        <f>INDEX('ECOMMERS SALES'!$A:$J,MATCH('index match'!$A355,'ECOMMERS SALES'!$C:$C,0),MATCH('index match'!J$1,ECOMMERS_SALES[#Headers],0))</f>
        <v>Card</v>
      </c>
    </row>
    <row r="356" spans="1:10" x14ac:dyDescent="0.35">
      <c r="A356" t="s">
        <v>29</v>
      </c>
      <c r="B356">
        <f>INDEX('ECOMMERS SALES'!$A:$J,MATCH('index match'!$A356,'ECOMMERS SALES'!$C:$C,0),MATCH('index match'!B$1,ECOMMERS_SALES[#Headers],0))</f>
        <v>1005</v>
      </c>
      <c r="C356" t="str">
        <f>INDEX('ECOMMERS SALES'!$A:$J,MATCH('index match'!$A356,'ECOMMERS SALES'!$C:$C,0),MATCH('index match'!C$1,ECOMMERS_SALES[#Headers],0))</f>
        <v>06-01-2025</v>
      </c>
      <c r="D356" t="str">
        <f>INDEX('ECOMMERS SALES'!$A:$J,MATCH('index match'!$A356,'ECOMMERS SALES'!$C:$C,0),MATCH('index match'!D$1,ECOMMERS_SALES[#Headers],0))</f>
        <v>Other</v>
      </c>
      <c r="E356">
        <f>INDEX('ECOMMERS SALES'!$A:$J,MATCH('index match'!$A356,'ECOMMERS SALES'!$C:$C,0),MATCH('index match'!E$1,ECOMMERS_SALES[#Headers],0))</f>
        <v>2</v>
      </c>
      <c r="F356">
        <f>INDEX('ECOMMERS SALES'!$A:$J,MATCH('index match'!$A356,'ECOMMERS SALES'!$C:$C,0),MATCH('index match'!F$1,ECOMMERS_SALES[#Headers],0))</f>
        <v>920</v>
      </c>
      <c r="G356">
        <f>INDEX('ECOMMERS SALES'!$A:$J,MATCH('index match'!$A356,'ECOMMERS SALES'!$C:$C,0),MATCH('index match'!G$1,ECOMMERS_SALES[#Headers],0))</f>
        <v>1840</v>
      </c>
      <c r="H356" t="str">
        <f>INDEX('ECOMMERS SALES'!$A:$J,MATCH('index match'!$A356,'ECOMMERS SALES'!$C:$C,0),MATCH('index match'!H$1,ECOMMERS_SALES[#Headers],0))</f>
        <v>Pune</v>
      </c>
      <c r="I356" t="str">
        <f>INDEX('ECOMMERS SALES'!$A:$J,MATCH('index match'!$A356,'ECOMMERS SALES'!$C:$C,0),MATCH('index match'!I$1,ECOMMERS_SALES[#Headers],0))</f>
        <v>New</v>
      </c>
      <c r="J356" t="str">
        <f>INDEX('ECOMMERS SALES'!$A:$J,MATCH('index match'!$A356,'ECOMMERS SALES'!$C:$C,0),MATCH('index match'!J$1,ECOMMERS_SALES[#Headers],0))</f>
        <v>UPI</v>
      </c>
    </row>
    <row r="357" spans="1:10" x14ac:dyDescent="0.35">
      <c r="A357" t="s">
        <v>31</v>
      </c>
      <c r="B357">
        <f>INDEX('ECOMMERS SALES'!$A:$J,MATCH('index match'!$A357,'ECOMMERS SALES'!$C:$C,0),MATCH('index match'!B$1,ECOMMERS_SALES[#Headers],0))</f>
        <v>1006</v>
      </c>
      <c r="C357" t="str">
        <f>INDEX('ECOMMERS SALES'!$A:$J,MATCH('index match'!$A357,'ECOMMERS SALES'!$C:$C,0),MATCH('index match'!C$1,ECOMMERS_SALES[#Headers],0))</f>
        <v>07-01-2025</v>
      </c>
      <c r="D357" t="str">
        <f>INDEX('ECOMMERS SALES'!$A:$J,MATCH('index match'!$A357,'ECOMMERS SALES'!$C:$C,0),MATCH('index match'!D$1,ECOMMERS_SALES[#Headers],0))</f>
        <v>Electronics</v>
      </c>
      <c r="E357">
        <f>INDEX('ECOMMERS SALES'!$A:$J,MATCH('index match'!$A357,'ECOMMERS SALES'!$C:$C,0),MATCH('index match'!E$1,ECOMMERS_SALES[#Headers],0))</f>
        <v>1</v>
      </c>
      <c r="F357">
        <f>INDEX('ECOMMERS SALES'!$A:$J,MATCH('index match'!$A357,'ECOMMERS SALES'!$C:$C,0),MATCH('index match'!F$1,ECOMMERS_SALES[#Headers],0))</f>
        <v>13225</v>
      </c>
      <c r="G357">
        <f>INDEX('ECOMMERS SALES'!$A:$J,MATCH('index match'!$A357,'ECOMMERS SALES'!$C:$C,0),MATCH('index match'!G$1,ECOMMERS_SALES[#Headers],0))</f>
        <v>13225</v>
      </c>
      <c r="H357" t="str">
        <f>INDEX('ECOMMERS SALES'!$A:$J,MATCH('index match'!$A357,'ECOMMERS SALES'!$C:$C,0),MATCH('index match'!H$1,ECOMMERS_SALES[#Headers],0))</f>
        <v>Delhi</v>
      </c>
      <c r="I357" t="str">
        <f>INDEX('ECOMMERS SALES'!$A:$J,MATCH('index match'!$A357,'ECOMMERS SALES'!$C:$C,0),MATCH('index match'!I$1,ECOMMERS_SALES[#Headers],0))</f>
        <v>Returning</v>
      </c>
      <c r="J357" t="str">
        <f>INDEX('ECOMMERS SALES'!$A:$J,MATCH('index match'!$A357,'ECOMMERS SALES'!$C:$C,0),MATCH('index match'!J$1,ECOMMERS_SALES[#Headers],0))</f>
        <v>COD</v>
      </c>
    </row>
    <row r="358" spans="1:10" x14ac:dyDescent="0.35">
      <c r="A358" t="s">
        <v>35</v>
      </c>
      <c r="B358">
        <f>INDEX('ECOMMERS SALES'!$A:$J,MATCH('index match'!$A358,'ECOMMERS SALES'!$C:$C,0),MATCH('index match'!B$1,ECOMMERS_SALES[#Headers],0))</f>
        <v>1007</v>
      </c>
      <c r="C358" t="str">
        <f>INDEX('ECOMMERS SALES'!$A:$J,MATCH('index match'!$A358,'ECOMMERS SALES'!$C:$C,0),MATCH('index match'!C$1,ECOMMERS_SALES[#Headers],0))</f>
        <v>08-01-2025</v>
      </c>
      <c r="D358" t="str">
        <f>INDEX('ECOMMERS SALES'!$A:$J,MATCH('index match'!$A358,'ECOMMERS SALES'!$C:$C,0),MATCH('index match'!D$1,ECOMMERS_SALES[#Headers],0))</f>
        <v>Books</v>
      </c>
      <c r="E358">
        <f>INDEX('ECOMMERS SALES'!$A:$J,MATCH('index match'!$A358,'ECOMMERS SALES'!$C:$C,0),MATCH('index match'!E$1,ECOMMERS_SALES[#Headers],0))</f>
        <v>3</v>
      </c>
      <c r="F358">
        <f>INDEX('ECOMMERS SALES'!$A:$J,MATCH('index match'!$A358,'ECOMMERS SALES'!$C:$C,0),MATCH('index match'!F$1,ECOMMERS_SALES[#Headers],0))</f>
        <v>621</v>
      </c>
      <c r="G358">
        <f>INDEX('ECOMMERS SALES'!$A:$J,MATCH('index match'!$A358,'ECOMMERS SALES'!$C:$C,0),MATCH('index match'!G$1,ECOMMERS_SALES[#Headers],0))</f>
        <v>1863</v>
      </c>
      <c r="H358" t="str">
        <f>INDEX('ECOMMERS SALES'!$A:$J,MATCH('index match'!$A358,'ECOMMERS SALES'!$C:$C,0),MATCH('index match'!H$1,ECOMMERS_SALES[#Headers],0))</f>
        <v>Hyderabad</v>
      </c>
      <c r="I358" t="str">
        <f>INDEX('ECOMMERS SALES'!$A:$J,MATCH('index match'!$A358,'ECOMMERS SALES'!$C:$C,0),MATCH('index match'!I$1,ECOMMERS_SALES[#Headers],0))</f>
        <v>Premimum</v>
      </c>
      <c r="J358" t="str">
        <f>INDEX('ECOMMERS SALES'!$A:$J,MATCH('index match'!$A358,'ECOMMERS SALES'!$C:$C,0),MATCH('index match'!J$1,ECOMMERS_SALES[#Headers],0))</f>
        <v>UPI</v>
      </c>
    </row>
    <row r="359" spans="1:10" x14ac:dyDescent="0.35">
      <c r="A359" t="s">
        <v>39</v>
      </c>
      <c r="B359">
        <f>INDEX('ECOMMERS SALES'!$A:$J,MATCH('index match'!$A359,'ECOMMERS SALES'!$C:$C,0),MATCH('index match'!B$1,ECOMMERS_SALES[#Headers],0))</f>
        <v>1008</v>
      </c>
      <c r="C359" t="str">
        <f>INDEX('ECOMMERS SALES'!$A:$J,MATCH('index match'!$A359,'ECOMMERS SALES'!$C:$C,0),MATCH('index match'!C$1,ECOMMERS_SALES[#Headers],0))</f>
        <v>09-01-2025</v>
      </c>
      <c r="D359" t="str">
        <f>INDEX('ECOMMERS SALES'!$A:$J,MATCH('index match'!$A359,'ECOMMERS SALES'!$C:$C,0),MATCH('index match'!D$1,ECOMMERS_SALES[#Headers],0))</f>
        <v>Fashion</v>
      </c>
      <c r="E359">
        <f>INDEX('ECOMMERS SALES'!$A:$J,MATCH('index match'!$A359,'ECOMMERS SALES'!$C:$C,0),MATCH('index match'!E$1,ECOMMERS_SALES[#Headers],0))</f>
        <v>2</v>
      </c>
      <c r="F359">
        <f>INDEX('ECOMMERS SALES'!$A:$J,MATCH('index match'!$A359,'ECOMMERS SALES'!$C:$C,0),MATCH('index match'!F$1,ECOMMERS_SALES[#Headers],0))</f>
        <v>905</v>
      </c>
      <c r="G359">
        <f>INDEX('ECOMMERS SALES'!$A:$J,MATCH('index match'!$A359,'ECOMMERS SALES'!$C:$C,0),MATCH('index match'!G$1,ECOMMERS_SALES[#Headers],0))</f>
        <v>1810</v>
      </c>
      <c r="H359" t="str">
        <f>INDEX('ECOMMERS SALES'!$A:$J,MATCH('index match'!$A359,'ECOMMERS SALES'!$C:$C,0),MATCH('index match'!H$1,ECOMMERS_SALES[#Headers],0))</f>
        <v>Bangalore</v>
      </c>
      <c r="I359" t="str">
        <f>INDEX('ECOMMERS SALES'!$A:$J,MATCH('index match'!$A359,'ECOMMERS SALES'!$C:$C,0),MATCH('index match'!I$1,ECOMMERS_SALES[#Headers],0))</f>
        <v>New</v>
      </c>
      <c r="J359" t="str">
        <f>INDEX('ECOMMERS SALES'!$A:$J,MATCH('index match'!$A359,'ECOMMERS SALES'!$C:$C,0),MATCH('index match'!J$1,ECOMMERS_SALES[#Headers],0))</f>
        <v>COD</v>
      </c>
    </row>
    <row r="360" spans="1:10" x14ac:dyDescent="0.35">
      <c r="A360" t="s">
        <v>42</v>
      </c>
      <c r="B360">
        <f>INDEX('ECOMMERS SALES'!$A:$J,MATCH('index match'!$A360,'ECOMMERS SALES'!$C:$C,0),MATCH('index match'!B$1,ECOMMERS_SALES[#Headers],0))</f>
        <v>1009</v>
      </c>
      <c r="C360" t="str">
        <f>INDEX('ECOMMERS SALES'!$A:$J,MATCH('index match'!$A360,'ECOMMERS SALES'!$C:$C,0),MATCH('index match'!C$1,ECOMMERS_SALES[#Headers],0))</f>
        <v>10-01-2025</v>
      </c>
      <c r="D360" t="str">
        <f>INDEX('ECOMMERS SALES'!$A:$J,MATCH('index match'!$A360,'ECOMMERS SALES'!$C:$C,0),MATCH('index match'!D$1,ECOMMERS_SALES[#Headers],0))</f>
        <v>Electronics</v>
      </c>
      <c r="E360">
        <f>INDEX('ECOMMERS SALES'!$A:$J,MATCH('index match'!$A360,'ECOMMERS SALES'!$C:$C,0),MATCH('index match'!E$1,ECOMMERS_SALES[#Headers],0))</f>
        <v>1</v>
      </c>
      <c r="F360">
        <f>INDEX('ECOMMERS SALES'!$A:$J,MATCH('index match'!$A360,'ECOMMERS SALES'!$C:$C,0),MATCH('index match'!F$1,ECOMMERS_SALES[#Headers],0))</f>
        <v>8563</v>
      </c>
      <c r="G360">
        <f>INDEX('ECOMMERS SALES'!$A:$J,MATCH('index match'!$A360,'ECOMMERS SALES'!$C:$C,0),MATCH('index match'!G$1,ECOMMERS_SALES[#Headers],0))</f>
        <v>8563</v>
      </c>
      <c r="H360" t="str">
        <f>INDEX('ECOMMERS SALES'!$A:$J,MATCH('index match'!$A360,'ECOMMERS SALES'!$C:$C,0),MATCH('index match'!H$1,ECOMMERS_SALES[#Headers],0))</f>
        <v>Hyderabad</v>
      </c>
      <c r="I360" t="str">
        <f>INDEX('ECOMMERS SALES'!$A:$J,MATCH('index match'!$A360,'ECOMMERS SALES'!$C:$C,0),MATCH('index match'!I$1,ECOMMERS_SALES[#Headers],0))</f>
        <v>Returning</v>
      </c>
      <c r="J360" t="str">
        <f>INDEX('ECOMMERS SALES'!$A:$J,MATCH('index match'!$A360,'ECOMMERS SALES'!$C:$C,0),MATCH('index match'!J$1,ECOMMERS_SALES[#Headers],0))</f>
        <v>Card</v>
      </c>
    </row>
    <row r="361" spans="1:10" x14ac:dyDescent="0.35">
      <c r="A361" t="s">
        <v>44</v>
      </c>
      <c r="B361">
        <f>INDEX('ECOMMERS SALES'!$A:$J,MATCH('index match'!$A361,'ECOMMERS SALES'!$C:$C,0),MATCH('index match'!B$1,ECOMMERS_SALES[#Headers],0))</f>
        <v>1010</v>
      </c>
      <c r="C361" t="str">
        <f>INDEX('ECOMMERS SALES'!$A:$J,MATCH('index match'!$A361,'ECOMMERS SALES'!$C:$C,0),MATCH('index match'!C$1,ECOMMERS_SALES[#Headers],0))</f>
        <v>11-01-2025</v>
      </c>
      <c r="D361" t="str">
        <f>INDEX('ECOMMERS SALES'!$A:$J,MATCH('index match'!$A361,'ECOMMERS SALES'!$C:$C,0),MATCH('index match'!D$1,ECOMMERS_SALES[#Headers],0))</f>
        <v>Other</v>
      </c>
      <c r="E361">
        <f>INDEX('ECOMMERS SALES'!$A:$J,MATCH('index match'!$A361,'ECOMMERS SALES'!$C:$C,0),MATCH('index match'!E$1,ECOMMERS_SALES[#Headers],0))</f>
        <v>1</v>
      </c>
      <c r="F361">
        <f>INDEX('ECOMMERS SALES'!$A:$J,MATCH('index match'!$A361,'ECOMMERS SALES'!$C:$C,0),MATCH('index match'!F$1,ECOMMERS_SALES[#Headers],0))</f>
        <v>268</v>
      </c>
      <c r="G361">
        <f>INDEX('ECOMMERS SALES'!$A:$J,MATCH('index match'!$A361,'ECOMMERS SALES'!$C:$C,0),MATCH('index match'!G$1,ECOMMERS_SALES[#Headers],0))</f>
        <v>268</v>
      </c>
      <c r="H361" t="str">
        <f>INDEX('ECOMMERS SALES'!$A:$J,MATCH('index match'!$A361,'ECOMMERS SALES'!$C:$C,0),MATCH('index match'!H$1,ECOMMERS_SALES[#Headers],0))</f>
        <v>Chennai</v>
      </c>
      <c r="I361" t="str">
        <f>INDEX('ECOMMERS SALES'!$A:$J,MATCH('index match'!$A361,'ECOMMERS SALES'!$C:$C,0),MATCH('index match'!I$1,ECOMMERS_SALES[#Headers],0))</f>
        <v>New</v>
      </c>
      <c r="J361" t="str">
        <f>INDEX('ECOMMERS SALES'!$A:$J,MATCH('index match'!$A361,'ECOMMERS SALES'!$C:$C,0),MATCH('index match'!J$1,ECOMMERS_SALES[#Headers],0))</f>
        <v>UPI</v>
      </c>
    </row>
    <row r="362" spans="1:10" x14ac:dyDescent="0.35">
      <c r="A362" t="s">
        <v>11</v>
      </c>
      <c r="B362">
        <f>INDEX('ECOMMERS SALES'!$A:$J,MATCH('index match'!$A362,'ECOMMERS SALES'!$C:$C,0),MATCH('index match'!B$1,ECOMMERS_SALES[#Headers],0))</f>
        <v>1001</v>
      </c>
      <c r="C362" t="str">
        <f>INDEX('ECOMMERS SALES'!$A:$J,MATCH('index match'!$A362,'ECOMMERS SALES'!$C:$C,0),MATCH('index match'!C$1,ECOMMERS_SALES[#Headers],0))</f>
        <v>02-01-2025</v>
      </c>
      <c r="D362" t="str">
        <f>INDEX('ECOMMERS SALES'!$A:$J,MATCH('index match'!$A362,'ECOMMERS SALES'!$C:$C,0),MATCH('index match'!D$1,ECOMMERS_SALES[#Headers],0))</f>
        <v>Electronics</v>
      </c>
      <c r="E362">
        <f>INDEX('ECOMMERS SALES'!$A:$J,MATCH('index match'!$A362,'ECOMMERS SALES'!$C:$C,0),MATCH('index match'!E$1,ECOMMERS_SALES[#Headers],0))</f>
        <v>2</v>
      </c>
      <c r="F362">
        <f>INDEX('ECOMMERS SALES'!$A:$J,MATCH('index match'!$A362,'ECOMMERS SALES'!$C:$C,0),MATCH('index match'!F$1,ECOMMERS_SALES[#Headers],0))</f>
        <v>50353</v>
      </c>
      <c r="G362">
        <f>INDEX('ECOMMERS SALES'!$A:$J,MATCH('index match'!$A362,'ECOMMERS SALES'!$C:$C,0),MATCH('index match'!G$1,ECOMMERS_SALES[#Headers],0))</f>
        <v>100706</v>
      </c>
      <c r="H362" t="str">
        <f>INDEX('ECOMMERS SALES'!$A:$J,MATCH('index match'!$A362,'ECOMMERS SALES'!$C:$C,0),MATCH('index match'!H$1,ECOMMERS_SALES[#Headers],0))</f>
        <v>Chennai</v>
      </c>
      <c r="I362" t="str">
        <f>INDEX('ECOMMERS SALES'!$A:$J,MATCH('index match'!$A362,'ECOMMERS SALES'!$C:$C,0),MATCH('index match'!I$1,ECOMMERS_SALES[#Headers],0))</f>
        <v>Premimum</v>
      </c>
      <c r="J362" t="str">
        <f>INDEX('ECOMMERS SALES'!$A:$J,MATCH('index match'!$A362,'ECOMMERS SALES'!$C:$C,0),MATCH('index match'!J$1,ECOMMERS_SALES[#Headers],0))</f>
        <v>Card</v>
      </c>
    </row>
    <row r="363" spans="1:10" x14ac:dyDescent="0.35">
      <c r="A363" t="s">
        <v>17</v>
      </c>
      <c r="B363">
        <f>INDEX('ECOMMERS SALES'!$A:$J,MATCH('index match'!$A363,'ECOMMERS SALES'!$C:$C,0),MATCH('index match'!B$1,ECOMMERS_SALES[#Headers],0))</f>
        <v>1002</v>
      </c>
      <c r="C363" t="str">
        <f>INDEX('ECOMMERS SALES'!$A:$J,MATCH('index match'!$A363,'ECOMMERS SALES'!$C:$C,0),MATCH('index match'!C$1,ECOMMERS_SALES[#Headers],0))</f>
        <v>03-01-2025</v>
      </c>
      <c r="D363" t="str">
        <f>INDEX('ECOMMERS SALES'!$A:$J,MATCH('index match'!$A363,'ECOMMERS SALES'!$C:$C,0),MATCH('index match'!D$1,ECOMMERS_SALES[#Headers],0))</f>
        <v>Electronics</v>
      </c>
      <c r="E363">
        <f>INDEX('ECOMMERS SALES'!$A:$J,MATCH('index match'!$A363,'ECOMMERS SALES'!$C:$C,0),MATCH('index match'!E$1,ECOMMERS_SALES[#Headers],0))</f>
        <v>2</v>
      </c>
      <c r="F363">
        <f>INDEX('ECOMMERS SALES'!$A:$J,MATCH('index match'!$A363,'ECOMMERS SALES'!$C:$C,0),MATCH('index match'!F$1,ECOMMERS_SALES[#Headers],0))</f>
        <v>2008</v>
      </c>
      <c r="G363">
        <f>INDEX('ECOMMERS SALES'!$A:$J,MATCH('index match'!$A363,'ECOMMERS SALES'!$C:$C,0),MATCH('index match'!G$1,ECOMMERS_SALES[#Headers],0))</f>
        <v>4016</v>
      </c>
      <c r="H363" t="str">
        <f>INDEX('ECOMMERS SALES'!$A:$J,MATCH('index match'!$A363,'ECOMMERS SALES'!$C:$C,0),MATCH('index match'!H$1,ECOMMERS_SALES[#Headers],0))</f>
        <v>Delhi</v>
      </c>
      <c r="I363" t="str">
        <f>INDEX('ECOMMERS SALES'!$A:$J,MATCH('index match'!$A363,'ECOMMERS SALES'!$C:$C,0),MATCH('index match'!I$1,ECOMMERS_SALES[#Headers],0))</f>
        <v>New</v>
      </c>
      <c r="J363" t="str">
        <f>INDEX('ECOMMERS SALES'!$A:$J,MATCH('index match'!$A363,'ECOMMERS SALES'!$C:$C,0),MATCH('index match'!J$1,ECOMMERS_SALES[#Headers],0))</f>
        <v>UPI</v>
      </c>
    </row>
    <row r="364" spans="1:10" x14ac:dyDescent="0.35">
      <c r="A364" t="s">
        <v>22</v>
      </c>
      <c r="B364">
        <f>INDEX('ECOMMERS SALES'!$A:$J,MATCH('index match'!$A364,'ECOMMERS SALES'!$C:$C,0),MATCH('index match'!B$1,ECOMMERS_SALES[#Headers],0))</f>
        <v>1003</v>
      </c>
      <c r="C364" t="str">
        <f>INDEX('ECOMMERS SALES'!$A:$J,MATCH('index match'!$A364,'ECOMMERS SALES'!$C:$C,0),MATCH('index match'!C$1,ECOMMERS_SALES[#Headers],0))</f>
        <v>04-01-2025</v>
      </c>
      <c r="D364" t="str">
        <f>INDEX('ECOMMERS SALES'!$A:$J,MATCH('index match'!$A364,'ECOMMERS SALES'!$C:$C,0),MATCH('index match'!D$1,ECOMMERS_SALES[#Headers],0))</f>
        <v>Fashion</v>
      </c>
      <c r="E364">
        <f>INDEX('ECOMMERS SALES'!$A:$J,MATCH('index match'!$A364,'ECOMMERS SALES'!$C:$C,0),MATCH('index match'!E$1,ECOMMERS_SALES[#Headers],0))</f>
        <v>1</v>
      </c>
      <c r="F364">
        <f>INDEX('ECOMMERS SALES'!$A:$J,MATCH('index match'!$A364,'ECOMMERS SALES'!$C:$C,0),MATCH('index match'!F$1,ECOMMERS_SALES[#Headers],0))</f>
        <v>4736</v>
      </c>
      <c r="G364">
        <f>INDEX('ECOMMERS SALES'!$A:$J,MATCH('index match'!$A364,'ECOMMERS SALES'!$C:$C,0),MATCH('index match'!G$1,ECOMMERS_SALES[#Headers],0))</f>
        <v>4736</v>
      </c>
      <c r="H364" t="str">
        <f>INDEX('ECOMMERS SALES'!$A:$J,MATCH('index match'!$A364,'ECOMMERS SALES'!$C:$C,0),MATCH('index match'!H$1,ECOMMERS_SALES[#Headers],0))</f>
        <v>Chennai</v>
      </c>
      <c r="I364" t="str">
        <f>INDEX('ECOMMERS SALES'!$A:$J,MATCH('index match'!$A364,'ECOMMERS SALES'!$C:$C,0),MATCH('index match'!I$1,ECOMMERS_SALES[#Headers],0))</f>
        <v>New</v>
      </c>
      <c r="J364" t="str">
        <f>INDEX('ECOMMERS SALES'!$A:$J,MATCH('index match'!$A364,'ECOMMERS SALES'!$C:$C,0),MATCH('index match'!J$1,ECOMMERS_SALES[#Headers],0))</f>
        <v>UPI</v>
      </c>
    </row>
    <row r="365" spans="1:10" x14ac:dyDescent="0.35">
      <c r="A365" t="s">
        <v>25</v>
      </c>
      <c r="B365">
        <f>INDEX('ECOMMERS SALES'!$A:$J,MATCH('index match'!$A365,'ECOMMERS SALES'!$C:$C,0),MATCH('index match'!B$1,ECOMMERS_SALES[#Headers],0))</f>
        <v>1004</v>
      </c>
      <c r="C365" t="str">
        <f>INDEX('ECOMMERS SALES'!$A:$J,MATCH('index match'!$A365,'ECOMMERS SALES'!$C:$C,0),MATCH('index match'!C$1,ECOMMERS_SALES[#Headers],0))</f>
        <v>05-01-2025</v>
      </c>
      <c r="D365" t="str">
        <f>INDEX('ECOMMERS SALES'!$A:$J,MATCH('index match'!$A365,'ECOMMERS SALES'!$C:$C,0),MATCH('index match'!D$1,ECOMMERS_SALES[#Headers],0))</f>
        <v>Other</v>
      </c>
      <c r="E365">
        <f>INDEX('ECOMMERS SALES'!$A:$J,MATCH('index match'!$A365,'ECOMMERS SALES'!$C:$C,0),MATCH('index match'!E$1,ECOMMERS_SALES[#Headers],0))</f>
        <v>2</v>
      </c>
      <c r="F365">
        <f>INDEX('ECOMMERS SALES'!$A:$J,MATCH('index match'!$A365,'ECOMMERS SALES'!$C:$C,0),MATCH('index match'!F$1,ECOMMERS_SALES[#Headers],0))</f>
        <v>10072</v>
      </c>
      <c r="G365">
        <f>INDEX('ECOMMERS SALES'!$A:$J,MATCH('index match'!$A365,'ECOMMERS SALES'!$C:$C,0),MATCH('index match'!G$1,ECOMMERS_SALES[#Headers],0))</f>
        <v>20144</v>
      </c>
      <c r="H365" t="str">
        <f>INDEX('ECOMMERS SALES'!$A:$J,MATCH('index match'!$A365,'ECOMMERS SALES'!$C:$C,0),MATCH('index match'!H$1,ECOMMERS_SALES[#Headers],0))</f>
        <v>Pune</v>
      </c>
      <c r="I365" t="str">
        <f>INDEX('ECOMMERS SALES'!$A:$J,MATCH('index match'!$A365,'ECOMMERS SALES'!$C:$C,0),MATCH('index match'!I$1,ECOMMERS_SALES[#Headers],0))</f>
        <v>Premimum</v>
      </c>
      <c r="J365" t="str">
        <f>INDEX('ECOMMERS SALES'!$A:$J,MATCH('index match'!$A365,'ECOMMERS SALES'!$C:$C,0),MATCH('index match'!J$1,ECOMMERS_SALES[#Headers],0))</f>
        <v>Card</v>
      </c>
    </row>
    <row r="366" spans="1:10" x14ac:dyDescent="0.35">
      <c r="A366" t="s">
        <v>29</v>
      </c>
      <c r="B366">
        <f>INDEX('ECOMMERS SALES'!$A:$J,MATCH('index match'!$A366,'ECOMMERS SALES'!$C:$C,0),MATCH('index match'!B$1,ECOMMERS_SALES[#Headers],0))</f>
        <v>1005</v>
      </c>
      <c r="C366" t="str">
        <f>INDEX('ECOMMERS SALES'!$A:$J,MATCH('index match'!$A366,'ECOMMERS SALES'!$C:$C,0),MATCH('index match'!C$1,ECOMMERS_SALES[#Headers],0))</f>
        <v>06-01-2025</v>
      </c>
      <c r="D366" t="str">
        <f>INDEX('ECOMMERS SALES'!$A:$J,MATCH('index match'!$A366,'ECOMMERS SALES'!$C:$C,0),MATCH('index match'!D$1,ECOMMERS_SALES[#Headers],0))</f>
        <v>Other</v>
      </c>
      <c r="E366">
        <f>INDEX('ECOMMERS SALES'!$A:$J,MATCH('index match'!$A366,'ECOMMERS SALES'!$C:$C,0),MATCH('index match'!E$1,ECOMMERS_SALES[#Headers],0))</f>
        <v>2</v>
      </c>
      <c r="F366">
        <f>INDEX('ECOMMERS SALES'!$A:$J,MATCH('index match'!$A366,'ECOMMERS SALES'!$C:$C,0),MATCH('index match'!F$1,ECOMMERS_SALES[#Headers],0))</f>
        <v>920</v>
      </c>
      <c r="G366">
        <f>INDEX('ECOMMERS SALES'!$A:$J,MATCH('index match'!$A366,'ECOMMERS SALES'!$C:$C,0),MATCH('index match'!G$1,ECOMMERS_SALES[#Headers],0))</f>
        <v>1840</v>
      </c>
      <c r="H366" t="str">
        <f>INDEX('ECOMMERS SALES'!$A:$J,MATCH('index match'!$A366,'ECOMMERS SALES'!$C:$C,0),MATCH('index match'!H$1,ECOMMERS_SALES[#Headers],0))</f>
        <v>Pune</v>
      </c>
      <c r="I366" t="str">
        <f>INDEX('ECOMMERS SALES'!$A:$J,MATCH('index match'!$A366,'ECOMMERS SALES'!$C:$C,0),MATCH('index match'!I$1,ECOMMERS_SALES[#Headers],0))</f>
        <v>New</v>
      </c>
      <c r="J366" t="str">
        <f>INDEX('ECOMMERS SALES'!$A:$J,MATCH('index match'!$A366,'ECOMMERS SALES'!$C:$C,0),MATCH('index match'!J$1,ECOMMERS_SALES[#Headers],0))</f>
        <v>UPI</v>
      </c>
    </row>
    <row r="367" spans="1:10" x14ac:dyDescent="0.35">
      <c r="A367" t="s">
        <v>31</v>
      </c>
      <c r="B367">
        <f>INDEX('ECOMMERS SALES'!$A:$J,MATCH('index match'!$A367,'ECOMMERS SALES'!$C:$C,0),MATCH('index match'!B$1,ECOMMERS_SALES[#Headers],0))</f>
        <v>1006</v>
      </c>
      <c r="C367" t="str">
        <f>INDEX('ECOMMERS SALES'!$A:$J,MATCH('index match'!$A367,'ECOMMERS SALES'!$C:$C,0),MATCH('index match'!C$1,ECOMMERS_SALES[#Headers],0))</f>
        <v>07-01-2025</v>
      </c>
      <c r="D367" t="str">
        <f>INDEX('ECOMMERS SALES'!$A:$J,MATCH('index match'!$A367,'ECOMMERS SALES'!$C:$C,0),MATCH('index match'!D$1,ECOMMERS_SALES[#Headers],0))</f>
        <v>Electronics</v>
      </c>
      <c r="E367">
        <f>INDEX('ECOMMERS SALES'!$A:$J,MATCH('index match'!$A367,'ECOMMERS SALES'!$C:$C,0),MATCH('index match'!E$1,ECOMMERS_SALES[#Headers],0))</f>
        <v>1</v>
      </c>
      <c r="F367">
        <f>INDEX('ECOMMERS SALES'!$A:$J,MATCH('index match'!$A367,'ECOMMERS SALES'!$C:$C,0),MATCH('index match'!F$1,ECOMMERS_SALES[#Headers],0))</f>
        <v>13225</v>
      </c>
      <c r="G367">
        <f>INDEX('ECOMMERS SALES'!$A:$J,MATCH('index match'!$A367,'ECOMMERS SALES'!$C:$C,0),MATCH('index match'!G$1,ECOMMERS_SALES[#Headers],0))</f>
        <v>13225</v>
      </c>
      <c r="H367" t="str">
        <f>INDEX('ECOMMERS SALES'!$A:$J,MATCH('index match'!$A367,'ECOMMERS SALES'!$C:$C,0),MATCH('index match'!H$1,ECOMMERS_SALES[#Headers],0))</f>
        <v>Delhi</v>
      </c>
      <c r="I367" t="str">
        <f>INDEX('ECOMMERS SALES'!$A:$J,MATCH('index match'!$A367,'ECOMMERS SALES'!$C:$C,0),MATCH('index match'!I$1,ECOMMERS_SALES[#Headers],0))</f>
        <v>Returning</v>
      </c>
      <c r="J367" t="str">
        <f>INDEX('ECOMMERS SALES'!$A:$J,MATCH('index match'!$A367,'ECOMMERS SALES'!$C:$C,0),MATCH('index match'!J$1,ECOMMERS_SALES[#Headers],0))</f>
        <v>COD</v>
      </c>
    </row>
    <row r="368" spans="1:10" x14ac:dyDescent="0.35">
      <c r="A368" t="s">
        <v>35</v>
      </c>
      <c r="B368">
        <f>INDEX('ECOMMERS SALES'!$A:$J,MATCH('index match'!$A368,'ECOMMERS SALES'!$C:$C,0),MATCH('index match'!B$1,ECOMMERS_SALES[#Headers],0))</f>
        <v>1007</v>
      </c>
      <c r="C368" t="str">
        <f>INDEX('ECOMMERS SALES'!$A:$J,MATCH('index match'!$A368,'ECOMMERS SALES'!$C:$C,0),MATCH('index match'!C$1,ECOMMERS_SALES[#Headers],0))</f>
        <v>08-01-2025</v>
      </c>
      <c r="D368" t="str">
        <f>INDEX('ECOMMERS SALES'!$A:$J,MATCH('index match'!$A368,'ECOMMERS SALES'!$C:$C,0),MATCH('index match'!D$1,ECOMMERS_SALES[#Headers],0))</f>
        <v>Books</v>
      </c>
      <c r="E368">
        <f>INDEX('ECOMMERS SALES'!$A:$J,MATCH('index match'!$A368,'ECOMMERS SALES'!$C:$C,0),MATCH('index match'!E$1,ECOMMERS_SALES[#Headers],0))</f>
        <v>3</v>
      </c>
      <c r="F368">
        <f>INDEX('ECOMMERS SALES'!$A:$J,MATCH('index match'!$A368,'ECOMMERS SALES'!$C:$C,0),MATCH('index match'!F$1,ECOMMERS_SALES[#Headers],0))</f>
        <v>621</v>
      </c>
      <c r="G368">
        <f>INDEX('ECOMMERS SALES'!$A:$J,MATCH('index match'!$A368,'ECOMMERS SALES'!$C:$C,0),MATCH('index match'!G$1,ECOMMERS_SALES[#Headers],0))</f>
        <v>1863</v>
      </c>
      <c r="H368" t="str">
        <f>INDEX('ECOMMERS SALES'!$A:$J,MATCH('index match'!$A368,'ECOMMERS SALES'!$C:$C,0),MATCH('index match'!H$1,ECOMMERS_SALES[#Headers],0))</f>
        <v>Hyderabad</v>
      </c>
      <c r="I368" t="str">
        <f>INDEX('ECOMMERS SALES'!$A:$J,MATCH('index match'!$A368,'ECOMMERS SALES'!$C:$C,0),MATCH('index match'!I$1,ECOMMERS_SALES[#Headers],0))</f>
        <v>Premimum</v>
      </c>
      <c r="J368" t="str">
        <f>INDEX('ECOMMERS SALES'!$A:$J,MATCH('index match'!$A368,'ECOMMERS SALES'!$C:$C,0),MATCH('index match'!J$1,ECOMMERS_SALES[#Headers],0))</f>
        <v>UPI</v>
      </c>
    </row>
    <row r="369" spans="1:10" x14ac:dyDescent="0.35">
      <c r="A369" t="s">
        <v>39</v>
      </c>
      <c r="B369">
        <f>INDEX('ECOMMERS SALES'!$A:$J,MATCH('index match'!$A369,'ECOMMERS SALES'!$C:$C,0),MATCH('index match'!B$1,ECOMMERS_SALES[#Headers],0))</f>
        <v>1008</v>
      </c>
      <c r="C369" t="str">
        <f>INDEX('ECOMMERS SALES'!$A:$J,MATCH('index match'!$A369,'ECOMMERS SALES'!$C:$C,0),MATCH('index match'!C$1,ECOMMERS_SALES[#Headers],0))</f>
        <v>09-01-2025</v>
      </c>
      <c r="D369" t="str">
        <f>INDEX('ECOMMERS SALES'!$A:$J,MATCH('index match'!$A369,'ECOMMERS SALES'!$C:$C,0),MATCH('index match'!D$1,ECOMMERS_SALES[#Headers],0))</f>
        <v>Fashion</v>
      </c>
      <c r="E369">
        <f>INDEX('ECOMMERS SALES'!$A:$J,MATCH('index match'!$A369,'ECOMMERS SALES'!$C:$C,0),MATCH('index match'!E$1,ECOMMERS_SALES[#Headers],0))</f>
        <v>2</v>
      </c>
      <c r="F369">
        <f>INDEX('ECOMMERS SALES'!$A:$J,MATCH('index match'!$A369,'ECOMMERS SALES'!$C:$C,0),MATCH('index match'!F$1,ECOMMERS_SALES[#Headers],0))</f>
        <v>905</v>
      </c>
      <c r="G369">
        <f>INDEX('ECOMMERS SALES'!$A:$J,MATCH('index match'!$A369,'ECOMMERS SALES'!$C:$C,0),MATCH('index match'!G$1,ECOMMERS_SALES[#Headers],0))</f>
        <v>1810</v>
      </c>
      <c r="H369" t="str">
        <f>INDEX('ECOMMERS SALES'!$A:$J,MATCH('index match'!$A369,'ECOMMERS SALES'!$C:$C,0),MATCH('index match'!H$1,ECOMMERS_SALES[#Headers],0))</f>
        <v>Bangalore</v>
      </c>
      <c r="I369" t="str">
        <f>INDEX('ECOMMERS SALES'!$A:$J,MATCH('index match'!$A369,'ECOMMERS SALES'!$C:$C,0),MATCH('index match'!I$1,ECOMMERS_SALES[#Headers],0))</f>
        <v>New</v>
      </c>
      <c r="J369" t="str">
        <f>INDEX('ECOMMERS SALES'!$A:$J,MATCH('index match'!$A369,'ECOMMERS SALES'!$C:$C,0),MATCH('index match'!J$1,ECOMMERS_SALES[#Headers],0))</f>
        <v>COD</v>
      </c>
    </row>
    <row r="370" spans="1:10" x14ac:dyDescent="0.35">
      <c r="A370" t="s">
        <v>42</v>
      </c>
      <c r="B370">
        <f>INDEX('ECOMMERS SALES'!$A:$J,MATCH('index match'!$A370,'ECOMMERS SALES'!$C:$C,0),MATCH('index match'!B$1,ECOMMERS_SALES[#Headers],0))</f>
        <v>1009</v>
      </c>
      <c r="C370" t="str">
        <f>INDEX('ECOMMERS SALES'!$A:$J,MATCH('index match'!$A370,'ECOMMERS SALES'!$C:$C,0),MATCH('index match'!C$1,ECOMMERS_SALES[#Headers],0))</f>
        <v>10-01-2025</v>
      </c>
      <c r="D370" t="str">
        <f>INDEX('ECOMMERS SALES'!$A:$J,MATCH('index match'!$A370,'ECOMMERS SALES'!$C:$C,0),MATCH('index match'!D$1,ECOMMERS_SALES[#Headers],0))</f>
        <v>Electronics</v>
      </c>
      <c r="E370">
        <f>INDEX('ECOMMERS SALES'!$A:$J,MATCH('index match'!$A370,'ECOMMERS SALES'!$C:$C,0),MATCH('index match'!E$1,ECOMMERS_SALES[#Headers],0))</f>
        <v>1</v>
      </c>
      <c r="F370">
        <f>INDEX('ECOMMERS SALES'!$A:$J,MATCH('index match'!$A370,'ECOMMERS SALES'!$C:$C,0),MATCH('index match'!F$1,ECOMMERS_SALES[#Headers],0))</f>
        <v>8563</v>
      </c>
      <c r="G370">
        <f>INDEX('ECOMMERS SALES'!$A:$J,MATCH('index match'!$A370,'ECOMMERS SALES'!$C:$C,0),MATCH('index match'!G$1,ECOMMERS_SALES[#Headers],0))</f>
        <v>8563</v>
      </c>
      <c r="H370" t="str">
        <f>INDEX('ECOMMERS SALES'!$A:$J,MATCH('index match'!$A370,'ECOMMERS SALES'!$C:$C,0),MATCH('index match'!H$1,ECOMMERS_SALES[#Headers],0))</f>
        <v>Hyderabad</v>
      </c>
      <c r="I370" t="str">
        <f>INDEX('ECOMMERS SALES'!$A:$J,MATCH('index match'!$A370,'ECOMMERS SALES'!$C:$C,0),MATCH('index match'!I$1,ECOMMERS_SALES[#Headers],0))</f>
        <v>Returning</v>
      </c>
      <c r="J370" t="str">
        <f>INDEX('ECOMMERS SALES'!$A:$J,MATCH('index match'!$A370,'ECOMMERS SALES'!$C:$C,0),MATCH('index match'!J$1,ECOMMERS_SALES[#Headers],0))</f>
        <v>Card</v>
      </c>
    </row>
    <row r="371" spans="1:10" x14ac:dyDescent="0.35">
      <c r="A371" t="s">
        <v>44</v>
      </c>
      <c r="B371">
        <f>INDEX('ECOMMERS SALES'!$A:$J,MATCH('index match'!$A371,'ECOMMERS SALES'!$C:$C,0),MATCH('index match'!B$1,ECOMMERS_SALES[#Headers],0))</f>
        <v>1010</v>
      </c>
      <c r="C371" t="str">
        <f>INDEX('ECOMMERS SALES'!$A:$J,MATCH('index match'!$A371,'ECOMMERS SALES'!$C:$C,0),MATCH('index match'!C$1,ECOMMERS_SALES[#Headers],0))</f>
        <v>11-01-2025</v>
      </c>
      <c r="D371" t="str">
        <f>INDEX('ECOMMERS SALES'!$A:$J,MATCH('index match'!$A371,'ECOMMERS SALES'!$C:$C,0),MATCH('index match'!D$1,ECOMMERS_SALES[#Headers],0))</f>
        <v>Other</v>
      </c>
      <c r="E371">
        <f>INDEX('ECOMMERS SALES'!$A:$J,MATCH('index match'!$A371,'ECOMMERS SALES'!$C:$C,0),MATCH('index match'!E$1,ECOMMERS_SALES[#Headers],0))</f>
        <v>1</v>
      </c>
      <c r="F371">
        <f>INDEX('ECOMMERS SALES'!$A:$J,MATCH('index match'!$A371,'ECOMMERS SALES'!$C:$C,0),MATCH('index match'!F$1,ECOMMERS_SALES[#Headers],0))</f>
        <v>268</v>
      </c>
      <c r="G371">
        <f>INDEX('ECOMMERS SALES'!$A:$J,MATCH('index match'!$A371,'ECOMMERS SALES'!$C:$C,0),MATCH('index match'!G$1,ECOMMERS_SALES[#Headers],0))</f>
        <v>268</v>
      </c>
      <c r="H371" t="str">
        <f>INDEX('ECOMMERS SALES'!$A:$J,MATCH('index match'!$A371,'ECOMMERS SALES'!$C:$C,0),MATCH('index match'!H$1,ECOMMERS_SALES[#Headers],0))</f>
        <v>Chennai</v>
      </c>
      <c r="I371" t="str">
        <f>INDEX('ECOMMERS SALES'!$A:$J,MATCH('index match'!$A371,'ECOMMERS SALES'!$C:$C,0),MATCH('index match'!I$1,ECOMMERS_SALES[#Headers],0))</f>
        <v>New</v>
      </c>
      <c r="J371" t="str">
        <f>INDEX('ECOMMERS SALES'!$A:$J,MATCH('index match'!$A371,'ECOMMERS SALES'!$C:$C,0),MATCH('index match'!J$1,ECOMMERS_SALES[#Headers],0))</f>
        <v>UPI</v>
      </c>
    </row>
    <row r="372" spans="1:10" x14ac:dyDescent="0.35">
      <c r="A372" t="s">
        <v>11</v>
      </c>
      <c r="B372">
        <f>INDEX('ECOMMERS SALES'!$A:$J,MATCH('index match'!$A372,'ECOMMERS SALES'!$C:$C,0),MATCH('index match'!B$1,ECOMMERS_SALES[#Headers],0))</f>
        <v>1001</v>
      </c>
      <c r="C372" t="str">
        <f>INDEX('ECOMMERS SALES'!$A:$J,MATCH('index match'!$A372,'ECOMMERS SALES'!$C:$C,0),MATCH('index match'!C$1,ECOMMERS_SALES[#Headers],0))</f>
        <v>02-01-2025</v>
      </c>
      <c r="D372" t="str">
        <f>INDEX('ECOMMERS SALES'!$A:$J,MATCH('index match'!$A372,'ECOMMERS SALES'!$C:$C,0),MATCH('index match'!D$1,ECOMMERS_SALES[#Headers],0))</f>
        <v>Electronics</v>
      </c>
      <c r="E372">
        <f>INDEX('ECOMMERS SALES'!$A:$J,MATCH('index match'!$A372,'ECOMMERS SALES'!$C:$C,0),MATCH('index match'!E$1,ECOMMERS_SALES[#Headers],0))</f>
        <v>2</v>
      </c>
      <c r="F372">
        <f>INDEX('ECOMMERS SALES'!$A:$J,MATCH('index match'!$A372,'ECOMMERS SALES'!$C:$C,0),MATCH('index match'!F$1,ECOMMERS_SALES[#Headers],0))</f>
        <v>50353</v>
      </c>
      <c r="G372">
        <f>INDEX('ECOMMERS SALES'!$A:$J,MATCH('index match'!$A372,'ECOMMERS SALES'!$C:$C,0),MATCH('index match'!G$1,ECOMMERS_SALES[#Headers],0))</f>
        <v>100706</v>
      </c>
      <c r="H372" t="str">
        <f>INDEX('ECOMMERS SALES'!$A:$J,MATCH('index match'!$A372,'ECOMMERS SALES'!$C:$C,0),MATCH('index match'!H$1,ECOMMERS_SALES[#Headers],0))</f>
        <v>Chennai</v>
      </c>
      <c r="I372" t="str">
        <f>INDEX('ECOMMERS SALES'!$A:$J,MATCH('index match'!$A372,'ECOMMERS SALES'!$C:$C,0),MATCH('index match'!I$1,ECOMMERS_SALES[#Headers],0))</f>
        <v>Premimum</v>
      </c>
      <c r="J372" t="str">
        <f>INDEX('ECOMMERS SALES'!$A:$J,MATCH('index match'!$A372,'ECOMMERS SALES'!$C:$C,0),MATCH('index match'!J$1,ECOMMERS_SALES[#Headers],0))</f>
        <v>Card</v>
      </c>
    </row>
    <row r="373" spans="1:10" x14ac:dyDescent="0.35">
      <c r="A373" t="s">
        <v>17</v>
      </c>
      <c r="B373">
        <f>INDEX('ECOMMERS SALES'!$A:$J,MATCH('index match'!$A373,'ECOMMERS SALES'!$C:$C,0),MATCH('index match'!B$1,ECOMMERS_SALES[#Headers],0))</f>
        <v>1002</v>
      </c>
      <c r="C373" t="str">
        <f>INDEX('ECOMMERS SALES'!$A:$J,MATCH('index match'!$A373,'ECOMMERS SALES'!$C:$C,0),MATCH('index match'!C$1,ECOMMERS_SALES[#Headers],0))</f>
        <v>03-01-2025</v>
      </c>
      <c r="D373" t="str">
        <f>INDEX('ECOMMERS SALES'!$A:$J,MATCH('index match'!$A373,'ECOMMERS SALES'!$C:$C,0),MATCH('index match'!D$1,ECOMMERS_SALES[#Headers],0))</f>
        <v>Electronics</v>
      </c>
      <c r="E373">
        <f>INDEX('ECOMMERS SALES'!$A:$J,MATCH('index match'!$A373,'ECOMMERS SALES'!$C:$C,0),MATCH('index match'!E$1,ECOMMERS_SALES[#Headers],0))</f>
        <v>2</v>
      </c>
      <c r="F373">
        <f>INDEX('ECOMMERS SALES'!$A:$J,MATCH('index match'!$A373,'ECOMMERS SALES'!$C:$C,0),MATCH('index match'!F$1,ECOMMERS_SALES[#Headers],0))</f>
        <v>2008</v>
      </c>
      <c r="G373">
        <f>INDEX('ECOMMERS SALES'!$A:$J,MATCH('index match'!$A373,'ECOMMERS SALES'!$C:$C,0),MATCH('index match'!G$1,ECOMMERS_SALES[#Headers],0))</f>
        <v>4016</v>
      </c>
      <c r="H373" t="str">
        <f>INDEX('ECOMMERS SALES'!$A:$J,MATCH('index match'!$A373,'ECOMMERS SALES'!$C:$C,0),MATCH('index match'!H$1,ECOMMERS_SALES[#Headers],0))</f>
        <v>Delhi</v>
      </c>
      <c r="I373" t="str">
        <f>INDEX('ECOMMERS SALES'!$A:$J,MATCH('index match'!$A373,'ECOMMERS SALES'!$C:$C,0),MATCH('index match'!I$1,ECOMMERS_SALES[#Headers],0))</f>
        <v>New</v>
      </c>
      <c r="J373" t="str">
        <f>INDEX('ECOMMERS SALES'!$A:$J,MATCH('index match'!$A373,'ECOMMERS SALES'!$C:$C,0),MATCH('index match'!J$1,ECOMMERS_SALES[#Headers],0))</f>
        <v>UPI</v>
      </c>
    </row>
    <row r="374" spans="1:10" x14ac:dyDescent="0.35">
      <c r="A374" t="s">
        <v>22</v>
      </c>
      <c r="B374">
        <f>INDEX('ECOMMERS SALES'!$A:$J,MATCH('index match'!$A374,'ECOMMERS SALES'!$C:$C,0),MATCH('index match'!B$1,ECOMMERS_SALES[#Headers],0))</f>
        <v>1003</v>
      </c>
      <c r="C374" t="str">
        <f>INDEX('ECOMMERS SALES'!$A:$J,MATCH('index match'!$A374,'ECOMMERS SALES'!$C:$C,0),MATCH('index match'!C$1,ECOMMERS_SALES[#Headers],0))</f>
        <v>04-01-2025</v>
      </c>
      <c r="D374" t="str">
        <f>INDEX('ECOMMERS SALES'!$A:$J,MATCH('index match'!$A374,'ECOMMERS SALES'!$C:$C,0),MATCH('index match'!D$1,ECOMMERS_SALES[#Headers],0))</f>
        <v>Fashion</v>
      </c>
      <c r="E374">
        <f>INDEX('ECOMMERS SALES'!$A:$J,MATCH('index match'!$A374,'ECOMMERS SALES'!$C:$C,0),MATCH('index match'!E$1,ECOMMERS_SALES[#Headers],0))</f>
        <v>1</v>
      </c>
      <c r="F374">
        <f>INDEX('ECOMMERS SALES'!$A:$J,MATCH('index match'!$A374,'ECOMMERS SALES'!$C:$C,0),MATCH('index match'!F$1,ECOMMERS_SALES[#Headers],0))</f>
        <v>4736</v>
      </c>
      <c r="G374">
        <f>INDEX('ECOMMERS SALES'!$A:$J,MATCH('index match'!$A374,'ECOMMERS SALES'!$C:$C,0),MATCH('index match'!G$1,ECOMMERS_SALES[#Headers],0))</f>
        <v>4736</v>
      </c>
      <c r="H374" t="str">
        <f>INDEX('ECOMMERS SALES'!$A:$J,MATCH('index match'!$A374,'ECOMMERS SALES'!$C:$C,0),MATCH('index match'!H$1,ECOMMERS_SALES[#Headers],0))</f>
        <v>Chennai</v>
      </c>
      <c r="I374" t="str">
        <f>INDEX('ECOMMERS SALES'!$A:$J,MATCH('index match'!$A374,'ECOMMERS SALES'!$C:$C,0),MATCH('index match'!I$1,ECOMMERS_SALES[#Headers],0))</f>
        <v>New</v>
      </c>
      <c r="J374" t="str">
        <f>INDEX('ECOMMERS SALES'!$A:$J,MATCH('index match'!$A374,'ECOMMERS SALES'!$C:$C,0),MATCH('index match'!J$1,ECOMMERS_SALES[#Headers],0))</f>
        <v>UPI</v>
      </c>
    </row>
    <row r="375" spans="1:10" x14ac:dyDescent="0.35">
      <c r="A375" t="s">
        <v>25</v>
      </c>
      <c r="B375">
        <f>INDEX('ECOMMERS SALES'!$A:$J,MATCH('index match'!$A375,'ECOMMERS SALES'!$C:$C,0),MATCH('index match'!B$1,ECOMMERS_SALES[#Headers],0))</f>
        <v>1004</v>
      </c>
      <c r="C375" t="str">
        <f>INDEX('ECOMMERS SALES'!$A:$J,MATCH('index match'!$A375,'ECOMMERS SALES'!$C:$C,0),MATCH('index match'!C$1,ECOMMERS_SALES[#Headers],0))</f>
        <v>05-01-2025</v>
      </c>
      <c r="D375" t="str">
        <f>INDEX('ECOMMERS SALES'!$A:$J,MATCH('index match'!$A375,'ECOMMERS SALES'!$C:$C,0),MATCH('index match'!D$1,ECOMMERS_SALES[#Headers],0))</f>
        <v>Other</v>
      </c>
      <c r="E375">
        <f>INDEX('ECOMMERS SALES'!$A:$J,MATCH('index match'!$A375,'ECOMMERS SALES'!$C:$C,0),MATCH('index match'!E$1,ECOMMERS_SALES[#Headers],0))</f>
        <v>2</v>
      </c>
      <c r="F375">
        <f>INDEX('ECOMMERS SALES'!$A:$J,MATCH('index match'!$A375,'ECOMMERS SALES'!$C:$C,0),MATCH('index match'!F$1,ECOMMERS_SALES[#Headers],0))</f>
        <v>10072</v>
      </c>
      <c r="G375">
        <f>INDEX('ECOMMERS SALES'!$A:$J,MATCH('index match'!$A375,'ECOMMERS SALES'!$C:$C,0),MATCH('index match'!G$1,ECOMMERS_SALES[#Headers],0))</f>
        <v>20144</v>
      </c>
      <c r="H375" t="str">
        <f>INDEX('ECOMMERS SALES'!$A:$J,MATCH('index match'!$A375,'ECOMMERS SALES'!$C:$C,0),MATCH('index match'!H$1,ECOMMERS_SALES[#Headers],0))</f>
        <v>Pune</v>
      </c>
      <c r="I375" t="str">
        <f>INDEX('ECOMMERS SALES'!$A:$J,MATCH('index match'!$A375,'ECOMMERS SALES'!$C:$C,0),MATCH('index match'!I$1,ECOMMERS_SALES[#Headers],0))</f>
        <v>Premimum</v>
      </c>
      <c r="J375" t="str">
        <f>INDEX('ECOMMERS SALES'!$A:$J,MATCH('index match'!$A375,'ECOMMERS SALES'!$C:$C,0),MATCH('index match'!J$1,ECOMMERS_SALES[#Headers],0))</f>
        <v>Card</v>
      </c>
    </row>
    <row r="376" spans="1:10" x14ac:dyDescent="0.35">
      <c r="A376" t="s">
        <v>29</v>
      </c>
      <c r="B376">
        <f>INDEX('ECOMMERS SALES'!$A:$J,MATCH('index match'!$A376,'ECOMMERS SALES'!$C:$C,0),MATCH('index match'!B$1,ECOMMERS_SALES[#Headers],0))</f>
        <v>1005</v>
      </c>
      <c r="C376" t="str">
        <f>INDEX('ECOMMERS SALES'!$A:$J,MATCH('index match'!$A376,'ECOMMERS SALES'!$C:$C,0),MATCH('index match'!C$1,ECOMMERS_SALES[#Headers],0))</f>
        <v>06-01-2025</v>
      </c>
      <c r="D376" t="str">
        <f>INDEX('ECOMMERS SALES'!$A:$J,MATCH('index match'!$A376,'ECOMMERS SALES'!$C:$C,0),MATCH('index match'!D$1,ECOMMERS_SALES[#Headers],0))</f>
        <v>Other</v>
      </c>
      <c r="E376">
        <f>INDEX('ECOMMERS SALES'!$A:$J,MATCH('index match'!$A376,'ECOMMERS SALES'!$C:$C,0),MATCH('index match'!E$1,ECOMMERS_SALES[#Headers],0))</f>
        <v>2</v>
      </c>
      <c r="F376">
        <f>INDEX('ECOMMERS SALES'!$A:$J,MATCH('index match'!$A376,'ECOMMERS SALES'!$C:$C,0),MATCH('index match'!F$1,ECOMMERS_SALES[#Headers],0))</f>
        <v>920</v>
      </c>
      <c r="G376">
        <f>INDEX('ECOMMERS SALES'!$A:$J,MATCH('index match'!$A376,'ECOMMERS SALES'!$C:$C,0),MATCH('index match'!G$1,ECOMMERS_SALES[#Headers],0))</f>
        <v>1840</v>
      </c>
      <c r="H376" t="str">
        <f>INDEX('ECOMMERS SALES'!$A:$J,MATCH('index match'!$A376,'ECOMMERS SALES'!$C:$C,0),MATCH('index match'!H$1,ECOMMERS_SALES[#Headers],0))</f>
        <v>Pune</v>
      </c>
      <c r="I376" t="str">
        <f>INDEX('ECOMMERS SALES'!$A:$J,MATCH('index match'!$A376,'ECOMMERS SALES'!$C:$C,0),MATCH('index match'!I$1,ECOMMERS_SALES[#Headers],0))</f>
        <v>New</v>
      </c>
      <c r="J376" t="str">
        <f>INDEX('ECOMMERS SALES'!$A:$J,MATCH('index match'!$A376,'ECOMMERS SALES'!$C:$C,0),MATCH('index match'!J$1,ECOMMERS_SALES[#Headers],0))</f>
        <v>UPI</v>
      </c>
    </row>
    <row r="377" spans="1:10" x14ac:dyDescent="0.35">
      <c r="A377" t="s">
        <v>31</v>
      </c>
      <c r="B377">
        <f>INDEX('ECOMMERS SALES'!$A:$J,MATCH('index match'!$A377,'ECOMMERS SALES'!$C:$C,0),MATCH('index match'!B$1,ECOMMERS_SALES[#Headers],0))</f>
        <v>1006</v>
      </c>
      <c r="C377" t="str">
        <f>INDEX('ECOMMERS SALES'!$A:$J,MATCH('index match'!$A377,'ECOMMERS SALES'!$C:$C,0),MATCH('index match'!C$1,ECOMMERS_SALES[#Headers],0))</f>
        <v>07-01-2025</v>
      </c>
      <c r="D377" t="str">
        <f>INDEX('ECOMMERS SALES'!$A:$J,MATCH('index match'!$A377,'ECOMMERS SALES'!$C:$C,0),MATCH('index match'!D$1,ECOMMERS_SALES[#Headers],0))</f>
        <v>Electronics</v>
      </c>
      <c r="E377">
        <f>INDEX('ECOMMERS SALES'!$A:$J,MATCH('index match'!$A377,'ECOMMERS SALES'!$C:$C,0),MATCH('index match'!E$1,ECOMMERS_SALES[#Headers],0))</f>
        <v>1</v>
      </c>
      <c r="F377">
        <f>INDEX('ECOMMERS SALES'!$A:$J,MATCH('index match'!$A377,'ECOMMERS SALES'!$C:$C,0),MATCH('index match'!F$1,ECOMMERS_SALES[#Headers],0))</f>
        <v>13225</v>
      </c>
      <c r="G377">
        <f>INDEX('ECOMMERS SALES'!$A:$J,MATCH('index match'!$A377,'ECOMMERS SALES'!$C:$C,0),MATCH('index match'!G$1,ECOMMERS_SALES[#Headers],0))</f>
        <v>13225</v>
      </c>
      <c r="H377" t="str">
        <f>INDEX('ECOMMERS SALES'!$A:$J,MATCH('index match'!$A377,'ECOMMERS SALES'!$C:$C,0),MATCH('index match'!H$1,ECOMMERS_SALES[#Headers],0))</f>
        <v>Delhi</v>
      </c>
      <c r="I377" t="str">
        <f>INDEX('ECOMMERS SALES'!$A:$J,MATCH('index match'!$A377,'ECOMMERS SALES'!$C:$C,0),MATCH('index match'!I$1,ECOMMERS_SALES[#Headers],0))</f>
        <v>Returning</v>
      </c>
      <c r="J377" t="str">
        <f>INDEX('ECOMMERS SALES'!$A:$J,MATCH('index match'!$A377,'ECOMMERS SALES'!$C:$C,0),MATCH('index match'!J$1,ECOMMERS_SALES[#Headers],0))</f>
        <v>COD</v>
      </c>
    </row>
    <row r="378" spans="1:10" x14ac:dyDescent="0.35">
      <c r="A378" t="s">
        <v>35</v>
      </c>
      <c r="B378">
        <f>INDEX('ECOMMERS SALES'!$A:$J,MATCH('index match'!$A378,'ECOMMERS SALES'!$C:$C,0),MATCH('index match'!B$1,ECOMMERS_SALES[#Headers],0))</f>
        <v>1007</v>
      </c>
      <c r="C378" t="str">
        <f>INDEX('ECOMMERS SALES'!$A:$J,MATCH('index match'!$A378,'ECOMMERS SALES'!$C:$C,0),MATCH('index match'!C$1,ECOMMERS_SALES[#Headers],0))</f>
        <v>08-01-2025</v>
      </c>
      <c r="D378" t="str">
        <f>INDEX('ECOMMERS SALES'!$A:$J,MATCH('index match'!$A378,'ECOMMERS SALES'!$C:$C,0),MATCH('index match'!D$1,ECOMMERS_SALES[#Headers],0))</f>
        <v>Books</v>
      </c>
      <c r="E378">
        <f>INDEX('ECOMMERS SALES'!$A:$J,MATCH('index match'!$A378,'ECOMMERS SALES'!$C:$C,0),MATCH('index match'!E$1,ECOMMERS_SALES[#Headers],0))</f>
        <v>3</v>
      </c>
      <c r="F378">
        <f>INDEX('ECOMMERS SALES'!$A:$J,MATCH('index match'!$A378,'ECOMMERS SALES'!$C:$C,0),MATCH('index match'!F$1,ECOMMERS_SALES[#Headers],0))</f>
        <v>621</v>
      </c>
      <c r="G378">
        <f>INDEX('ECOMMERS SALES'!$A:$J,MATCH('index match'!$A378,'ECOMMERS SALES'!$C:$C,0),MATCH('index match'!G$1,ECOMMERS_SALES[#Headers],0))</f>
        <v>1863</v>
      </c>
      <c r="H378" t="str">
        <f>INDEX('ECOMMERS SALES'!$A:$J,MATCH('index match'!$A378,'ECOMMERS SALES'!$C:$C,0),MATCH('index match'!H$1,ECOMMERS_SALES[#Headers],0))</f>
        <v>Hyderabad</v>
      </c>
      <c r="I378" t="str">
        <f>INDEX('ECOMMERS SALES'!$A:$J,MATCH('index match'!$A378,'ECOMMERS SALES'!$C:$C,0),MATCH('index match'!I$1,ECOMMERS_SALES[#Headers],0))</f>
        <v>Premimum</v>
      </c>
      <c r="J378" t="str">
        <f>INDEX('ECOMMERS SALES'!$A:$J,MATCH('index match'!$A378,'ECOMMERS SALES'!$C:$C,0),MATCH('index match'!J$1,ECOMMERS_SALES[#Headers],0))</f>
        <v>UPI</v>
      </c>
    </row>
    <row r="379" spans="1:10" x14ac:dyDescent="0.35">
      <c r="A379" t="s">
        <v>39</v>
      </c>
      <c r="B379">
        <f>INDEX('ECOMMERS SALES'!$A:$J,MATCH('index match'!$A379,'ECOMMERS SALES'!$C:$C,0),MATCH('index match'!B$1,ECOMMERS_SALES[#Headers],0))</f>
        <v>1008</v>
      </c>
      <c r="C379" t="str">
        <f>INDEX('ECOMMERS SALES'!$A:$J,MATCH('index match'!$A379,'ECOMMERS SALES'!$C:$C,0),MATCH('index match'!C$1,ECOMMERS_SALES[#Headers],0))</f>
        <v>09-01-2025</v>
      </c>
      <c r="D379" t="str">
        <f>INDEX('ECOMMERS SALES'!$A:$J,MATCH('index match'!$A379,'ECOMMERS SALES'!$C:$C,0),MATCH('index match'!D$1,ECOMMERS_SALES[#Headers],0))</f>
        <v>Fashion</v>
      </c>
      <c r="E379">
        <f>INDEX('ECOMMERS SALES'!$A:$J,MATCH('index match'!$A379,'ECOMMERS SALES'!$C:$C,0),MATCH('index match'!E$1,ECOMMERS_SALES[#Headers],0))</f>
        <v>2</v>
      </c>
      <c r="F379">
        <f>INDEX('ECOMMERS SALES'!$A:$J,MATCH('index match'!$A379,'ECOMMERS SALES'!$C:$C,0),MATCH('index match'!F$1,ECOMMERS_SALES[#Headers],0))</f>
        <v>905</v>
      </c>
      <c r="G379">
        <f>INDEX('ECOMMERS SALES'!$A:$J,MATCH('index match'!$A379,'ECOMMERS SALES'!$C:$C,0),MATCH('index match'!G$1,ECOMMERS_SALES[#Headers],0))</f>
        <v>1810</v>
      </c>
      <c r="H379" t="str">
        <f>INDEX('ECOMMERS SALES'!$A:$J,MATCH('index match'!$A379,'ECOMMERS SALES'!$C:$C,0),MATCH('index match'!H$1,ECOMMERS_SALES[#Headers],0))</f>
        <v>Bangalore</v>
      </c>
      <c r="I379" t="str">
        <f>INDEX('ECOMMERS SALES'!$A:$J,MATCH('index match'!$A379,'ECOMMERS SALES'!$C:$C,0),MATCH('index match'!I$1,ECOMMERS_SALES[#Headers],0))</f>
        <v>New</v>
      </c>
      <c r="J379" t="str">
        <f>INDEX('ECOMMERS SALES'!$A:$J,MATCH('index match'!$A379,'ECOMMERS SALES'!$C:$C,0),MATCH('index match'!J$1,ECOMMERS_SALES[#Headers],0))</f>
        <v>COD</v>
      </c>
    </row>
    <row r="380" spans="1:10" x14ac:dyDescent="0.35">
      <c r="A380" t="s">
        <v>42</v>
      </c>
      <c r="B380">
        <f>INDEX('ECOMMERS SALES'!$A:$J,MATCH('index match'!$A380,'ECOMMERS SALES'!$C:$C,0),MATCH('index match'!B$1,ECOMMERS_SALES[#Headers],0))</f>
        <v>1009</v>
      </c>
      <c r="C380" t="str">
        <f>INDEX('ECOMMERS SALES'!$A:$J,MATCH('index match'!$A380,'ECOMMERS SALES'!$C:$C,0),MATCH('index match'!C$1,ECOMMERS_SALES[#Headers],0))</f>
        <v>10-01-2025</v>
      </c>
      <c r="D380" t="str">
        <f>INDEX('ECOMMERS SALES'!$A:$J,MATCH('index match'!$A380,'ECOMMERS SALES'!$C:$C,0),MATCH('index match'!D$1,ECOMMERS_SALES[#Headers],0))</f>
        <v>Electronics</v>
      </c>
      <c r="E380">
        <f>INDEX('ECOMMERS SALES'!$A:$J,MATCH('index match'!$A380,'ECOMMERS SALES'!$C:$C,0),MATCH('index match'!E$1,ECOMMERS_SALES[#Headers],0))</f>
        <v>1</v>
      </c>
      <c r="F380">
        <f>INDEX('ECOMMERS SALES'!$A:$J,MATCH('index match'!$A380,'ECOMMERS SALES'!$C:$C,0),MATCH('index match'!F$1,ECOMMERS_SALES[#Headers],0))</f>
        <v>8563</v>
      </c>
      <c r="G380">
        <f>INDEX('ECOMMERS SALES'!$A:$J,MATCH('index match'!$A380,'ECOMMERS SALES'!$C:$C,0),MATCH('index match'!G$1,ECOMMERS_SALES[#Headers],0))</f>
        <v>8563</v>
      </c>
      <c r="H380" t="str">
        <f>INDEX('ECOMMERS SALES'!$A:$J,MATCH('index match'!$A380,'ECOMMERS SALES'!$C:$C,0),MATCH('index match'!H$1,ECOMMERS_SALES[#Headers],0))</f>
        <v>Hyderabad</v>
      </c>
      <c r="I380" t="str">
        <f>INDEX('ECOMMERS SALES'!$A:$J,MATCH('index match'!$A380,'ECOMMERS SALES'!$C:$C,0),MATCH('index match'!I$1,ECOMMERS_SALES[#Headers],0))</f>
        <v>Returning</v>
      </c>
      <c r="J380" t="str">
        <f>INDEX('ECOMMERS SALES'!$A:$J,MATCH('index match'!$A380,'ECOMMERS SALES'!$C:$C,0),MATCH('index match'!J$1,ECOMMERS_SALES[#Headers],0))</f>
        <v>Card</v>
      </c>
    </row>
    <row r="381" spans="1:10" x14ac:dyDescent="0.35">
      <c r="A381" t="s">
        <v>44</v>
      </c>
      <c r="B381">
        <f>INDEX('ECOMMERS SALES'!$A:$J,MATCH('index match'!$A381,'ECOMMERS SALES'!$C:$C,0),MATCH('index match'!B$1,ECOMMERS_SALES[#Headers],0))</f>
        <v>1010</v>
      </c>
      <c r="C381" t="str">
        <f>INDEX('ECOMMERS SALES'!$A:$J,MATCH('index match'!$A381,'ECOMMERS SALES'!$C:$C,0),MATCH('index match'!C$1,ECOMMERS_SALES[#Headers],0))</f>
        <v>11-01-2025</v>
      </c>
      <c r="D381" t="str">
        <f>INDEX('ECOMMERS SALES'!$A:$J,MATCH('index match'!$A381,'ECOMMERS SALES'!$C:$C,0),MATCH('index match'!D$1,ECOMMERS_SALES[#Headers],0))</f>
        <v>Other</v>
      </c>
      <c r="E381">
        <f>INDEX('ECOMMERS SALES'!$A:$J,MATCH('index match'!$A381,'ECOMMERS SALES'!$C:$C,0),MATCH('index match'!E$1,ECOMMERS_SALES[#Headers],0))</f>
        <v>1</v>
      </c>
      <c r="F381">
        <f>INDEX('ECOMMERS SALES'!$A:$J,MATCH('index match'!$A381,'ECOMMERS SALES'!$C:$C,0),MATCH('index match'!F$1,ECOMMERS_SALES[#Headers],0))</f>
        <v>268</v>
      </c>
      <c r="G381">
        <f>INDEX('ECOMMERS SALES'!$A:$J,MATCH('index match'!$A381,'ECOMMERS SALES'!$C:$C,0),MATCH('index match'!G$1,ECOMMERS_SALES[#Headers],0))</f>
        <v>268</v>
      </c>
      <c r="H381" t="str">
        <f>INDEX('ECOMMERS SALES'!$A:$J,MATCH('index match'!$A381,'ECOMMERS SALES'!$C:$C,0),MATCH('index match'!H$1,ECOMMERS_SALES[#Headers],0))</f>
        <v>Chennai</v>
      </c>
      <c r="I381" t="str">
        <f>INDEX('ECOMMERS SALES'!$A:$J,MATCH('index match'!$A381,'ECOMMERS SALES'!$C:$C,0),MATCH('index match'!I$1,ECOMMERS_SALES[#Headers],0))</f>
        <v>New</v>
      </c>
      <c r="J381" t="str">
        <f>INDEX('ECOMMERS SALES'!$A:$J,MATCH('index match'!$A381,'ECOMMERS SALES'!$C:$C,0),MATCH('index match'!J$1,ECOMMERS_SALES[#Headers],0))</f>
        <v>UPI</v>
      </c>
    </row>
    <row r="382" spans="1:10" x14ac:dyDescent="0.35">
      <c r="A382" t="s">
        <v>11</v>
      </c>
      <c r="B382">
        <f>INDEX('ECOMMERS SALES'!$A:$J,MATCH('index match'!$A382,'ECOMMERS SALES'!$C:$C,0),MATCH('index match'!B$1,ECOMMERS_SALES[#Headers],0))</f>
        <v>1001</v>
      </c>
      <c r="C382" t="str">
        <f>INDEX('ECOMMERS SALES'!$A:$J,MATCH('index match'!$A382,'ECOMMERS SALES'!$C:$C,0),MATCH('index match'!C$1,ECOMMERS_SALES[#Headers],0))</f>
        <v>02-01-2025</v>
      </c>
      <c r="D382" t="str">
        <f>INDEX('ECOMMERS SALES'!$A:$J,MATCH('index match'!$A382,'ECOMMERS SALES'!$C:$C,0),MATCH('index match'!D$1,ECOMMERS_SALES[#Headers],0))</f>
        <v>Electronics</v>
      </c>
      <c r="E382">
        <f>INDEX('ECOMMERS SALES'!$A:$J,MATCH('index match'!$A382,'ECOMMERS SALES'!$C:$C,0),MATCH('index match'!E$1,ECOMMERS_SALES[#Headers],0))</f>
        <v>2</v>
      </c>
      <c r="F382">
        <f>INDEX('ECOMMERS SALES'!$A:$J,MATCH('index match'!$A382,'ECOMMERS SALES'!$C:$C,0),MATCH('index match'!F$1,ECOMMERS_SALES[#Headers],0))</f>
        <v>50353</v>
      </c>
      <c r="G382">
        <f>INDEX('ECOMMERS SALES'!$A:$J,MATCH('index match'!$A382,'ECOMMERS SALES'!$C:$C,0),MATCH('index match'!G$1,ECOMMERS_SALES[#Headers],0))</f>
        <v>100706</v>
      </c>
      <c r="H382" t="str">
        <f>INDEX('ECOMMERS SALES'!$A:$J,MATCH('index match'!$A382,'ECOMMERS SALES'!$C:$C,0),MATCH('index match'!H$1,ECOMMERS_SALES[#Headers],0))</f>
        <v>Chennai</v>
      </c>
      <c r="I382" t="str">
        <f>INDEX('ECOMMERS SALES'!$A:$J,MATCH('index match'!$A382,'ECOMMERS SALES'!$C:$C,0),MATCH('index match'!I$1,ECOMMERS_SALES[#Headers],0))</f>
        <v>Premimum</v>
      </c>
      <c r="J382" t="str">
        <f>INDEX('ECOMMERS SALES'!$A:$J,MATCH('index match'!$A382,'ECOMMERS SALES'!$C:$C,0),MATCH('index match'!J$1,ECOMMERS_SALES[#Headers],0))</f>
        <v>Card</v>
      </c>
    </row>
    <row r="383" spans="1:10" x14ac:dyDescent="0.35">
      <c r="A383" t="s">
        <v>17</v>
      </c>
      <c r="B383">
        <f>INDEX('ECOMMERS SALES'!$A:$J,MATCH('index match'!$A383,'ECOMMERS SALES'!$C:$C,0),MATCH('index match'!B$1,ECOMMERS_SALES[#Headers],0))</f>
        <v>1002</v>
      </c>
      <c r="C383" t="str">
        <f>INDEX('ECOMMERS SALES'!$A:$J,MATCH('index match'!$A383,'ECOMMERS SALES'!$C:$C,0),MATCH('index match'!C$1,ECOMMERS_SALES[#Headers],0))</f>
        <v>03-01-2025</v>
      </c>
      <c r="D383" t="str">
        <f>INDEX('ECOMMERS SALES'!$A:$J,MATCH('index match'!$A383,'ECOMMERS SALES'!$C:$C,0),MATCH('index match'!D$1,ECOMMERS_SALES[#Headers],0))</f>
        <v>Electronics</v>
      </c>
      <c r="E383">
        <f>INDEX('ECOMMERS SALES'!$A:$J,MATCH('index match'!$A383,'ECOMMERS SALES'!$C:$C,0),MATCH('index match'!E$1,ECOMMERS_SALES[#Headers],0))</f>
        <v>2</v>
      </c>
      <c r="F383">
        <f>INDEX('ECOMMERS SALES'!$A:$J,MATCH('index match'!$A383,'ECOMMERS SALES'!$C:$C,0),MATCH('index match'!F$1,ECOMMERS_SALES[#Headers],0))</f>
        <v>2008</v>
      </c>
      <c r="G383">
        <f>INDEX('ECOMMERS SALES'!$A:$J,MATCH('index match'!$A383,'ECOMMERS SALES'!$C:$C,0),MATCH('index match'!G$1,ECOMMERS_SALES[#Headers],0))</f>
        <v>4016</v>
      </c>
      <c r="H383" t="str">
        <f>INDEX('ECOMMERS SALES'!$A:$J,MATCH('index match'!$A383,'ECOMMERS SALES'!$C:$C,0),MATCH('index match'!H$1,ECOMMERS_SALES[#Headers],0))</f>
        <v>Delhi</v>
      </c>
      <c r="I383" t="str">
        <f>INDEX('ECOMMERS SALES'!$A:$J,MATCH('index match'!$A383,'ECOMMERS SALES'!$C:$C,0),MATCH('index match'!I$1,ECOMMERS_SALES[#Headers],0))</f>
        <v>New</v>
      </c>
      <c r="J383" t="str">
        <f>INDEX('ECOMMERS SALES'!$A:$J,MATCH('index match'!$A383,'ECOMMERS SALES'!$C:$C,0),MATCH('index match'!J$1,ECOMMERS_SALES[#Headers],0))</f>
        <v>UPI</v>
      </c>
    </row>
    <row r="384" spans="1:10" x14ac:dyDescent="0.35">
      <c r="A384" t="s">
        <v>22</v>
      </c>
      <c r="B384">
        <f>INDEX('ECOMMERS SALES'!$A:$J,MATCH('index match'!$A384,'ECOMMERS SALES'!$C:$C,0),MATCH('index match'!B$1,ECOMMERS_SALES[#Headers],0))</f>
        <v>1003</v>
      </c>
      <c r="C384" t="str">
        <f>INDEX('ECOMMERS SALES'!$A:$J,MATCH('index match'!$A384,'ECOMMERS SALES'!$C:$C,0),MATCH('index match'!C$1,ECOMMERS_SALES[#Headers],0))</f>
        <v>04-01-2025</v>
      </c>
      <c r="D384" t="str">
        <f>INDEX('ECOMMERS SALES'!$A:$J,MATCH('index match'!$A384,'ECOMMERS SALES'!$C:$C,0),MATCH('index match'!D$1,ECOMMERS_SALES[#Headers],0))</f>
        <v>Fashion</v>
      </c>
      <c r="E384">
        <f>INDEX('ECOMMERS SALES'!$A:$J,MATCH('index match'!$A384,'ECOMMERS SALES'!$C:$C,0),MATCH('index match'!E$1,ECOMMERS_SALES[#Headers],0))</f>
        <v>1</v>
      </c>
      <c r="F384">
        <f>INDEX('ECOMMERS SALES'!$A:$J,MATCH('index match'!$A384,'ECOMMERS SALES'!$C:$C,0),MATCH('index match'!F$1,ECOMMERS_SALES[#Headers],0))</f>
        <v>4736</v>
      </c>
      <c r="G384">
        <f>INDEX('ECOMMERS SALES'!$A:$J,MATCH('index match'!$A384,'ECOMMERS SALES'!$C:$C,0),MATCH('index match'!G$1,ECOMMERS_SALES[#Headers],0))</f>
        <v>4736</v>
      </c>
      <c r="H384" t="str">
        <f>INDEX('ECOMMERS SALES'!$A:$J,MATCH('index match'!$A384,'ECOMMERS SALES'!$C:$C,0),MATCH('index match'!H$1,ECOMMERS_SALES[#Headers],0))</f>
        <v>Chennai</v>
      </c>
      <c r="I384" t="str">
        <f>INDEX('ECOMMERS SALES'!$A:$J,MATCH('index match'!$A384,'ECOMMERS SALES'!$C:$C,0),MATCH('index match'!I$1,ECOMMERS_SALES[#Headers],0))</f>
        <v>New</v>
      </c>
      <c r="J384" t="str">
        <f>INDEX('ECOMMERS SALES'!$A:$J,MATCH('index match'!$A384,'ECOMMERS SALES'!$C:$C,0),MATCH('index match'!J$1,ECOMMERS_SALES[#Headers],0))</f>
        <v>UPI</v>
      </c>
    </row>
    <row r="385" spans="1:10" x14ac:dyDescent="0.35">
      <c r="A385" t="s">
        <v>25</v>
      </c>
      <c r="B385">
        <f>INDEX('ECOMMERS SALES'!$A:$J,MATCH('index match'!$A385,'ECOMMERS SALES'!$C:$C,0),MATCH('index match'!B$1,ECOMMERS_SALES[#Headers],0))</f>
        <v>1004</v>
      </c>
      <c r="C385" t="str">
        <f>INDEX('ECOMMERS SALES'!$A:$J,MATCH('index match'!$A385,'ECOMMERS SALES'!$C:$C,0),MATCH('index match'!C$1,ECOMMERS_SALES[#Headers],0))</f>
        <v>05-01-2025</v>
      </c>
      <c r="D385" t="str">
        <f>INDEX('ECOMMERS SALES'!$A:$J,MATCH('index match'!$A385,'ECOMMERS SALES'!$C:$C,0),MATCH('index match'!D$1,ECOMMERS_SALES[#Headers],0))</f>
        <v>Other</v>
      </c>
      <c r="E385">
        <f>INDEX('ECOMMERS SALES'!$A:$J,MATCH('index match'!$A385,'ECOMMERS SALES'!$C:$C,0),MATCH('index match'!E$1,ECOMMERS_SALES[#Headers],0))</f>
        <v>2</v>
      </c>
      <c r="F385">
        <f>INDEX('ECOMMERS SALES'!$A:$J,MATCH('index match'!$A385,'ECOMMERS SALES'!$C:$C,0),MATCH('index match'!F$1,ECOMMERS_SALES[#Headers],0))</f>
        <v>10072</v>
      </c>
      <c r="G385">
        <f>INDEX('ECOMMERS SALES'!$A:$J,MATCH('index match'!$A385,'ECOMMERS SALES'!$C:$C,0),MATCH('index match'!G$1,ECOMMERS_SALES[#Headers],0))</f>
        <v>20144</v>
      </c>
      <c r="H385" t="str">
        <f>INDEX('ECOMMERS SALES'!$A:$J,MATCH('index match'!$A385,'ECOMMERS SALES'!$C:$C,0),MATCH('index match'!H$1,ECOMMERS_SALES[#Headers],0))</f>
        <v>Pune</v>
      </c>
      <c r="I385" t="str">
        <f>INDEX('ECOMMERS SALES'!$A:$J,MATCH('index match'!$A385,'ECOMMERS SALES'!$C:$C,0),MATCH('index match'!I$1,ECOMMERS_SALES[#Headers],0))</f>
        <v>Premimum</v>
      </c>
      <c r="J385" t="str">
        <f>INDEX('ECOMMERS SALES'!$A:$J,MATCH('index match'!$A385,'ECOMMERS SALES'!$C:$C,0),MATCH('index match'!J$1,ECOMMERS_SALES[#Headers],0))</f>
        <v>Card</v>
      </c>
    </row>
    <row r="386" spans="1:10" x14ac:dyDescent="0.35">
      <c r="A386" t="s">
        <v>29</v>
      </c>
      <c r="B386">
        <f>INDEX('ECOMMERS SALES'!$A:$J,MATCH('index match'!$A386,'ECOMMERS SALES'!$C:$C,0),MATCH('index match'!B$1,ECOMMERS_SALES[#Headers],0))</f>
        <v>1005</v>
      </c>
      <c r="C386" t="str">
        <f>INDEX('ECOMMERS SALES'!$A:$J,MATCH('index match'!$A386,'ECOMMERS SALES'!$C:$C,0),MATCH('index match'!C$1,ECOMMERS_SALES[#Headers],0))</f>
        <v>06-01-2025</v>
      </c>
      <c r="D386" t="str">
        <f>INDEX('ECOMMERS SALES'!$A:$J,MATCH('index match'!$A386,'ECOMMERS SALES'!$C:$C,0),MATCH('index match'!D$1,ECOMMERS_SALES[#Headers],0))</f>
        <v>Other</v>
      </c>
      <c r="E386">
        <f>INDEX('ECOMMERS SALES'!$A:$J,MATCH('index match'!$A386,'ECOMMERS SALES'!$C:$C,0),MATCH('index match'!E$1,ECOMMERS_SALES[#Headers],0))</f>
        <v>2</v>
      </c>
      <c r="F386">
        <f>INDEX('ECOMMERS SALES'!$A:$J,MATCH('index match'!$A386,'ECOMMERS SALES'!$C:$C,0),MATCH('index match'!F$1,ECOMMERS_SALES[#Headers],0))</f>
        <v>920</v>
      </c>
      <c r="G386">
        <f>INDEX('ECOMMERS SALES'!$A:$J,MATCH('index match'!$A386,'ECOMMERS SALES'!$C:$C,0),MATCH('index match'!G$1,ECOMMERS_SALES[#Headers],0))</f>
        <v>1840</v>
      </c>
      <c r="H386" t="str">
        <f>INDEX('ECOMMERS SALES'!$A:$J,MATCH('index match'!$A386,'ECOMMERS SALES'!$C:$C,0),MATCH('index match'!H$1,ECOMMERS_SALES[#Headers],0))</f>
        <v>Pune</v>
      </c>
      <c r="I386" t="str">
        <f>INDEX('ECOMMERS SALES'!$A:$J,MATCH('index match'!$A386,'ECOMMERS SALES'!$C:$C,0),MATCH('index match'!I$1,ECOMMERS_SALES[#Headers],0))</f>
        <v>New</v>
      </c>
      <c r="J386" t="str">
        <f>INDEX('ECOMMERS SALES'!$A:$J,MATCH('index match'!$A386,'ECOMMERS SALES'!$C:$C,0),MATCH('index match'!J$1,ECOMMERS_SALES[#Headers],0))</f>
        <v>UPI</v>
      </c>
    </row>
    <row r="387" spans="1:10" x14ac:dyDescent="0.35">
      <c r="A387" t="s">
        <v>31</v>
      </c>
      <c r="B387">
        <f>INDEX('ECOMMERS SALES'!$A:$J,MATCH('index match'!$A387,'ECOMMERS SALES'!$C:$C,0),MATCH('index match'!B$1,ECOMMERS_SALES[#Headers],0))</f>
        <v>1006</v>
      </c>
      <c r="C387" t="str">
        <f>INDEX('ECOMMERS SALES'!$A:$J,MATCH('index match'!$A387,'ECOMMERS SALES'!$C:$C,0),MATCH('index match'!C$1,ECOMMERS_SALES[#Headers],0))</f>
        <v>07-01-2025</v>
      </c>
      <c r="D387" t="str">
        <f>INDEX('ECOMMERS SALES'!$A:$J,MATCH('index match'!$A387,'ECOMMERS SALES'!$C:$C,0),MATCH('index match'!D$1,ECOMMERS_SALES[#Headers],0))</f>
        <v>Electronics</v>
      </c>
      <c r="E387">
        <f>INDEX('ECOMMERS SALES'!$A:$J,MATCH('index match'!$A387,'ECOMMERS SALES'!$C:$C,0),MATCH('index match'!E$1,ECOMMERS_SALES[#Headers],0))</f>
        <v>1</v>
      </c>
      <c r="F387">
        <f>INDEX('ECOMMERS SALES'!$A:$J,MATCH('index match'!$A387,'ECOMMERS SALES'!$C:$C,0),MATCH('index match'!F$1,ECOMMERS_SALES[#Headers],0))</f>
        <v>13225</v>
      </c>
      <c r="G387">
        <f>INDEX('ECOMMERS SALES'!$A:$J,MATCH('index match'!$A387,'ECOMMERS SALES'!$C:$C,0),MATCH('index match'!G$1,ECOMMERS_SALES[#Headers],0))</f>
        <v>13225</v>
      </c>
      <c r="H387" t="str">
        <f>INDEX('ECOMMERS SALES'!$A:$J,MATCH('index match'!$A387,'ECOMMERS SALES'!$C:$C,0),MATCH('index match'!H$1,ECOMMERS_SALES[#Headers],0))</f>
        <v>Delhi</v>
      </c>
      <c r="I387" t="str">
        <f>INDEX('ECOMMERS SALES'!$A:$J,MATCH('index match'!$A387,'ECOMMERS SALES'!$C:$C,0),MATCH('index match'!I$1,ECOMMERS_SALES[#Headers],0))</f>
        <v>Returning</v>
      </c>
      <c r="J387" t="str">
        <f>INDEX('ECOMMERS SALES'!$A:$J,MATCH('index match'!$A387,'ECOMMERS SALES'!$C:$C,0),MATCH('index match'!J$1,ECOMMERS_SALES[#Headers],0))</f>
        <v>COD</v>
      </c>
    </row>
    <row r="388" spans="1:10" x14ac:dyDescent="0.35">
      <c r="A388" t="s">
        <v>35</v>
      </c>
      <c r="B388">
        <f>INDEX('ECOMMERS SALES'!$A:$J,MATCH('index match'!$A388,'ECOMMERS SALES'!$C:$C,0),MATCH('index match'!B$1,ECOMMERS_SALES[#Headers],0))</f>
        <v>1007</v>
      </c>
      <c r="C388" t="str">
        <f>INDEX('ECOMMERS SALES'!$A:$J,MATCH('index match'!$A388,'ECOMMERS SALES'!$C:$C,0),MATCH('index match'!C$1,ECOMMERS_SALES[#Headers],0))</f>
        <v>08-01-2025</v>
      </c>
      <c r="D388" t="str">
        <f>INDEX('ECOMMERS SALES'!$A:$J,MATCH('index match'!$A388,'ECOMMERS SALES'!$C:$C,0),MATCH('index match'!D$1,ECOMMERS_SALES[#Headers],0))</f>
        <v>Books</v>
      </c>
      <c r="E388">
        <f>INDEX('ECOMMERS SALES'!$A:$J,MATCH('index match'!$A388,'ECOMMERS SALES'!$C:$C,0),MATCH('index match'!E$1,ECOMMERS_SALES[#Headers],0))</f>
        <v>3</v>
      </c>
      <c r="F388">
        <f>INDEX('ECOMMERS SALES'!$A:$J,MATCH('index match'!$A388,'ECOMMERS SALES'!$C:$C,0),MATCH('index match'!F$1,ECOMMERS_SALES[#Headers],0))</f>
        <v>621</v>
      </c>
      <c r="G388">
        <f>INDEX('ECOMMERS SALES'!$A:$J,MATCH('index match'!$A388,'ECOMMERS SALES'!$C:$C,0),MATCH('index match'!G$1,ECOMMERS_SALES[#Headers],0))</f>
        <v>1863</v>
      </c>
      <c r="H388" t="str">
        <f>INDEX('ECOMMERS SALES'!$A:$J,MATCH('index match'!$A388,'ECOMMERS SALES'!$C:$C,0),MATCH('index match'!H$1,ECOMMERS_SALES[#Headers],0))</f>
        <v>Hyderabad</v>
      </c>
      <c r="I388" t="str">
        <f>INDEX('ECOMMERS SALES'!$A:$J,MATCH('index match'!$A388,'ECOMMERS SALES'!$C:$C,0),MATCH('index match'!I$1,ECOMMERS_SALES[#Headers],0))</f>
        <v>Premimum</v>
      </c>
      <c r="J388" t="str">
        <f>INDEX('ECOMMERS SALES'!$A:$J,MATCH('index match'!$A388,'ECOMMERS SALES'!$C:$C,0),MATCH('index match'!J$1,ECOMMERS_SALES[#Headers],0))</f>
        <v>UPI</v>
      </c>
    </row>
    <row r="389" spans="1:10" x14ac:dyDescent="0.35">
      <c r="A389" t="s">
        <v>39</v>
      </c>
      <c r="B389">
        <f>INDEX('ECOMMERS SALES'!$A:$J,MATCH('index match'!$A389,'ECOMMERS SALES'!$C:$C,0),MATCH('index match'!B$1,ECOMMERS_SALES[#Headers],0))</f>
        <v>1008</v>
      </c>
      <c r="C389" t="str">
        <f>INDEX('ECOMMERS SALES'!$A:$J,MATCH('index match'!$A389,'ECOMMERS SALES'!$C:$C,0),MATCH('index match'!C$1,ECOMMERS_SALES[#Headers],0))</f>
        <v>09-01-2025</v>
      </c>
      <c r="D389" t="str">
        <f>INDEX('ECOMMERS SALES'!$A:$J,MATCH('index match'!$A389,'ECOMMERS SALES'!$C:$C,0),MATCH('index match'!D$1,ECOMMERS_SALES[#Headers],0))</f>
        <v>Fashion</v>
      </c>
      <c r="E389">
        <f>INDEX('ECOMMERS SALES'!$A:$J,MATCH('index match'!$A389,'ECOMMERS SALES'!$C:$C,0),MATCH('index match'!E$1,ECOMMERS_SALES[#Headers],0))</f>
        <v>2</v>
      </c>
      <c r="F389">
        <f>INDEX('ECOMMERS SALES'!$A:$J,MATCH('index match'!$A389,'ECOMMERS SALES'!$C:$C,0),MATCH('index match'!F$1,ECOMMERS_SALES[#Headers],0))</f>
        <v>905</v>
      </c>
      <c r="G389">
        <f>INDEX('ECOMMERS SALES'!$A:$J,MATCH('index match'!$A389,'ECOMMERS SALES'!$C:$C,0),MATCH('index match'!G$1,ECOMMERS_SALES[#Headers],0))</f>
        <v>1810</v>
      </c>
      <c r="H389" t="str">
        <f>INDEX('ECOMMERS SALES'!$A:$J,MATCH('index match'!$A389,'ECOMMERS SALES'!$C:$C,0),MATCH('index match'!H$1,ECOMMERS_SALES[#Headers],0))</f>
        <v>Bangalore</v>
      </c>
      <c r="I389" t="str">
        <f>INDEX('ECOMMERS SALES'!$A:$J,MATCH('index match'!$A389,'ECOMMERS SALES'!$C:$C,0),MATCH('index match'!I$1,ECOMMERS_SALES[#Headers],0))</f>
        <v>New</v>
      </c>
      <c r="J389" t="str">
        <f>INDEX('ECOMMERS SALES'!$A:$J,MATCH('index match'!$A389,'ECOMMERS SALES'!$C:$C,0),MATCH('index match'!J$1,ECOMMERS_SALES[#Headers],0))</f>
        <v>COD</v>
      </c>
    </row>
    <row r="390" spans="1:10" x14ac:dyDescent="0.35">
      <c r="A390" t="s">
        <v>42</v>
      </c>
      <c r="B390">
        <f>INDEX('ECOMMERS SALES'!$A:$J,MATCH('index match'!$A390,'ECOMMERS SALES'!$C:$C,0),MATCH('index match'!B$1,ECOMMERS_SALES[#Headers],0))</f>
        <v>1009</v>
      </c>
      <c r="C390" t="str">
        <f>INDEX('ECOMMERS SALES'!$A:$J,MATCH('index match'!$A390,'ECOMMERS SALES'!$C:$C,0),MATCH('index match'!C$1,ECOMMERS_SALES[#Headers],0))</f>
        <v>10-01-2025</v>
      </c>
      <c r="D390" t="str">
        <f>INDEX('ECOMMERS SALES'!$A:$J,MATCH('index match'!$A390,'ECOMMERS SALES'!$C:$C,0),MATCH('index match'!D$1,ECOMMERS_SALES[#Headers],0))</f>
        <v>Electronics</v>
      </c>
      <c r="E390">
        <f>INDEX('ECOMMERS SALES'!$A:$J,MATCH('index match'!$A390,'ECOMMERS SALES'!$C:$C,0),MATCH('index match'!E$1,ECOMMERS_SALES[#Headers],0))</f>
        <v>1</v>
      </c>
      <c r="F390">
        <f>INDEX('ECOMMERS SALES'!$A:$J,MATCH('index match'!$A390,'ECOMMERS SALES'!$C:$C,0),MATCH('index match'!F$1,ECOMMERS_SALES[#Headers],0))</f>
        <v>8563</v>
      </c>
      <c r="G390">
        <f>INDEX('ECOMMERS SALES'!$A:$J,MATCH('index match'!$A390,'ECOMMERS SALES'!$C:$C,0),MATCH('index match'!G$1,ECOMMERS_SALES[#Headers],0))</f>
        <v>8563</v>
      </c>
      <c r="H390" t="str">
        <f>INDEX('ECOMMERS SALES'!$A:$J,MATCH('index match'!$A390,'ECOMMERS SALES'!$C:$C,0),MATCH('index match'!H$1,ECOMMERS_SALES[#Headers],0))</f>
        <v>Hyderabad</v>
      </c>
      <c r="I390" t="str">
        <f>INDEX('ECOMMERS SALES'!$A:$J,MATCH('index match'!$A390,'ECOMMERS SALES'!$C:$C,0),MATCH('index match'!I$1,ECOMMERS_SALES[#Headers],0))</f>
        <v>Returning</v>
      </c>
      <c r="J390" t="str">
        <f>INDEX('ECOMMERS SALES'!$A:$J,MATCH('index match'!$A390,'ECOMMERS SALES'!$C:$C,0),MATCH('index match'!J$1,ECOMMERS_SALES[#Headers],0))</f>
        <v>Card</v>
      </c>
    </row>
    <row r="391" spans="1:10" x14ac:dyDescent="0.35">
      <c r="A391" t="s">
        <v>44</v>
      </c>
      <c r="B391">
        <f>INDEX('ECOMMERS SALES'!$A:$J,MATCH('index match'!$A391,'ECOMMERS SALES'!$C:$C,0),MATCH('index match'!B$1,ECOMMERS_SALES[#Headers],0))</f>
        <v>1010</v>
      </c>
      <c r="C391" t="str">
        <f>INDEX('ECOMMERS SALES'!$A:$J,MATCH('index match'!$A391,'ECOMMERS SALES'!$C:$C,0),MATCH('index match'!C$1,ECOMMERS_SALES[#Headers],0))</f>
        <v>11-01-2025</v>
      </c>
      <c r="D391" t="str">
        <f>INDEX('ECOMMERS SALES'!$A:$J,MATCH('index match'!$A391,'ECOMMERS SALES'!$C:$C,0),MATCH('index match'!D$1,ECOMMERS_SALES[#Headers],0))</f>
        <v>Other</v>
      </c>
      <c r="E391">
        <f>INDEX('ECOMMERS SALES'!$A:$J,MATCH('index match'!$A391,'ECOMMERS SALES'!$C:$C,0),MATCH('index match'!E$1,ECOMMERS_SALES[#Headers],0))</f>
        <v>1</v>
      </c>
      <c r="F391">
        <f>INDEX('ECOMMERS SALES'!$A:$J,MATCH('index match'!$A391,'ECOMMERS SALES'!$C:$C,0),MATCH('index match'!F$1,ECOMMERS_SALES[#Headers],0))</f>
        <v>268</v>
      </c>
      <c r="G391">
        <f>INDEX('ECOMMERS SALES'!$A:$J,MATCH('index match'!$A391,'ECOMMERS SALES'!$C:$C,0),MATCH('index match'!G$1,ECOMMERS_SALES[#Headers],0))</f>
        <v>268</v>
      </c>
      <c r="H391" t="str">
        <f>INDEX('ECOMMERS SALES'!$A:$J,MATCH('index match'!$A391,'ECOMMERS SALES'!$C:$C,0),MATCH('index match'!H$1,ECOMMERS_SALES[#Headers],0))</f>
        <v>Chennai</v>
      </c>
      <c r="I391" t="str">
        <f>INDEX('ECOMMERS SALES'!$A:$J,MATCH('index match'!$A391,'ECOMMERS SALES'!$C:$C,0),MATCH('index match'!I$1,ECOMMERS_SALES[#Headers],0))</f>
        <v>New</v>
      </c>
      <c r="J391" t="str">
        <f>INDEX('ECOMMERS SALES'!$A:$J,MATCH('index match'!$A391,'ECOMMERS SALES'!$C:$C,0),MATCH('index match'!J$1,ECOMMERS_SALES[#Headers],0))</f>
        <v>UPI</v>
      </c>
    </row>
    <row r="392" spans="1:10" x14ac:dyDescent="0.35">
      <c r="A392" t="s">
        <v>11</v>
      </c>
      <c r="B392">
        <f>INDEX('ECOMMERS SALES'!$A:$J,MATCH('index match'!$A392,'ECOMMERS SALES'!$C:$C,0),MATCH('index match'!B$1,ECOMMERS_SALES[#Headers],0))</f>
        <v>1001</v>
      </c>
      <c r="C392" t="str">
        <f>INDEX('ECOMMERS SALES'!$A:$J,MATCH('index match'!$A392,'ECOMMERS SALES'!$C:$C,0),MATCH('index match'!C$1,ECOMMERS_SALES[#Headers],0))</f>
        <v>02-01-2025</v>
      </c>
      <c r="D392" t="str">
        <f>INDEX('ECOMMERS SALES'!$A:$J,MATCH('index match'!$A392,'ECOMMERS SALES'!$C:$C,0),MATCH('index match'!D$1,ECOMMERS_SALES[#Headers],0))</f>
        <v>Electronics</v>
      </c>
      <c r="E392">
        <f>INDEX('ECOMMERS SALES'!$A:$J,MATCH('index match'!$A392,'ECOMMERS SALES'!$C:$C,0),MATCH('index match'!E$1,ECOMMERS_SALES[#Headers],0))</f>
        <v>2</v>
      </c>
      <c r="F392">
        <f>INDEX('ECOMMERS SALES'!$A:$J,MATCH('index match'!$A392,'ECOMMERS SALES'!$C:$C,0),MATCH('index match'!F$1,ECOMMERS_SALES[#Headers],0))</f>
        <v>50353</v>
      </c>
      <c r="G392">
        <f>INDEX('ECOMMERS SALES'!$A:$J,MATCH('index match'!$A392,'ECOMMERS SALES'!$C:$C,0),MATCH('index match'!G$1,ECOMMERS_SALES[#Headers],0))</f>
        <v>100706</v>
      </c>
      <c r="H392" t="str">
        <f>INDEX('ECOMMERS SALES'!$A:$J,MATCH('index match'!$A392,'ECOMMERS SALES'!$C:$C,0),MATCH('index match'!H$1,ECOMMERS_SALES[#Headers],0))</f>
        <v>Chennai</v>
      </c>
      <c r="I392" t="str">
        <f>INDEX('ECOMMERS SALES'!$A:$J,MATCH('index match'!$A392,'ECOMMERS SALES'!$C:$C,0),MATCH('index match'!I$1,ECOMMERS_SALES[#Headers],0))</f>
        <v>Premimum</v>
      </c>
      <c r="J392" t="str">
        <f>INDEX('ECOMMERS SALES'!$A:$J,MATCH('index match'!$A392,'ECOMMERS SALES'!$C:$C,0),MATCH('index match'!J$1,ECOMMERS_SALES[#Headers],0))</f>
        <v>Card</v>
      </c>
    </row>
    <row r="393" spans="1:10" x14ac:dyDescent="0.35">
      <c r="A393" t="s">
        <v>17</v>
      </c>
      <c r="B393">
        <f>INDEX('ECOMMERS SALES'!$A:$J,MATCH('index match'!$A393,'ECOMMERS SALES'!$C:$C,0),MATCH('index match'!B$1,ECOMMERS_SALES[#Headers],0))</f>
        <v>1002</v>
      </c>
      <c r="C393" t="str">
        <f>INDEX('ECOMMERS SALES'!$A:$J,MATCH('index match'!$A393,'ECOMMERS SALES'!$C:$C,0),MATCH('index match'!C$1,ECOMMERS_SALES[#Headers],0))</f>
        <v>03-01-2025</v>
      </c>
      <c r="D393" t="str">
        <f>INDEX('ECOMMERS SALES'!$A:$J,MATCH('index match'!$A393,'ECOMMERS SALES'!$C:$C,0),MATCH('index match'!D$1,ECOMMERS_SALES[#Headers],0))</f>
        <v>Electronics</v>
      </c>
      <c r="E393">
        <f>INDEX('ECOMMERS SALES'!$A:$J,MATCH('index match'!$A393,'ECOMMERS SALES'!$C:$C,0),MATCH('index match'!E$1,ECOMMERS_SALES[#Headers],0))</f>
        <v>2</v>
      </c>
      <c r="F393">
        <f>INDEX('ECOMMERS SALES'!$A:$J,MATCH('index match'!$A393,'ECOMMERS SALES'!$C:$C,0),MATCH('index match'!F$1,ECOMMERS_SALES[#Headers],0))</f>
        <v>2008</v>
      </c>
      <c r="G393">
        <f>INDEX('ECOMMERS SALES'!$A:$J,MATCH('index match'!$A393,'ECOMMERS SALES'!$C:$C,0),MATCH('index match'!G$1,ECOMMERS_SALES[#Headers],0))</f>
        <v>4016</v>
      </c>
      <c r="H393" t="str">
        <f>INDEX('ECOMMERS SALES'!$A:$J,MATCH('index match'!$A393,'ECOMMERS SALES'!$C:$C,0),MATCH('index match'!H$1,ECOMMERS_SALES[#Headers],0))</f>
        <v>Delhi</v>
      </c>
      <c r="I393" t="str">
        <f>INDEX('ECOMMERS SALES'!$A:$J,MATCH('index match'!$A393,'ECOMMERS SALES'!$C:$C,0),MATCH('index match'!I$1,ECOMMERS_SALES[#Headers],0))</f>
        <v>New</v>
      </c>
      <c r="J393" t="str">
        <f>INDEX('ECOMMERS SALES'!$A:$J,MATCH('index match'!$A393,'ECOMMERS SALES'!$C:$C,0),MATCH('index match'!J$1,ECOMMERS_SALES[#Headers],0))</f>
        <v>UPI</v>
      </c>
    </row>
    <row r="394" spans="1:10" x14ac:dyDescent="0.35">
      <c r="A394" t="s">
        <v>22</v>
      </c>
      <c r="B394">
        <f>INDEX('ECOMMERS SALES'!$A:$J,MATCH('index match'!$A394,'ECOMMERS SALES'!$C:$C,0),MATCH('index match'!B$1,ECOMMERS_SALES[#Headers],0))</f>
        <v>1003</v>
      </c>
      <c r="C394" t="str">
        <f>INDEX('ECOMMERS SALES'!$A:$J,MATCH('index match'!$A394,'ECOMMERS SALES'!$C:$C,0),MATCH('index match'!C$1,ECOMMERS_SALES[#Headers],0))</f>
        <v>04-01-2025</v>
      </c>
      <c r="D394" t="str">
        <f>INDEX('ECOMMERS SALES'!$A:$J,MATCH('index match'!$A394,'ECOMMERS SALES'!$C:$C,0),MATCH('index match'!D$1,ECOMMERS_SALES[#Headers],0))</f>
        <v>Fashion</v>
      </c>
      <c r="E394">
        <f>INDEX('ECOMMERS SALES'!$A:$J,MATCH('index match'!$A394,'ECOMMERS SALES'!$C:$C,0),MATCH('index match'!E$1,ECOMMERS_SALES[#Headers],0))</f>
        <v>1</v>
      </c>
      <c r="F394">
        <f>INDEX('ECOMMERS SALES'!$A:$J,MATCH('index match'!$A394,'ECOMMERS SALES'!$C:$C,0),MATCH('index match'!F$1,ECOMMERS_SALES[#Headers],0))</f>
        <v>4736</v>
      </c>
      <c r="G394">
        <f>INDEX('ECOMMERS SALES'!$A:$J,MATCH('index match'!$A394,'ECOMMERS SALES'!$C:$C,0),MATCH('index match'!G$1,ECOMMERS_SALES[#Headers],0))</f>
        <v>4736</v>
      </c>
      <c r="H394" t="str">
        <f>INDEX('ECOMMERS SALES'!$A:$J,MATCH('index match'!$A394,'ECOMMERS SALES'!$C:$C,0),MATCH('index match'!H$1,ECOMMERS_SALES[#Headers],0))</f>
        <v>Chennai</v>
      </c>
      <c r="I394" t="str">
        <f>INDEX('ECOMMERS SALES'!$A:$J,MATCH('index match'!$A394,'ECOMMERS SALES'!$C:$C,0),MATCH('index match'!I$1,ECOMMERS_SALES[#Headers],0))</f>
        <v>New</v>
      </c>
      <c r="J394" t="str">
        <f>INDEX('ECOMMERS SALES'!$A:$J,MATCH('index match'!$A394,'ECOMMERS SALES'!$C:$C,0),MATCH('index match'!J$1,ECOMMERS_SALES[#Headers],0))</f>
        <v>UPI</v>
      </c>
    </row>
    <row r="395" spans="1:10" x14ac:dyDescent="0.35">
      <c r="A395" t="s">
        <v>25</v>
      </c>
      <c r="B395">
        <f>INDEX('ECOMMERS SALES'!$A:$J,MATCH('index match'!$A395,'ECOMMERS SALES'!$C:$C,0),MATCH('index match'!B$1,ECOMMERS_SALES[#Headers],0))</f>
        <v>1004</v>
      </c>
      <c r="C395" t="str">
        <f>INDEX('ECOMMERS SALES'!$A:$J,MATCH('index match'!$A395,'ECOMMERS SALES'!$C:$C,0),MATCH('index match'!C$1,ECOMMERS_SALES[#Headers],0))</f>
        <v>05-01-2025</v>
      </c>
      <c r="D395" t="str">
        <f>INDEX('ECOMMERS SALES'!$A:$J,MATCH('index match'!$A395,'ECOMMERS SALES'!$C:$C,0),MATCH('index match'!D$1,ECOMMERS_SALES[#Headers],0))</f>
        <v>Other</v>
      </c>
      <c r="E395">
        <f>INDEX('ECOMMERS SALES'!$A:$J,MATCH('index match'!$A395,'ECOMMERS SALES'!$C:$C,0),MATCH('index match'!E$1,ECOMMERS_SALES[#Headers],0))</f>
        <v>2</v>
      </c>
      <c r="F395">
        <f>INDEX('ECOMMERS SALES'!$A:$J,MATCH('index match'!$A395,'ECOMMERS SALES'!$C:$C,0),MATCH('index match'!F$1,ECOMMERS_SALES[#Headers],0))</f>
        <v>10072</v>
      </c>
      <c r="G395">
        <f>INDEX('ECOMMERS SALES'!$A:$J,MATCH('index match'!$A395,'ECOMMERS SALES'!$C:$C,0),MATCH('index match'!G$1,ECOMMERS_SALES[#Headers],0))</f>
        <v>20144</v>
      </c>
      <c r="H395" t="str">
        <f>INDEX('ECOMMERS SALES'!$A:$J,MATCH('index match'!$A395,'ECOMMERS SALES'!$C:$C,0),MATCH('index match'!H$1,ECOMMERS_SALES[#Headers],0))</f>
        <v>Pune</v>
      </c>
      <c r="I395" t="str">
        <f>INDEX('ECOMMERS SALES'!$A:$J,MATCH('index match'!$A395,'ECOMMERS SALES'!$C:$C,0),MATCH('index match'!I$1,ECOMMERS_SALES[#Headers],0))</f>
        <v>Premimum</v>
      </c>
      <c r="J395" t="str">
        <f>INDEX('ECOMMERS SALES'!$A:$J,MATCH('index match'!$A395,'ECOMMERS SALES'!$C:$C,0),MATCH('index match'!J$1,ECOMMERS_SALES[#Headers],0))</f>
        <v>Card</v>
      </c>
    </row>
    <row r="396" spans="1:10" x14ac:dyDescent="0.35">
      <c r="A396" t="s">
        <v>29</v>
      </c>
      <c r="B396">
        <f>INDEX('ECOMMERS SALES'!$A:$J,MATCH('index match'!$A396,'ECOMMERS SALES'!$C:$C,0),MATCH('index match'!B$1,ECOMMERS_SALES[#Headers],0))</f>
        <v>1005</v>
      </c>
      <c r="C396" t="str">
        <f>INDEX('ECOMMERS SALES'!$A:$J,MATCH('index match'!$A396,'ECOMMERS SALES'!$C:$C,0),MATCH('index match'!C$1,ECOMMERS_SALES[#Headers],0))</f>
        <v>06-01-2025</v>
      </c>
      <c r="D396" t="str">
        <f>INDEX('ECOMMERS SALES'!$A:$J,MATCH('index match'!$A396,'ECOMMERS SALES'!$C:$C,0),MATCH('index match'!D$1,ECOMMERS_SALES[#Headers],0))</f>
        <v>Other</v>
      </c>
      <c r="E396">
        <f>INDEX('ECOMMERS SALES'!$A:$J,MATCH('index match'!$A396,'ECOMMERS SALES'!$C:$C,0),MATCH('index match'!E$1,ECOMMERS_SALES[#Headers],0))</f>
        <v>2</v>
      </c>
      <c r="F396">
        <f>INDEX('ECOMMERS SALES'!$A:$J,MATCH('index match'!$A396,'ECOMMERS SALES'!$C:$C,0),MATCH('index match'!F$1,ECOMMERS_SALES[#Headers],0))</f>
        <v>920</v>
      </c>
      <c r="G396">
        <f>INDEX('ECOMMERS SALES'!$A:$J,MATCH('index match'!$A396,'ECOMMERS SALES'!$C:$C,0),MATCH('index match'!G$1,ECOMMERS_SALES[#Headers],0))</f>
        <v>1840</v>
      </c>
      <c r="H396" t="str">
        <f>INDEX('ECOMMERS SALES'!$A:$J,MATCH('index match'!$A396,'ECOMMERS SALES'!$C:$C,0),MATCH('index match'!H$1,ECOMMERS_SALES[#Headers],0))</f>
        <v>Pune</v>
      </c>
      <c r="I396" t="str">
        <f>INDEX('ECOMMERS SALES'!$A:$J,MATCH('index match'!$A396,'ECOMMERS SALES'!$C:$C,0),MATCH('index match'!I$1,ECOMMERS_SALES[#Headers],0))</f>
        <v>New</v>
      </c>
      <c r="J396" t="str">
        <f>INDEX('ECOMMERS SALES'!$A:$J,MATCH('index match'!$A396,'ECOMMERS SALES'!$C:$C,0),MATCH('index match'!J$1,ECOMMERS_SALES[#Headers],0))</f>
        <v>UPI</v>
      </c>
    </row>
    <row r="397" spans="1:10" x14ac:dyDescent="0.35">
      <c r="A397" t="s">
        <v>31</v>
      </c>
      <c r="B397">
        <f>INDEX('ECOMMERS SALES'!$A:$J,MATCH('index match'!$A397,'ECOMMERS SALES'!$C:$C,0),MATCH('index match'!B$1,ECOMMERS_SALES[#Headers],0))</f>
        <v>1006</v>
      </c>
      <c r="C397" t="str">
        <f>INDEX('ECOMMERS SALES'!$A:$J,MATCH('index match'!$A397,'ECOMMERS SALES'!$C:$C,0),MATCH('index match'!C$1,ECOMMERS_SALES[#Headers],0))</f>
        <v>07-01-2025</v>
      </c>
      <c r="D397" t="str">
        <f>INDEX('ECOMMERS SALES'!$A:$J,MATCH('index match'!$A397,'ECOMMERS SALES'!$C:$C,0),MATCH('index match'!D$1,ECOMMERS_SALES[#Headers],0))</f>
        <v>Electronics</v>
      </c>
      <c r="E397">
        <f>INDEX('ECOMMERS SALES'!$A:$J,MATCH('index match'!$A397,'ECOMMERS SALES'!$C:$C,0),MATCH('index match'!E$1,ECOMMERS_SALES[#Headers],0))</f>
        <v>1</v>
      </c>
      <c r="F397">
        <f>INDEX('ECOMMERS SALES'!$A:$J,MATCH('index match'!$A397,'ECOMMERS SALES'!$C:$C,0),MATCH('index match'!F$1,ECOMMERS_SALES[#Headers],0))</f>
        <v>13225</v>
      </c>
      <c r="G397">
        <f>INDEX('ECOMMERS SALES'!$A:$J,MATCH('index match'!$A397,'ECOMMERS SALES'!$C:$C,0),MATCH('index match'!G$1,ECOMMERS_SALES[#Headers],0))</f>
        <v>13225</v>
      </c>
      <c r="H397" t="str">
        <f>INDEX('ECOMMERS SALES'!$A:$J,MATCH('index match'!$A397,'ECOMMERS SALES'!$C:$C,0),MATCH('index match'!H$1,ECOMMERS_SALES[#Headers],0))</f>
        <v>Delhi</v>
      </c>
      <c r="I397" t="str">
        <f>INDEX('ECOMMERS SALES'!$A:$J,MATCH('index match'!$A397,'ECOMMERS SALES'!$C:$C,0),MATCH('index match'!I$1,ECOMMERS_SALES[#Headers],0))</f>
        <v>Returning</v>
      </c>
      <c r="J397" t="str">
        <f>INDEX('ECOMMERS SALES'!$A:$J,MATCH('index match'!$A397,'ECOMMERS SALES'!$C:$C,0),MATCH('index match'!J$1,ECOMMERS_SALES[#Headers],0))</f>
        <v>COD</v>
      </c>
    </row>
    <row r="398" spans="1:10" x14ac:dyDescent="0.35">
      <c r="A398" t="s">
        <v>35</v>
      </c>
      <c r="B398">
        <f>INDEX('ECOMMERS SALES'!$A:$J,MATCH('index match'!$A398,'ECOMMERS SALES'!$C:$C,0),MATCH('index match'!B$1,ECOMMERS_SALES[#Headers],0))</f>
        <v>1007</v>
      </c>
      <c r="C398" t="str">
        <f>INDEX('ECOMMERS SALES'!$A:$J,MATCH('index match'!$A398,'ECOMMERS SALES'!$C:$C,0),MATCH('index match'!C$1,ECOMMERS_SALES[#Headers],0))</f>
        <v>08-01-2025</v>
      </c>
      <c r="D398" t="str">
        <f>INDEX('ECOMMERS SALES'!$A:$J,MATCH('index match'!$A398,'ECOMMERS SALES'!$C:$C,0),MATCH('index match'!D$1,ECOMMERS_SALES[#Headers],0))</f>
        <v>Books</v>
      </c>
      <c r="E398">
        <f>INDEX('ECOMMERS SALES'!$A:$J,MATCH('index match'!$A398,'ECOMMERS SALES'!$C:$C,0),MATCH('index match'!E$1,ECOMMERS_SALES[#Headers],0))</f>
        <v>3</v>
      </c>
      <c r="F398">
        <f>INDEX('ECOMMERS SALES'!$A:$J,MATCH('index match'!$A398,'ECOMMERS SALES'!$C:$C,0),MATCH('index match'!F$1,ECOMMERS_SALES[#Headers],0))</f>
        <v>621</v>
      </c>
      <c r="G398">
        <f>INDEX('ECOMMERS SALES'!$A:$J,MATCH('index match'!$A398,'ECOMMERS SALES'!$C:$C,0),MATCH('index match'!G$1,ECOMMERS_SALES[#Headers],0))</f>
        <v>1863</v>
      </c>
      <c r="H398" t="str">
        <f>INDEX('ECOMMERS SALES'!$A:$J,MATCH('index match'!$A398,'ECOMMERS SALES'!$C:$C,0),MATCH('index match'!H$1,ECOMMERS_SALES[#Headers],0))</f>
        <v>Hyderabad</v>
      </c>
      <c r="I398" t="str">
        <f>INDEX('ECOMMERS SALES'!$A:$J,MATCH('index match'!$A398,'ECOMMERS SALES'!$C:$C,0),MATCH('index match'!I$1,ECOMMERS_SALES[#Headers],0))</f>
        <v>Premimum</v>
      </c>
      <c r="J398" t="str">
        <f>INDEX('ECOMMERS SALES'!$A:$J,MATCH('index match'!$A398,'ECOMMERS SALES'!$C:$C,0),MATCH('index match'!J$1,ECOMMERS_SALES[#Headers],0))</f>
        <v>UPI</v>
      </c>
    </row>
    <row r="399" spans="1:10" x14ac:dyDescent="0.35">
      <c r="A399" t="s">
        <v>39</v>
      </c>
      <c r="B399">
        <f>INDEX('ECOMMERS SALES'!$A:$J,MATCH('index match'!$A399,'ECOMMERS SALES'!$C:$C,0),MATCH('index match'!B$1,ECOMMERS_SALES[#Headers],0))</f>
        <v>1008</v>
      </c>
      <c r="C399" t="str">
        <f>INDEX('ECOMMERS SALES'!$A:$J,MATCH('index match'!$A399,'ECOMMERS SALES'!$C:$C,0),MATCH('index match'!C$1,ECOMMERS_SALES[#Headers],0))</f>
        <v>09-01-2025</v>
      </c>
      <c r="D399" t="str">
        <f>INDEX('ECOMMERS SALES'!$A:$J,MATCH('index match'!$A399,'ECOMMERS SALES'!$C:$C,0),MATCH('index match'!D$1,ECOMMERS_SALES[#Headers],0))</f>
        <v>Fashion</v>
      </c>
      <c r="E399">
        <f>INDEX('ECOMMERS SALES'!$A:$J,MATCH('index match'!$A399,'ECOMMERS SALES'!$C:$C,0),MATCH('index match'!E$1,ECOMMERS_SALES[#Headers],0))</f>
        <v>2</v>
      </c>
      <c r="F399">
        <f>INDEX('ECOMMERS SALES'!$A:$J,MATCH('index match'!$A399,'ECOMMERS SALES'!$C:$C,0),MATCH('index match'!F$1,ECOMMERS_SALES[#Headers],0))</f>
        <v>905</v>
      </c>
      <c r="G399">
        <f>INDEX('ECOMMERS SALES'!$A:$J,MATCH('index match'!$A399,'ECOMMERS SALES'!$C:$C,0),MATCH('index match'!G$1,ECOMMERS_SALES[#Headers],0))</f>
        <v>1810</v>
      </c>
      <c r="H399" t="str">
        <f>INDEX('ECOMMERS SALES'!$A:$J,MATCH('index match'!$A399,'ECOMMERS SALES'!$C:$C,0),MATCH('index match'!H$1,ECOMMERS_SALES[#Headers],0))</f>
        <v>Bangalore</v>
      </c>
      <c r="I399" t="str">
        <f>INDEX('ECOMMERS SALES'!$A:$J,MATCH('index match'!$A399,'ECOMMERS SALES'!$C:$C,0),MATCH('index match'!I$1,ECOMMERS_SALES[#Headers],0))</f>
        <v>New</v>
      </c>
      <c r="J399" t="str">
        <f>INDEX('ECOMMERS SALES'!$A:$J,MATCH('index match'!$A399,'ECOMMERS SALES'!$C:$C,0),MATCH('index match'!J$1,ECOMMERS_SALES[#Headers],0))</f>
        <v>COD</v>
      </c>
    </row>
    <row r="400" spans="1:10" x14ac:dyDescent="0.35">
      <c r="A400" t="s">
        <v>42</v>
      </c>
      <c r="B400">
        <f>INDEX('ECOMMERS SALES'!$A:$J,MATCH('index match'!$A400,'ECOMMERS SALES'!$C:$C,0),MATCH('index match'!B$1,ECOMMERS_SALES[#Headers],0))</f>
        <v>1009</v>
      </c>
      <c r="C400" t="str">
        <f>INDEX('ECOMMERS SALES'!$A:$J,MATCH('index match'!$A400,'ECOMMERS SALES'!$C:$C,0),MATCH('index match'!C$1,ECOMMERS_SALES[#Headers],0))</f>
        <v>10-01-2025</v>
      </c>
      <c r="D400" t="str">
        <f>INDEX('ECOMMERS SALES'!$A:$J,MATCH('index match'!$A400,'ECOMMERS SALES'!$C:$C,0),MATCH('index match'!D$1,ECOMMERS_SALES[#Headers],0))</f>
        <v>Electronics</v>
      </c>
      <c r="E400">
        <f>INDEX('ECOMMERS SALES'!$A:$J,MATCH('index match'!$A400,'ECOMMERS SALES'!$C:$C,0),MATCH('index match'!E$1,ECOMMERS_SALES[#Headers],0))</f>
        <v>1</v>
      </c>
      <c r="F400">
        <f>INDEX('ECOMMERS SALES'!$A:$J,MATCH('index match'!$A400,'ECOMMERS SALES'!$C:$C,0),MATCH('index match'!F$1,ECOMMERS_SALES[#Headers],0))</f>
        <v>8563</v>
      </c>
      <c r="G400">
        <f>INDEX('ECOMMERS SALES'!$A:$J,MATCH('index match'!$A400,'ECOMMERS SALES'!$C:$C,0),MATCH('index match'!G$1,ECOMMERS_SALES[#Headers],0))</f>
        <v>8563</v>
      </c>
      <c r="H400" t="str">
        <f>INDEX('ECOMMERS SALES'!$A:$J,MATCH('index match'!$A400,'ECOMMERS SALES'!$C:$C,0),MATCH('index match'!H$1,ECOMMERS_SALES[#Headers],0))</f>
        <v>Hyderabad</v>
      </c>
      <c r="I400" t="str">
        <f>INDEX('ECOMMERS SALES'!$A:$J,MATCH('index match'!$A400,'ECOMMERS SALES'!$C:$C,0),MATCH('index match'!I$1,ECOMMERS_SALES[#Headers],0))</f>
        <v>Returning</v>
      </c>
      <c r="J400" t="str">
        <f>INDEX('ECOMMERS SALES'!$A:$J,MATCH('index match'!$A400,'ECOMMERS SALES'!$C:$C,0),MATCH('index match'!J$1,ECOMMERS_SALES[#Headers],0))</f>
        <v>Card</v>
      </c>
    </row>
    <row r="401" spans="1:10" x14ac:dyDescent="0.35">
      <c r="A401" t="s">
        <v>44</v>
      </c>
      <c r="B401">
        <f>INDEX('ECOMMERS SALES'!$A:$J,MATCH('index match'!$A401,'ECOMMERS SALES'!$C:$C,0),MATCH('index match'!B$1,ECOMMERS_SALES[#Headers],0))</f>
        <v>1010</v>
      </c>
      <c r="C401" t="str">
        <f>INDEX('ECOMMERS SALES'!$A:$J,MATCH('index match'!$A401,'ECOMMERS SALES'!$C:$C,0),MATCH('index match'!C$1,ECOMMERS_SALES[#Headers],0))</f>
        <v>11-01-2025</v>
      </c>
      <c r="D401" t="str">
        <f>INDEX('ECOMMERS SALES'!$A:$J,MATCH('index match'!$A401,'ECOMMERS SALES'!$C:$C,0),MATCH('index match'!D$1,ECOMMERS_SALES[#Headers],0))</f>
        <v>Other</v>
      </c>
      <c r="E401">
        <f>INDEX('ECOMMERS SALES'!$A:$J,MATCH('index match'!$A401,'ECOMMERS SALES'!$C:$C,0),MATCH('index match'!E$1,ECOMMERS_SALES[#Headers],0))</f>
        <v>1</v>
      </c>
      <c r="F401">
        <f>INDEX('ECOMMERS SALES'!$A:$J,MATCH('index match'!$A401,'ECOMMERS SALES'!$C:$C,0),MATCH('index match'!F$1,ECOMMERS_SALES[#Headers],0))</f>
        <v>268</v>
      </c>
      <c r="G401">
        <f>INDEX('ECOMMERS SALES'!$A:$J,MATCH('index match'!$A401,'ECOMMERS SALES'!$C:$C,0),MATCH('index match'!G$1,ECOMMERS_SALES[#Headers],0))</f>
        <v>268</v>
      </c>
      <c r="H401" t="str">
        <f>INDEX('ECOMMERS SALES'!$A:$J,MATCH('index match'!$A401,'ECOMMERS SALES'!$C:$C,0),MATCH('index match'!H$1,ECOMMERS_SALES[#Headers],0))</f>
        <v>Chennai</v>
      </c>
      <c r="I401" t="str">
        <f>INDEX('ECOMMERS SALES'!$A:$J,MATCH('index match'!$A401,'ECOMMERS SALES'!$C:$C,0),MATCH('index match'!I$1,ECOMMERS_SALES[#Headers],0))</f>
        <v>New</v>
      </c>
      <c r="J401" t="str">
        <f>INDEX('ECOMMERS SALES'!$A:$J,MATCH('index match'!$A401,'ECOMMERS SALES'!$C:$C,0),MATCH('index match'!J$1,ECOMMERS_SALES[#Headers],0))</f>
        <v>UPI</v>
      </c>
    </row>
    <row r="402" spans="1:10" x14ac:dyDescent="0.35">
      <c r="A402" t="s">
        <v>11</v>
      </c>
      <c r="B402">
        <f>INDEX('ECOMMERS SALES'!$A:$J,MATCH('index match'!$A402,'ECOMMERS SALES'!$C:$C,0),MATCH('index match'!B$1,ECOMMERS_SALES[#Headers],0))</f>
        <v>1001</v>
      </c>
      <c r="C402" t="str">
        <f>INDEX('ECOMMERS SALES'!$A:$J,MATCH('index match'!$A402,'ECOMMERS SALES'!$C:$C,0),MATCH('index match'!C$1,ECOMMERS_SALES[#Headers],0))</f>
        <v>02-01-2025</v>
      </c>
      <c r="D402" t="str">
        <f>INDEX('ECOMMERS SALES'!$A:$J,MATCH('index match'!$A402,'ECOMMERS SALES'!$C:$C,0),MATCH('index match'!D$1,ECOMMERS_SALES[#Headers],0))</f>
        <v>Electronics</v>
      </c>
      <c r="E402">
        <f>INDEX('ECOMMERS SALES'!$A:$J,MATCH('index match'!$A402,'ECOMMERS SALES'!$C:$C,0),MATCH('index match'!E$1,ECOMMERS_SALES[#Headers],0))</f>
        <v>2</v>
      </c>
      <c r="F402">
        <f>INDEX('ECOMMERS SALES'!$A:$J,MATCH('index match'!$A402,'ECOMMERS SALES'!$C:$C,0),MATCH('index match'!F$1,ECOMMERS_SALES[#Headers],0))</f>
        <v>50353</v>
      </c>
      <c r="G402">
        <f>INDEX('ECOMMERS SALES'!$A:$J,MATCH('index match'!$A402,'ECOMMERS SALES'!$C:$C,0),MATCH('index match'!G$1,ECOMMERS_SALES[#Headers],0))</f>
        <v>100706</v>
      </c>
      <c r="H402" t="str">
        <f>INDEX('ECOMMERS SALES'!$A:$J,MATCH('index match'!$A402,'ECOMMERS SALES'!$C:$C,0),MATCH('index match'!H$1,ECOMMERS_SALES[#Headers],0))</f>
        <v>Chennai</v>
      </c>
      <c r="I402" t="str">
        <f>INDEX('ECOMMERS SALES'!$A:$J,MATCH('index match'!$A402,'ECOMMERS SALES'!$C:$C,0),MATCH('index match'!I$1,ECOMMERS_SALES[#Headers],0))</f>
        <v>Premimum</v>
      </c>
      <c r="J402" t="str">
        <f>INDEX('ECOMMERS SALES'!$A:$J,MATCH('index match'!$A402,'ECOMMERS SALES'!$C:$C,0),MATCH('index match'!J$1,ECOMMERS_SALES[#Headers],0))</f>
        <v>Card</v>
      </c>
    </row>
    <row r="403" spans="1:10" x14ac:dyDescent="0.35">
      <c r="A403" t="s">
        <v>17</v>
      </c>
      <c r="B403">
        <f>INDEX('ECOMMERS SALES'!$A:$J,MATCH('index match'!$A403,'ECOMMERS SALES'!$C:$C,0),MATCH('index match'!B$1,ECOMMERS_SALES[#Headers],0))</f>
        <v>1002</v>
      </c>
      <c r="C403" t="str">
        <f>INDEX('ECOMMERS SALES'!$A:$J,MATCH('index match'!$A403,'ECOMMERS SALES'!$C:$C,0),MATCH('index match'!C$1,ECOMMERS_SALES[#Headers],0))</f>
        <v>03-01-2025</v>
      </c>
      <c r="D403" t="str">
        <f>INDEX('ECOMMERS SALES'!$A:$J,MATCH('index match'!$A403,'ECOMMERS SALES'!$C:$C,0),MATCH('index match'!D$1,ECOMMERS_SALES[#Headers],0))</f>
        <v>Electronics</v>
      </c>
      <c r="E403">
        <f>INDEX('ECOMMERS SALES'!$A:$J,MATCH('index match'!$A403,'ECOMMERS SALES'!$C:$C,0),MATCH('index match'!E$1,ECOMMERS_SALES[#Headers],0))</f>
        <v>2</v>
      </c>
      <c r="F403">
        <f>INDEX('ECOMMERS SALES'!$A:$J,MATCH('index match'!$A403,'ECOMMERS SALES'!$C:$C,0),MATCH('index match'!F$1,ECOMMERS_SALES[#Headers],0))</f>
        <v>2008</v>
      </c>
      <c r="G403">
        <f>INDEX('ECOMMERS SALES'!$A:$J,MATCH('index match'!$A403,'ECOMMERS SALES'!$C:$C,0),MATCH('index match'!G$1,ECOMMERS_SALES[#Headers],0))</f>
        <v>4016</v>
      </c>
      <c r="H403" t="str">
        <f>INDEX('ECOMMERS SALES'!$A:$J,MATCH('index match'!$A403,'ECOMMERS SALES'!$C:$C,0),MATCH('index match'!H$1,ECOMMERS_SALES[#Headers],0))</f>
        <v>Delhi</v>
      </c>
      <c r="I403" t="str">
        <f>INDEX('ECOMMERS SALES'!$A:$J,MATCH('index match'!$A403,'ECOMMERS SALES'!$C:$C,0),MATCH('index match'!I$1,ECOMMERS_SALES[#Headers],0))</f>
        <v>New</v>
      </c>
      <c r="J403" t="str">
        <f>INDEX('ECOMMERS SALES'!$A:$J,MATCH('index match'!$A403,'ECOMMERS SALES'!$C:$C,0),MATCH('index match'!J$1,ECOMMERS_SALES[#Headers],0))</f>
        <v>UPI</v>
      </c>
    </row>
    <row r="404" spans="1:10" x14ac:dyDescent="0.35">
      <c r="A404" t="s">
        <v>22</v>
      </c>
      <c r="B404">
        <f>INDEX('ECOMMERS SALES'!$A:$J,MATCH('index match'!$A404,'ECOMMERS SALES'!$C:$C,0),MATCH('index match'!B$1,ECOMMERS_SALES[#Headers],0))</f>
        <v>1003</v>
      </c>
      <c r="C404" t="str">
        <f>INDEX('ECOMMERS SALES'!$A:$J,MATCH('index match'!$A404,'ECOMMERS SALES'!$C:$C,0),MATCH('index match'!C$1,ECOMMERS_SALES[#Headers],0))</f>
        <v>04-01-2025</v>
      </c>
      <c r="D404" t="str">
        <f>INDEX('ECOMMERS SALES'!$A:$J,MATCH('index match'!$A404,'ECOMMERS SALES'!$C:$C,0),MATCH('index match'!D$1,ECOMMERS_SALES[#Headers],0))</f>
        <v>Fashion</v>
      </c>
      <c r="E404">
        <f>INDEX('ECOMMERS SALES'!$A:$J,MATCH('index match'!$A404,'ECOMMERS SALES'!$C:$C,0),MATCH('index match'!E$1,ECOMMERS_SALES[#Headers],0))</f>
        <v>1</v>
      </c>
      <c r="F404">
        <f>INDEX('ECOMMERS SALES'!$A:$J,MATCH('index match'!$A404,'ECOMMERS SALES'!$C:$C,0),MATCH('index match'!F$1,ECOMMERS_SALES[#Headers],0))</f>
        <v>4736</v>
      </c>
      <c r="G404">
        <f>INDEX('ECOMMERS SALES'!$A:$J,MATCH('index match'!$A404,'ECOMMERS SALES'!$C:$C,0),MATCH('index match'!G$1,ECOMMERS_SALES[#Headers],0))</f>
        <v>4736</v>
      </c>
      <c r="H404" t="str">
        <f>INDEX('ECOMMERS SALES'!$A:$J,MATCH('index match'!$A404,'ECOMMERS SALES'!$C:$C,0),MATCH('index match'!H$1,ECOMMERS_SALES[#Headers],0))</f>
        <v>Chennai</v>
      </c>
      <c r="I404" t="str">
        <f>INDEX('ECOMMERS SALES'!$A:$J,MATCH('index match'!$A404,'ECOMMERS SALES'!$C:$C,0),MATCH('index match'!I$1,ECOMMERS_SALES[#Headers],0))</f>
        <v>New</v>
      </c>
      <c r="J404" t="str">
        <f>INDEX('ECOMMERS SALES'!$A:$J,MATCH('index match'!$A404,'ECOMMERS SALES'!$C:$C,0),MATCH('index match'!J$1,ECOMMERS_SALES[#Headers],0))</f>
        <v>UPI</v>
      </c>
    </row>
    <row r="405" spans="1:10" x14ac:dyDescent="0.35">
      <c r="A405" t="s">
        <v>25</v>
      </c>
      <c r="B405">
        <f>INDEX('ECOMMERS SALES'!$A:$J,MATCH('index match'!$A405,'ECOMMERS SALES'!$C:$C,0),MATCH('index match'!B$1,ECOMMERS_SALES[#Headers],0))</f>
        <v>1004</v>
      </c>
      <c r="C405" t="str">
        <f>INDEX('ECOMMERS SALES'!$A:$J,MATCH('index match'!$A405,'ECOMMERS SALES'!$C:$C,0),MATCH('index match'!C$1,ECOMMERS_SALES[#Headers],0))</f>
        <v>05-01-2025</v>
      </c>
      <c r="D405" t="str">
        <f>INDEX('ECOMMERS SALES'!$A:$J,MATCH('index match'!$A405,'ECOMMERS SALES'!$C:$C,0),MATCH('index match'!D$1,ECOMMERS_SALES[#Headers],0))</f>
        <v>Other</v>
      </c>
      <c r="E405">
        <f>INDEX('ECOMMERS SALES'!$A:$J,MATCH('index match'!$A405,'ECOMMERS SALES'!$C:$C,0),MATCH('index match'!E$1,ECOMMERS_SALES[#Headers],0))</f>
        <v>2</v>
      </c>
      <c r="F405">
        <f>INDEX('ECOMMERS SALES'!$A:$J,MATCH('index match'!$A405,'ECOMMERS SALES'!$C:$C,0),MATCH('index match'!F$1,ECOMMERS_SALES[#Headers],0))</f>
        <v>10072</v>
      </c>
      <c r="G405">
        <f>INDEX('ECOMMERS SALES'!$A:$J,MATCH('index match'!$A405,'ECOMMERS SALES'!$C:$C,0),MATCH('index match'!G$1,ECOMMERS_SALES[#Headers],0))</f>
        <v>20144</v>
      </c>
      <c r="H405" t="str">
        <f>INDEX('ECOMMERS SALES'!$A:$J,MATCH('index match'!$A405,'ECOMMERS SALES'!$C:$C,0),MATCH('index match'!H$1,ECOMMERS_SALES[#Headers],0))</f>
        <v>Pune</v>
      </c>
      <c r="I405" t="str">
        <f>INDEX('ECOMMERS SALES'!$A:$J,MATCH('index match'!$A405,'ECOMMERS SALES'!$C:$C,0),MATCH('index match'!I$1,ECOMMERS_SALES[#Headers],0))</f>
        <v>Premimum</v>
      </c>
      <c r="J405" t="str">
        <f>INDEX('ECOMMERS SALES'!$A:$J,MATCH('index match'!$A405,'ECOMMERS SALES'!$C:$C,0),MATCH('index match'!J$1,ECOMMERS_SALES[#Headers],0))</f>
        <v>Card</v>
      </c>
    </row>
    <row r="406" spans="1:10" x14ac:dyDescent="0.35">
      <c r="A406" t="s">
        <v>29</v>
      </c>
      <c r="B406">
        <f>INDEX('ECOMMERS SALES'!$A:$J,MATCH('index match'!$A406,'ECOMMERS SALES'!$C:$C,0),MATCH('index match'!B$1,ECOMMERS_SALES[#Headers],0))</f>
        <v>1005</v>
      </c>
      <c r="C406" t="str">
        <f>INDEX('ECOMMERS SALES'!$A:$J,MATCH('index match'!$A406,'ECOMMERS SALES'!$C:$C,0),MATCH('index match'!C$1,ECOMMERS_SALES[#Headers],0))</f>
        <v>06-01-2025</v>
      </c>
      <c r="D406" t="str">
        <f>INDEX('ECOMMERS SALES'!$A:$J,MATCH('index match'!$A406,'ECOMMERS SALES'!$C:$C,0),MATCH('index match'!D$1,ECOMMERS_SALES[#Headers],0))</f>
        <v>Other</v>
      </c>
      <c r="E406">
        <f>INDEX('ECOMMERS SALES'!$A:$J,MATCH('index match'!$A406,'ECOMMERS SALES'!$C:$C,0),MATCH('index match'!E$1,ECOMMERS_SALES[#Headers],0))</f>
        <v>2</v>
      </c>
      <c r="F406">
        <f>INDEX('ECOMMERS SALES'!$A:$J,MATCH('index match'!$A406,'ECOMMERS SALES'!$C:$C,0),MATCH('index match'!F$1,ECOMMERS_SALES[#Headers],0))</f>
        <v>920</v>
      </c>
      <c r="G406">
        <f>INDEX('ECOMMERS SALES'!$A:$J,MATCH('index match'!$A406,'ECOMMERS SALES'!$C:$C,0),MATCH('index match'!G$1,ECOMMERS_SALES[#Headers],0))</f>
        <v>1840</v>
      </c>
      <c r="H406" t="str">
        <f>INDEX('ECOMMERS SALES'!$A:$J,MATCH('index match'!$A406,'ECOMMERS SALES'!$C:$C,0),MATCH('index match'!H$1,ECOMMERS_SALES[#Headers],0))</f>
        <v>Pune</v>
      </c>
      <c r="I406" t="str">
        <f>INDEX('ECOMMERS SALES'!$A:$J,MATCH('index match'!$A406,'ECOMMERS SALES'!$C:$C,0),MATCH('index match'!I$1,ECOMMERS_SALES[#Headers],0))</f>
        <v>New</v>
      </c>
      <c r="J406" t="str">
        <f>INDEX('ECOMMERS SALES'!$A:$J,MATCH('index match'!$A406,'ECOMMERS SALES'!$C:$C,0),MATCH('index match'!J$1,ECOMMERS_SALES[#Headers],0))</f>
        <v>UPI</v>
      </c>
    </row>
    <row r="407" spans="1:10" x14ac:dyDescent="0.35">
      <c r="A407" t="s">
        <v>31</v>
      </c>
      <c r="B407">
        <f>INDEX('ECOMMERS SALES'!$A:$J,MATCH('index match'!$A407,'ECOMMERS SALES'!$C:$C,0),MATCH('index match'!B$1,ECOMMERS_SALES[#Headers],0))</f>
        <v>1006</v>
      </c>
      <c r="C407" t="str">
        <f>INDEX('ECOMMERS SALES'!$A:$J,MATCH('index match'!$A407,'ECOMMERS SALES'!$C:$C,0),MATCH('index match'!C$1,ECOMMERS_SALES[#Headers],0))</f>
        <v>07-01-2025</v>
      </c>
      <c r="D407" t="str">
        <f>INDEX('ECOMMERS SALES'!$A:$J,MATCH('index match'!$A407,'ECOMMERS SALES'!$C:$C,0),MATCH('index match'!D$1,ECOMMERS_SALES[#Headers],0))</f>
        <v>Electronics</v>
      </c>
      <c r="E407">
        <f>INDEX('ECOMMERS SALES'!$A:$J,MATCH('index match'!$A407,'ECOMMERS SALES'!$C:$C,0),MATCH('index match'!E$1,ECOMMERS_SALES[#Headers],0))</f>
        <v>1</v>
      </c>
      <c r="F407">
        <f>INDEX('ECOMMERS SALES'!$A:$J,MATCH('index match'!$A407,'ECOMMERS SALES'!$C:$C,0),MATCH('index match'!F$1,ECOMMERS_SALES[#Headers],0))</f>
        <v>13225</v>
      </c>
      <c r="G407">
        <f>INDEX('ECOMMERS SALES'!$A:$J,MATCH('index match'!$A407,'ECOMMERS SALES'!$C:$C,0),MATCH('index match'!G$1,ECOMMERS_SALES[#Headers],0))</f>
        <v>13225</v>
      </c>
      <c r="H407" t="str">
        <f>INDEX('ECOMMERS SALES'!$A:$J,MATCH('index match'!$A407,'ECOMMERS SALES'!$C:$C,0),MATCH('index match'!H$1,ECOMMERS_SALES[#Headers],0))</f>
        <v>Delhi</v>
      </c>
      <c r="I407" t="str">
        <f>INDEX('ECOMMERS SALES'!$A:$J,MATCH('index match'!$A407,'ECOMMERS SALES'!$C:$C,0),MATCH('index match'!I$1,ECOMMERS_SALES[#Headers],0))</f>
        <v>Returning</v>
      </c>
      <c r="J407" t="str">
        <f>INDEX('ECOMMERS SALES'!$A:$J,MATCH('index match'!$A407,'ECOMMERS SALES'!$C:$C,0),MATCH('index match'!J$1,ECOMMERS_SALES[#Headers],0))</f>
        <v>COD</v>
      </c>
    </row>
    <row r="408" spans="1:10" x14ac:dyDescent="0.35">
      <c r="A408" t="s">
        <v>35</v>
      </c>
      <c r="B408">
        <f>INDEX('ECOMMERS SALES'!$A:$J,MATCH('index match'!$A408,'ECOMMERS SALES'!$C:$C,0),MATCH('index match'!B$1,ECOMMERS_SALES[#Headers],0))</f>
        <v>1007</v>
      </c>
      <c r="C408" t="str">
        <f>INDEX('ECOMMERS SALES'!$A:$J,MATCH('index match'!$A408,'ECOMMERS SALES'!$C:$C,0),MATCH('index match'!C$1,ECOMMERS_SALES[#Headers],0))</f>
        <v>08-01-2025</v>
      </c>
      <c r="D408" t="str">
        <f>INDEX('ECOMMERS SALES'!$A:$J,MATCH('index match'!$A408,'ECOMMERS SALES'!$C:$C,0),MATCH('index match'!D$1,ECOMMERS_SALES[#Headers],0))</f>
        <v>Books</v>
      </c>
      <c r="E408">
        <f>INDEX('ECOMMERS SALES'!$A:$J,MATCH('index match'!$A408,'ECOMMERS SALES'!$C:$C,0),MATCH('index match'!E$1,ECOMMERS_SALES[#Headers],0))</f>
        <v>3</v>
      </c>
      <c r="F408">
        <f>INDEX('ECOMMERS SALES'!$A:$J,MATCH('index match'!$A408,'ECOMMERS SALES'!$C:$C,0),MATCH('index match'!F$1,ECOMMERS_SALES[#Headers],0))</f>
        <v>621</v>
      </c>
      <c r="G408">
        <f>INDEX('ECOMMERS SALES'!$A:$J,MATCH('index match'!$A408,'ECOMMERS SALES'!$C:$C,0),MATCH('index match'!G$1,ECOMMERS_SALES[#Headers],0))</f>
        <v>1863</v>
      </c>
      <c r="H408" t="str">
        <f>INDEX('ECOMMERS SALES'!$A:$J,MATCH('index match'!$A408,'ECOMMERS SALES'!$C:$C,0),MATCH('index match'!H$1,ECOMMERS_SALES[#Headers],0))</f>
        <v>Hyderabad</v>
      </c>
      <c r="I408" t="str">
        <f>INDEX('ECOMMERS SALES'!$A:$J,MATCH('index match'!$A408,'ECOMMERS SALES'!$C:$C,0),MATCH('index match'!I$1,ECOMMERS_SALES[#Headers],0))</f>
        <v>Premimum</v>
      </c>
      <c r="J408" t="str">
        <f>INDEX('ECOMMERS SALES'!$A:$J,MATCH('index match'!$A408,'ECOMMERS SALES'!$C:$C,0),MATCH('index match'!J$1,ECOMMERS_SALES[#Headers],0))</f>
        <v>UPI</v>
      </c>
    </row>
    <row r="409" spans="1:10" x14ac:dyDescent="0.35">
      <c r="A409" t="s">
        <v>39</v>
      </c>
      <c r="B409">
        <f>INDEX('ECOMMERS SALES'!$A:$J,MATCH('index match'!$A409,'ECOMMERS SALES'!$C:$C,0),MATCH('index match'!B$1,ECOMMERS_SALES[#Headers],0))</f>
        <v>1008</v>
      </c>
      <c r="C409" t="str">
        <f>INDEX('ECOMMERS SALES'!$A:$J,MATCH('index match'!$A409,'ECOMMERS SALES'!$C:$C,0),MATCH('index match'!C$1,ECOMMERS_SALES[#Headers],0))</f>
        <v>09-01-2025</v>
      </c>
      <c r="D409" t="str">
        <f>INDEX('ECOMMERS SALES'!$A:$J,MATCH('index match'!$A409,'ECOMMERS SALES'!$C:$C,0),MATCH('index match'!D$1,ECOMMERS_SALES[#Headers],0))</f>
        <v>Fashion</v>
      </c>
      <c r="E409">
        <f>INDEX('ECOMMERS SALES'!$A:$J,MATCH('index match'!$A409,'ECOMMERS SALES'!$C:$C,0),MATCH('index match'!E$1,ECOMMERS_SALES[#Headers],0))</f>
        <v>2</v>
      </c>
      <c r="F409">
        <f>INDEX('ECOMMERS SALES'!$A:$J,MATCH('index match'!$A409,'ECOMMERS SALES'!$C:$C,0),MATCH('index match'!F$1,ECOMMERS_SALES[#Headers],0))</f>
        <v>905</v>
      </c>
      <c r="G409">
        <f>INDEX('ECOMMERS SALES'!$A:$J,MATCH('index match'!$A409,'ECOMMERS SALES'!$C:$C,0),MATCH('index match'!G$1,ECOMMERS_SALES[#Headers],0))</f>
        <v>1810</v>
      </c>
      <c r="H409" t="str">
        <f>INDEX('ECOMMERS SALES'!$A:$J,MATCH('index match'!$A409,'ECOMMERS SALES'!$C:$C,0),MATCH('index match'!H$1,ECOMMERS_SALES[#Headers],0))</f>
        <v>Bangalore</v>
      </c>
      <c r="I409" t="str">
        <f>INDEX('ECOMMERS SALES'!$A:$J,MATCH('index match'!$A409,'ECOMMERS SALES'!$C:$C,0),MATCH('index match'!I$1,ECOMMERS_SALES[#Headers],0))</f>
        <v>New</v>
      </c>
      <c r="J409" t="str">
        <f>INDEX('ECOMMERS SALES'!$A:$J,MATCH('index match'!$A409,'ECOMMERS SALES'!$C:$C,0),MATCH('index match'!J$1,ECOMMERS_SALES[#Headers],0))</f>
        <v>COD</v>
      </c>
    </row>
    <row r="410" spans="1:10" x14ac:dyDescent="0.35">
      <c r="A410" t="s">
        <v>42</v>
      </c>
      <c r="B410">
        <f>INDEX('ECOMMERS SALES'!$A:$J,MATCH('index match'!$A410,'ECOMMERS SALES'!$C:$C,0),MATCH('index match'!B$1,ECOMMERS_SALES[#Headers],0))</f>
        <v>1009</v>
      </c>
      <c r="C410" t="str">
        <f>INDEX('ECOMMERS SALES'!$A:$J,MATCH('index match'!$A410,'ECOMMERS SALES'!$C:$C,0),MATCH('index match'!C$1,ECOMMERS_SALES[#Headers],0))</f>
        <v>10-01-2025</v>
      </c>
      <c r="D410" t="str">
        <f>INDEX('ECOMMERS SALES'!$A:$J,MATCH('index match'!$A410,'ECOMMERS SALES'!$C:$C,0),MATCH('index match'!D$1,ECOMMERS_SALES[#Headers],0))</f>
        <v>Electronics</v>
      </c>
      <c r="E410">
        <f>INDEX('ECOMMERS SALES'!$A:$J,MATCH('index match'!$A410,'ECOMMERS SALES'!$C:$C,0),MATCH('index match'!E$1,ECOMMERS_SALES[#Headers],0))</f>
        <v>1</v>
      </c>
      <c r="F410">
        <f>INDEX('ECOMMERS SALES'!$A:$J,MATCH('index match'!$A410,'ECOMMERS SALES'!$C:$C,0),MATCH('index match'!F$1,ECOMMERS_SALES[#Headers],0))</f>
        <v>8563</v>
      </c>
      <c r="G410">
        <f>INDEX('ECOMMERS SALES'!$A:$J,MATCH('index match'!$A410,'ECOMMERS SALES'!$C:$C,0),MATCH('index match'!G$1,ECOMMERS_SALES[#Headers],0))</f>
        <v>8563</v>
      </c>
      <c r="H410" t="str">
        <f>INDEX('ECOMMERS SALES'!$A:$J,MATCH('index match'!$A410,'ECOMMERS SALES'!$C:$C,0),MATCH('index match'!H$1,ECOMMERS_SALES[#Headers],0))</f>
        <v>Hyderabad</v>
      </c>
      <c r="I410" t="str">
        <f>INDEX('ECOMMERS SALES'!$A:$J,MATCH('index match'!$A410,'ECOMMERS SALES'!$C:$C,0),MATCH('index match'!I$1,ECOMMERS_SALES[#Headers],0))</f>
        <v>Returning</v>
      </c>
      <c r="J410" t="str">
        <f>INDEX('ECOMMERS SALES'!$A:$J,MATCH('index match'!$A410,'ECOMMERS SALES'!$C:$C,0),MATCH('index match'!J$1,ECOMMERS_SALES[#Headers],0))</f>
        <v>Card</v>
      </c>
    </row>
    <row r="411" spans="1:10" x14ac:dyDescent="0.35">
      <c r="A411" t="s">
        <v>44</v>
      </c>
      <c r="B411">
        <f>INDEX('ECOMMERS SALES'!$A:$J,MATCH('index match'!$A411,'ECOMMERS SALES'!$C:$C,0),MATCH('index match'!B$1,ECOMMERS_SALES[#Headers],0))</f>
        <v>1010</v>
      </c>
      <c r="C411" t="str">
        <f>INDEX('ECOMMERS SALES'!$A:$J,MATCH('index match'!$A411,'ECOMMERS SALES'!$C:$C,0),MATCH('index match'!C$1,ECOMMERS_SALES[#Headers],0))</f>
        <v>11-01-2025</v>
      </c>
      <c r="D411" t="str">
        <f>INDEX('ECOMMERS SALES'!$A:$J,MATCH('index match'!$A411,'ECOMMERS SALES'!$C:$C,0),MATCH('index match'!D$1,ECOMMERS_SALES[#Headers],0))</f>
        <v>Other</v>
      </c>
      <c r="E411">
        <f>INDEX('ECOMMERS SALES'!$A:$J,MATCH('index match'!$A411,'ECOMMERS SALES'!$C:$C,0),MATCH('index match'!E$1,ECOMMERS_SALES[#Headers],0))</f>
        <v>1</v>
      </c>
      <c r="F411">
        <f>INDEX('ECOMMERS SALES'!$A:$J,MATCH('index match'!$A411,'ECOMMERS SALES'!$C:$C,0),MATCH('index match'!F$1,ECOMMERS_SALES[#Headers],0))</f>
        <v>268</v>
      </c>
      <c r="G411">
        <f>INDEX('ECOMMERS SALES'!$A:$J,MATCH('index match'!$A411,'ECOMMERS SALES'!$C:$C,0),MATCH('index match'!G$1,ECOMMERS_SALES[#Headers],0))</f>
        <v>268</v>
      </c>
      <c r="H411" t="str">
        <f>INDEX('ECOMMERS SALES'!$A:$J,MATCH('index match'!$A411,'ECOMMERS SALES'!$C:$C,0),MATCH('index match'!H$1,ECOMMERS_SALES[#Headers],0))</f>
        <v>Chennai</v>
      </c>
      <c r="I411" t="str">
        <f>INDEX('ECOMMERS SALES'!$A:$J,MATCH('index match'!$A411,'ECOMMERS SALES'!$C:$C,0),MATCH('index match'!I$1,ECOMMERS_SALES[#Headers],0))</f>
        <v>New</v>
      </c>
      <c r="J411" t="str">
        <f>INDEX('ECOMMERS SALES'!$A:$J,MATCH('index match'!$A411,'ECOMMERS SALES'!$C:$C,0),MATCH('index match'!J$1,ECOMMERS_SALES[#Headers],0))</f>
        <v>UPI</v>
      </c>
    </row>
    <row r="412" spans="1:10" x14ac:dyDescent="0.35">
      <c r="A412" t="s">
        <v>11</v>
      </c>
      <c r="B412">
        <f>INDEX('ECOMMERS SALES'!$A:$J,MATCH('index match'!$A412,'ECOMMERS SALES'!$C:$C,0),MATCH('index match'!B$1,ECOMMERS_SALES[#Headers],0))</f>
        <v>1001</v>
      </c>
      <c r="C412" t="str">
        <f>INDEX('ECOMMERS SALES'!$A:$J,MATCH('index match'!$A412,'ECOMMERS SALES'!$C:$C,0),MATCH('index match'!C$1,ECOMMERS_SALES[#Headers],0))</f>
        <v>02-01-2025</v>
      </c>
      <c r="D412" t="str">
        <f>INDEX('ECOMMERS SALES'!$A:$J,MATCH('index match'!$A412,'ECOMMERS SALES'!$C:$C,0),MATCH('index match'!D$1,ECOMMERS_SALES[#Headers],0))</f>
        <v>Electronics</v>
      </c>
      <c r="E412">
        <f>INDEX('ECOMMERS SALES'!$A:$J,MATCH('index match'!$A412,'ECOMMERS SALES'!$C:$C,0),MATCH('index match'!E$1,ECOMMERS_SALES[#Headers],0))</f>
        <v>2</v>
      </c>
      <c r="F412">
        <f>INDEX('ECOMMERS SALES'!$A:$J,MATCH('index match'!$A412,'ECOMMERS SALES'!$C:$C,0),MATCH('index match'!F$1,ECOMMERS_SALES[#Headers],0))</f>
        <v>50353</v>
      </c>
      <c r="G412">
        <f>INDEX('ECOMMERS SALES'!$A:$J,MATCH('index match'!$A412,'ECOMMERS SALES'!$C:$C,0),MATCH('index match'!G$1,ECOMMERS_SALES[#Headers],0))</f>
        <v>100706</v>
      </c>
      <c r="H412" t="str">
        <f>INDEX('ECOMMERS SALES'!$A:$J,MATCH('index match'!$A412,'ECOMMERS SALES'!$C:$C,0),MATCH('index match'!H$1,ECOMMERS_SALES[#Headers],0))</f>
        <v>Chennai</v>
      </c>
      <c r="I412" t="str">
        <f>INDEX('ECOMMERS SALES'!$A:$J,MATCH('index match'!$A412,'ECOMMERS SALES'!$C:$C,0),MATCH('index match'!I$1,ECOMMERS_SALES[#Headers],0))</f>
        <v>Premimum</v>
      </c>
      <c r="J412" t="str">
        <f>INDEX('ECOMMERS SALES'!$A:$J,MATCH('index match'!$A412,'ECOMMERS SALES'!$C:$C,0),MATCH('index match'!J$1,ECOMMERS_SALES[#Headers],0))</f>
        <v>Card</v>
      </c>
    </row>
    <row r="413" spans="1:10" x14ac:dyDescent="0.35">
      <c r="A413" t="s">
        <v>17</v>
      </c>
      <c r="B413">
        <f>INDEX('ECOMMERS SALES'!$A:$J,MATCH('index match'!$A413,'ECOMMERS SALES'!$C:$C,0),MATCH('index match'!B$1,ECOMMERS_SALES[#Headers],0))</f>
        <v>1002</v>
      </c>
      <c r="C413" t="str">
        <f>INDEX('ECOMMERS SALES'!$A:$J,MATCH('index match'!$A413,'ECOMMERS SALES'!$C:$C,0),MATCH('index match'!C$1,ECOMMERS_SALES[#Headers],0))</f>
        <v>03-01-2025</v>
      </c>
      <c r="D413" t="str">
        <f>INDEX('ECOMMERS SALES'!$A:$J,MATCH('index match'!$A413,'ECOMMERS SALES'!$C:$C,0),MATCH('index match'!D$1,ECOMMERS_SALES[#Headers],0))</f>
        <v>Electronics</v>
      </c>
      <c r="E413">
        <f>INDEX('ECOMMERS SALES'!$A:$J,MATCH('index match'!$A413,'ECOMMERS SALES'!$C:$C,0),MATCH('index match'!E$1,ECOMMERS_SALES[#Headers],0))</f>
        <v>2</v>
      </c>
      <c r="F413">
        <f>INDEX('ECOMMERS SALES'!$A:$J,MATCH('index match'!$A413,'ECOMMERS SALES'!$C:$C,0),MATCH('index match'!F$1,ECOMMERS_SALES[#Headers],0))</f>
        <v>2008</v>
      </c>
      <c r="G413">
        <f>INDEX('ECOMMERS SALES'!$A:$J,MATCH('index match'!$A413,'ECOMMERS SALES'!$C:$C,0),MATCH('index match'!G$1,ECOMMERS_SALES[#Headers],0))</f>
        <v>4016</v>
      </c>
      <c r="H413" t="str">
        <f>INDEX('ECOMMERS SALES'!$A:$J,MATCH('index match'!$A413,'ECOMMERS SALES'!$C:$C,0),MATCH('index match'!H$1,ECOMMERS_SALES[#Headers],0))</f>
        <v>Delhi</v>
      </c>
      <c r="I413" t="str">
        <f>INDEX('ECOMMERS SALES'!$A:$J,MATCH('index match'!$A413,'ECOMMERS SALES'!$C:$C,0),MATCH('index match'!I$1,ECOMMERS_SALES[#Headers],0))</f>
        <v>New</v>
      </c>
      <c r="J413" t="str">
        <f>INDEX('ECOMMERS SALES'!$A:$J,MATCH('index match'!$A413,'ECOMMERS SALES'!$C:$C,0),MATCH('index match'!J$1,ECOMMERS_SALES[#Headers],0))</f>
        <v>UPI</v>
      </c>
    </row>
    <row r="414" spans="1:10" x14ac:dyDescent="0.35">
      <c r="A414" t="s">
        <v>22</v>
      </c>
      <c r="B414">
        <f>INDEX('ECOMMERS SALES'!$A:$J,MATCH('index match'!$A414,'ECOMMERS SALES'!$C:$C,0),MATCH('index match'!B$1,ECOMMERS_SALES[#Headers],0))</f>
        <v>1003</v>
      </c>
      <c r="C414" t="str">
        <f>INDEX('ECOMMERS SALES'!$A:$J,MATCH('index match'!$A414,'ECOMMERS SALES'!$C:$C,0),MATCH('index match'!C$1,ECOMMERS_SALES[#Headers],0))</f>
        <v>04-01-2025</v>
      </c>
      <c r="D414" t="str">
        <f>INDEX('ECOMMERS SALES'!$A:$J,MATCH('index match'!$A414,'ECOMMERS SALES'!$C:$C,0),MATCH('index match'!D$1,ECOMMERS_SALES[#Headers],0))</f>
        <v>Fashion</v>
      </c>
      <c r="E414">
        <f>INDEX('ECOMMERS SALES'!$A:$J,MATCH('index match'!$A414,'ECOMMERS SALES'!$C:$C,0),MATCH('index match'!E$1,ECOMMERS_SALES[#Headers],0))</f>
        <v>1</v>
      </c>
      <c r="F414">
        <f>INDEX('ECOMMERS SALES'!$A:$J,MATCH('index match'!$A414,'ECOMMERS SALES'!$C:$C,0),MATCH('index match'!F$1,ECOMMERS_SALES[#Headers],0))</f>
        <v>4736</v>
      </c>
      <c r="G414">
        <f>INDEX('ECOMMERS SALES'!$A:$J,MATCH('index match'!$A414,'ECOMMERS SALES'!$C:$C,0),MATCH('index match'!G$1,ECOMMERS_SALES[#Headers],0))</f>
        <v>4736</v>
      </c>
      <c r="H414" t="str">
        <f>INDEX('ECOMMERS SALES'!$A:$J,MATCH('index match'!$A414,'ECOMMERS SALES'!$C:$C,0),MATCH('index match'!H$1,ECOMMERS_SALES[#Headers],0))</f>
        <v>Chennai</v>
      </c>
      <c r="I414" t="str">
        <f>INDEX('ECOMMERS SALES'!$A:$J,MATCH('index match'!$A414,'ECOMMERS SALES'!$C:$C,0),MATCH('index match'!I$1,ECOMMERS_SALES[#Headers],0))</f>
        <v>New</v>
      </c>
      <c r="J414" t="str">
        <f>INDEX('ECOMMERS SALES'!$A:$J,MATCH('index match'!$A414,'ECOMMERS SALES'!$C:$C,0),MATCH('index match'!J$1,ECOMMERS_SALES[#Headers],0))</f>
        <v>UPI</v>
      </c>
    </row>
    <row r="415" spans="1:10" x14ac:dyDescent="0.35">
      <c r="A415" t="s">
        <v>25</v>
      </c>
      <c r="B415">
        <f>INDEX('ECOMMERS SALES'!$A:$J,MATCH('index match'!$A415,'ECOMMERS SALES'!$C:$C,0),MATCH('index match'!B$1,ECOMMERS_SALES[#Headers],0))</f>
        <v>1004</v>
      </c>
      <c r="C415" t="str">
        <f>INDEX('ECOMMERS SALES'!$A:$J,MATCH('index match'!$A415,'ECOMMERS SALES'!$C:$C,0),MATCH('index match'!C$1,ECOMMERS_SALES[#Headers],0))</f>
        <v>05-01-2025</v>
      </c>
      <c r="D415" t="str">
        <f>INDEX('ECOMMERS SALES'!$A:$J,MATCH('index match'!$A415,'ECOMMERS SALES'!$C:$C,0),MATCH('index match'!D$1,ECOMMERS_SALES[#Headers],0))</f>
        <v>Other</v>
      </c>
      <c r="E415">
        <f>INDEX('ECOMMERS SALES'!$A:$J,MATCH('index match'!$A415,'ECOMMERS SALES'!$C:$C,0),MATCH('index match'!E$1,ECOMMERS_SALES[#Headers],0))</f>
        <v>2</v>
      </c>
      <c r="F415">
        <f>INDEX('ECOMMERS SALES'!$A:$J,MATCH('index match'!$A415,'ECOMMERS SALES'!$C:$C,0),MATCH('index match'!F$1,ECOMMERS_SALES[#Headers],0))</f>
        <v>10072</v>
      </c>
      <c r="G415">
        <f>INDEX('ECOMMERS SALES'!$A:$J,MATCH('index match'!$A415,'ECOMMERS SALES'!$C:$C,0),MATCH('index match'!G$1,ECOMMERS_SALES[#Headers],0))</f>
        <v>20144</v>
      </c>
      <c r="H415" t="str">
        <f>INDEX('ECOMMERS SALES'!$A:$J,MATCH('index match'!$A415,'ECOMMERS SALES'!$C:$C,0),MATCH('index match'!H$1,ECOMMERS_SALES[#Headers],0))</f>
        <v>Pune</v>
      </c>
      <c r="I415" t="str">
        <f>INDEX('ECOMMERS SALES'!$A:$J,MATCH('index match'!$A415,'ECOMMERS SALES'!$C:$C,0),MATCH('index match'!I$1,ECOMMERS_SALES[#Headers],0))</f>
        <v>Premimum</v>
      </c>
      <c r="J415" t="str">
        <f>INDEX('ECOMMERS SALES'!$A:$J,MATCH('index match'!$A415,'ECOMMERS SALES'!$C:$C,0),MATCH('index match'!J$1,ECOMMERS_SALES[#Headers],0))</f>
        <v>Card</v>
      </c>
    </row>
    <row r="416" spans="1:10" x14ac:dyDescent="0.35">
      <c r="A416" t="s">
        <v>29</v>
      </c>
      <c r="B416">
        <f>INDEX('ECOMMERS SALES'!$A:$J,MATCH('index match'!$A416,'ECOMMERS SALES'!$C:$C,0),MATCH('index match'!B$1,ECOMMERS_SALES[#Headers],0))</f>
        <v>1005</v>
      </c>
      <c r="C416" t="str">
        <f>INDEX('ECOMMERS SALES'!$A:$J,MATCH('index match'!$A416,'ECOMMERS SALES'!$C:$C,0),MATCH('index match'!C$1,ECOMMERS_SALES[#Headers],0))</f>
        <v>06-01-2025</v>
      </c>
      <c r="D416" t="str">
        <f>INDEX('ECOMMERS SALES'!$A:$J,MATCH('index match'!$A416,'ECOMMERS SALES'!$C:$C,0),MATCH('index match'!D$1,ECOMMERS_SALES[#Headers],0))</f>
        <v>Other</v>
      </c>
      <c r="E416">
        <f>INDEX('ECOMMERS SALES'!$A:$J,MATCH('index match'!$A416,'ECOMMERS SALES'!$C:$C,0),MATCH('index match'!E$1,ECOMMERS_SALES[#Headers],0))</f>
        <v>2</v>
      </c>
      <c r="F416">
        <f>INDEX('ECOMMERS SALES'!$A:$J,MATCH('index match'!$A416,'ECOMMERS SALES'!$C:$C,0),MATCH('index match'!F$1,ECOMMERS_SALES[#Headers],0))</f>
        <v>920</v>
      </c>
      <c r="G416">
        <f>INDEX('ECOMMERS SALES'!$A:$J,MATCH('index match'!$A416,'ECOMMERS SALES'!$C:$C,0),MATCH('index match'!G$1,ECOMMERS_SALES[#Headers],0))</f>
        <v>1840</v>
      </c>
      <c r="H416" t="str">
        <f>INDEX('ECOMMERS SALES'!$A:$J,MATCH('index match'!$A416,'ECOMMERS SALES'!$C:$C,0),MATCH('index match'!H$1,ECOMMERS_SALES[#Headers],0))</f>
        <v>Pune</v>
      </c>
      <c r="I416" t="str">
        <f>INDEX('ECOMMERS SALES'!$A:$J,MATCH('index match'!$A416,'ECOMMERS SALES'!$C:$C,0),MATCH('index match'!I$1,ECOMMERS_SALES[#Headers],0))</f>
        <v>New</v>
      </c>
      <c r="J416" t="str">
        <f>INDEX('ECOMMERS SALES'!$A:$J,MATCH('index match'!$A416,'ECOMMERS SALES'!$C:$C,0),MATCH('index match'!J$1,ECOMMERS_SALES[#Headers],0))</f>
        <v>UPI</v>
      </c>
    </row>
    <row r="417" spans="1:10" x14ac:dyDescent="0.35">
      <c r="A417" t="s">
        <v>31</v>
      </c>
      <c r="B417">
        <f>INDEX('ECOMMERS SALES'!$A:$J,MATCH('index match'!$A417,'ECOMMERS SALES'!$C:$C,0),MATCH('index match'!B$1,ECOMMERS_SALES[#Headers],0))</f>
        <v>1006</v>
      </c>
      <c r="C417" t="str">
        <f>INDEX('ECOMMERS SALES'!$A:$J,MATCH('index match'!$A417,'ECOMMERS SALES'!$C:$C,0),MATCH('index match'!C$1,ECOMMERS_SALES[#Headers],0))</f>
        <v>07-01-2025</v>
      </c>
      <c r="D417" t="str">
        <f>INDEX('ECOMMERS SALES'!$A:$J,MATCH('index match'!$A417,'ECOMMERS SALES'!$C:$C,0),MATCH('index match'!D$1,ECOMMERS_SALES[#Headers],0))</f>
        <v>Electronics</v>
      </c>
      <c r="E417">
        <f>INDEX('ECOMMERS SALES'!$A:$J,MATCH('index match'!$A417,'ECOMMERS SALES'!$C:$C,0),MATCH('index match'!E$1,ECOMMERS_SALES[#Headers],0))</f>
        <v>1</v>
      </c>
      <c r="F417">
        <f>INDEX('ECOMMERS SALES'!$A:$J,MATCH('index match'!$A417,'ECOMMERS SALES'!$C:$C,0),MATCH('index match'!F$1,ECOMMERS_SALES[#Headers],0))</f>
        <v>13225</v>
      </c>
      <c r="G417">
        <f>INDEX('ECOMMERS SALES'!$A:$J,MATCH('index match'!$A417,'ECOMMERS SALES'!$C:$C,0),MATCH('index match'!G$1,ECOMMERS_SALES[#Headers],0))</f>
        <v>13225</v>
      </c>
      <c r="H417" t="str">
        <f>INDEX('ECOMMERS SALES'!$A:$J,MATCH('index match'!$A417,'ECOMMERS SALES'!$C:$C,0),MATCH('index match'!H$1,ECOMMERS_SALES[#Headers],0))</f>
        <v>Delhi</v>
      </c>
      <c r="I417" t="str">
        <f>INDEX('ECOMMERS SALES'!$A:$J,MATCH('index match'!$A417,'ECOMMERS SALES'!$C:$C,0),MATCH('index match'!I$1,ECOMMERS_SALES[#Headers],0))</f>
        <v>Returning</v>
      </c>
      <c r="J417" t="str">
        <f>INDEX('ECOMMERS SALES'!$A:$J,MATCH('index match'!$A417,'ECOMMERS SALES'!$C:$C,0),MATCH('index match'!J$1,ECOMMERS_SALES[#Headers],0))</f>
        <v>COD</v>
      </c>
    </row>
    <row r="418" spans="1:10" x14ac:dyDescent="0.35">
      <c r="A418" t="s">
        <v>35</v>
      </c>
      <c r="B418">
        <f>INDEX('ECOMMERS SALES'!$A:$J,MATCH('index match'!$A418,'ECOMMERS SALES'!$C:$C,0),MATCH('index match'!B$1,ECOMMERS_SALES[#Headers],0))</f>
        <v>1007</v>
      </c>
      <c r="C418" t="str">
        <f>INDEX('ECOMMERS SALES'!$A:$J,MATCH('index match'!$A418,'ECOMMERS SALES'!$C:$C,0),MATCH('index match'!C$1,ECOMMERS_SALES[#Headers],0))</f>
        <v>08-01-2025</v>
      </c>
      <c r="D418" t="str">
        <f>INDEX('ECOMMERS SALES'!$A:$J,MATCH('index match'!$A418,'ECOMMERS SALES'!$C:$C,0),MATCH('index match'!D$1,ECOMMERS_SALES[#Headers],0))</f>
        <v>Books</v>
      </c>
      <c r="E418">
        <f>INDEX('ECOMMERS SALES'!$A:$J,MATCH('index match'!$A418,'ECOMMERS SALES'!$C:$C,0),MATCH('index match'!E$1,ECOMMERS_SALES[#Headers],0))</f>
        <v>3</v>
      </c>
      <c r="F418">
        <f>INDEX('ECOMMERS SALES'!$A:$J,MATCH('index match'!$A418,'ECOMMERS SALES'!$C:$C,0),MATCH('index match'!F$1,ECOMMERS_SALES[#Headers],0))</f>
        <v>621</v>
      </c>
      <c r="G418">
        <f>INDEX('ECOMMERS SALES'!$A:$J,MATCH('index match'!$A418,'ECOMMERS SALES'!$C:$C,0),MATCH('index match'!G$1,ECOMMERS_SALES[#Headers],0))</f>
        <v>1863</v>
      </c>
      <c r="H418" t="str">
        <f>INDEX('ECOMMERS SALES'!$A:$J,MATCH('index match'!$A418,'ECOMMERS SALES'!$C:$C,0),MATCH('index match'!H$1,ECOMMERS_SALES[#Headers],0))</f>
        <v>Hyderabad</v>
      </c>
      <c r="I418" t="str">
        <f>INDEX('ECOMMERS SALES'!$A:$J,MATCH('index match'!$A418,'ECOMMERS SALES'!$C:$C,0),MATCH('index match'!I$1,ECOMMERS_SALES[#Headers],0))</f>
        <v>Premimum</v>
      </c>
      <c r="J418" t="str">
        <f>INDEX('ECOMMERS SALES'!$A:$J,MATCH('index match'!$A418,'ECOMMERS SALES'!$C:$C,0),MATCH('index match'!J$1,ECOMMERS_SALES[#Headers],0))</f>
        <v>UPI</v>
      </c>
    </row>
    <row r="419" spans="1:10" x14ac:dyDescent="0.35">
      <c r="A419" t="s">
        <v>39</v>
      </c>
      <c r="B419">
        <f>INDEX('ECOMMERS SALES'!$A:$J,MATCH('index match'!$A419,'ECOMMERS SALES'!$C:$C,0),MATCH('index match'!B$1,ECOMMERS_SALES[#Headers],0))</f>
        <v>1008</v>
      </c>
      <c r="C419" t="str">
        <f>INDEX('ECOMMERS SALES'!$A:$J,MATCH('index match'!$A419,'ECOMMERS SALES'!$C:$C,0),MATCH('index match'!C$1,ECOMMERS_SALES[#Headers],0))</f>
        <v>09-01-2025</v>
      </c>
      <c r="D419" t="str">
        <f>INDEX('ECOMMERS SALES'!$A:$J,MATCH('index match'!$A419,'ECOMMERS SALES'!$C:$C,0),MATCH('index match'!D$1,ECOMMERS_SALES[#Headers],0))</f>
        <v>Fashion</v>
      </c>
      <c r="E419">
        <f>INDEX('ECOMMERS SALES'!$A:$J,MATCH('index match'!$A419,'ECOMMERS SALES'!$C:$C,0),MATCH('index match'!E$1,ECOMMERS_SALES[#Headers],0))</f>
        <v>2</v>
      </c>
      <c r="F419">
        <f>INDEX('ECOMMERS SALES'!$A:$J,MATCH('index match'!$A419,'ECOMMERS SALES'!$C:$C,0),MATCH('index match'!F$1,ECOMMERS_SALES[#Headers],0))</f>
        <v>905</v>
      </c>
      <c r="G419">
        <f>INDEX('ECOMMERS SALES'!$A:$J,MATCH('index match'!$A419,'ECOMMERS SALES'!$C:$C,0),MATCH('index match'!G$1,ECOMMERS_SALES[#Headers],0))</f>
        <v>1810</v>
      </c>
      <c r="H419" t="str">
        <f>INDEX('ECOMMERS SALES'!$A:$J,MATCH('index match'!$A419,'ECOMMERS SALES'!$C:$C,0),MATCH('index match'!H$1,ECOMMERS_SALES[#Headers],0))</f>
        <v>Bangalore</v>
      </c>
      <c r="I419" t="str">
        <f>INDEX('ECOMMERS SALES'!$A:$J,MATCH('index match'!$A419,'ECOMMERS SALES'!$C:$C,0),MATCH('index match'!I$1,ECOMMERS_SALES[#Headers],0))</f>
        <v>New</v>
      </c>
      <c r="J419" t="str">
        <f>INDEX('ECOMMERS SALES'!$A:$J,MATCH('index match'!$A419,'ECOMMERS SALES'!$C:$C,0),MATCH('index match'!J$1,ECOMMERS_SALES[#Headers],0))</f>
        <v>COD</v>
      </c>
    </row>
    <row r="420" spans="1:10" x14ac:dyDescent="0.35">
      <c r="A420" t="s">
        <v>42</v>
      </c>
      <c r="B420">
        <f>INDEX('ECOMMERS SALES'!$A:$J,MATCH('index match'!$A420,'ECOMMERS SALES'!$C:$C,0),MATCH('index match'!B$1,ECOMMERS_SALES[#Headers],0))</f>
        <v>1009</v>
      </c>
      <c r="C420" t="str">
        <f>INDEX('ECOMMERS SALES'!$A:$J,MATCH('index match'!$A420,'ECOMMERS SALES'!$C:$C,0),MATCH('index match'!C$1,ECOMMERS_SALES[#Headers],0))</f>
        <v>10-01-2025</v>
      </c>
      <c r="D420" t="str">
        <f>INDEX('ECOMMERS SALES'!$A:$J,MATCH('index match'!$A420,'ECOMMERS SALES'!$C:$C,0),MATCH('index match'!D$1,ECOMMERS_SALES[#Headers],0))</f>
        <v>Electronics</v>
      </c>
      <c r="E420">
        <f>INDEX('ECOMMERS SALES'!$A:$J,MATCH('index match'!$A420,'ECOMMERS SALES'!$C:$C,0),MATCH('index match'!E$1,ECOMMERS_SALES[#Headers],0))</f>
        <v>1</v>
      </c>
      <c r="F420">
        <f>INDEX('ECOMMERS SALES'!$A:$J,MATCH('index match'!$A420,'ECOMMERS SALES'!$C:$C,0),MATCH('index match'!F$1,ECOMMERS_SALES[#Headers],0))</f>
        <v>8563</v>
      </c>
      <c r="G420">
        <f>INDEX('ECOMMERS SALES'!$A:$J,MATCH('index match'!$A420,'ECOMMERS SALES'!$C:$C,0),MATCH('index match'!G$1,ECOMMERS_SALES[#Headers],0))</f>
        <v>8563</v>
      </c>
      <c r="H420" t="str">
        <f>INDEX('ECOMMERS SALES'!$A:$J,MATCH('index match'!$A420,'ECOMMERS SALES'!$C:$C,0),MATCH('index match'!H$1,ECOMMERS_SALES[#Headers],0))</f>
        <v>Hyderabad</v>
      </c>
      <c r="I420" t="str">
        <f>INDEX('ECOMMERS SALES'!$A:$J,MATCH('index match'!$A420,'ECOMMERS SALES'!$C:$C,0),MATCH('index match'!I$1,ECOMMERS_SALES[#Headers],0))</f>
        <v>Returning</v>
      </c>
      <c r="J420" t="str">
        <f>INDEX('ECOMMERS SALES'!$A:$J,MATCH('index match'!$A420,'ECOMMERS SALES'!$C:$C,0),MATCH('index match'!J$1,ECOMMERS_SALES[#Headers],0))</f>
        <v>Card</v>
      </c>
    </row>
    <row r="421" spans="1:10" x14ac:dyDescent="0.35">
      <c r="A421" t="s">
        <v>44</v>
      </c>
      <c r="B421">
        <f>INDEX('ECOMMERS SALES'!$A:$J,MATCH('index match'!$A421,'ECOMMERS SALES'!$C:$C,0),MATCH('index match'!B$1,ECOMMERS_SALES[#Headers],0))</f>
        <v>1010</v>
      </c>
      <c r="C421" t="str">
        <f>INDEX('ECOMMERS SALES'!$A:$J,MATCH('index match'!$A421,'ECOMMERS SALES'!$C:$C,0),MATCH('index match'!C$1,ECOMMERS_SALES[#Headers],0))</f>
        <v>11-01-2025</v>
      </c>
      <c r="D421" t="str">
        <f>INDEX('ECOMMERS SALES'!$A:$J,MATCH('index match'!$A421,'ECOMMERS SALES'!$C:$C,0),MATCH('index match'!D$1,ECOMMERS_SALES[#Headers],0))</f>
        <v>Other</v>
      </c>
      <c r="E421">
        <f>INDEX('ECOMMERS SALES'!$A:$J,MATCH('index match'!$A421,'ECOMMERS SALES'!$C:$C,0),MATCH('index match'!E$1,ECOMMERS_SALES[#Headers],0))</f>
        <v>1</v>
      </c>
      <c r="F421">
        <f>INDEX('ECOMMERS SALES'!$A:$J,MATCH('index match'!$A421,'ECOMMERS SALES'!$C:$C,0),MATCH('index match'!F$1,ECOMMERS_SALES[#Headers],0))</f>
        <v>268</v>
      </c>
      <c r="G421">
        <f>INDEX('ECOMMERS SALES'!$A:$J,MATCH('index match'!$A421,'ECOMMERS SALES'!$C:$C,0),MATCH('index match'!G$1,ECOMMERS_SALES[#Headers],0))</f>
        <v>268</v>
      </c>
      <c r="H421" t="str">
        <f>INDEX('ECOMMERS SALES'!$A:$J,MATCH('index match'!$A421,'ECOMMERS SALES'!$C:$C,0),MATCH('index match'!H$1,ECOMMERS_SALES[#Headers],0))</f>
        <v>Chennai</v>
      </c>
      <c r="I421" t="str">
        <f>INDEX('ECOMMERS SALES'!$A:$J,MATCH('index match'!$A421,'ECOMMERS SALES'!$C:$C,0),MATCH('index match'!I$1,ECOMMERS_SALES[#Headers],0))</f>
        <v>New</v>
      </c>
      <c r="J421" t="str">
        <f>INDEX('ECOMMERS SALES'!$A:$J,MATCH('index match'!$A421,'ECOMMERS SALES'!$C:$C,0),MATCH('index match'!J$1,ECOMMERS_SALES[#Headers],0))</f>
        <v>UPI</v>
      </c>
    </row>
    <row r="422" spans="1:10" x14ac:dyDescent="0.35">
      <c r="A422" t="s">
        <v>11</v>
      </c>
      <c r="B422">
        <f>INDEX('ECOMMERS SALES'!$A:$J,MATCH('index match'!$A422,'ECOMMERS SALES'!$C:$C,0),MATCH('index match'!B$1,ECOMMERS_SALES[#Headers],0))</f>
        <v>1001</v>
      </c>
      <c r="C422" t="str">
        <f>INDEX('ECOMMERS SALES'!$A:$J,MATCH('index match'!$A422,'ECOMMERS SALES'!$C:$C,0),MATCH('index match'!C$1,ECOMMERS_SALES[#Headers],0))</f>
        <v>02-01-2025</v>
      </c>
      <c r="D422" t="str">
        <f>INDEX('ECOMMERS SALES'!$A:$J,MATCH('index match'!$A422,'ECOMMERS SALES'!$C:$C,0),MATCH('index match'!D$1,ECOMMERS_SALES[#Headers],0))</f>
        <v>Electronics</v>
      </c>
      <c r="E422">
        <f>INDEX('ECOMMERS SALES'!$A:$J,MATCH('index match'!$A422,'ECOMMERS SALES'!$C:$C,0),MATCH('index match'!E$1,ECOMMERS_SALES[#Headers],0))</f>
        <v>2</v>
      </c>
      <c r="F422">
        <f>INDEX('ECOMMERS SALES'!$A:$J,MATCH('index match'!$A422,'ECOMMERS SALES'!$C:$C,0),MATCH('index match'!F$1,ECOMMERS_SALES[#Headers],0))</f>
        <v>50353</v>
      </c>
      <c r="G422">
        <f>INDEX('ECOMMERS SALES'!$A:$J,MATCH('index match'!$A422,'ECOMMERS SALES'!$C:$C,0),MATCH('index match'!G$1,ECOMMERS_SALES[#Headers],0))</f>
        <v>100706</v>
      </c>
      <c r="H422" t="str">
        <f>INDEX('ECOMMERS SALES'!$A:$J,MATCH('index match'!$A422,'ECOMMERS SALES'!$C:$C,0),MATCH('index match'!H$1,ECOMMERS_SALES[#Headers],0))</f>
        <v>Chennai</v>
      </c>
      <c r="I422" t="str">
        <f>INDEX('ECOMMERS SALES'!$A:$J,MATCH('index match'!$A422,'ECOMMERS SALES'!$C:$C,0),MATCH('index match'!I$1,ECOMMERS_SALES[#Headers],0))</f>
        <v>Premimum</v>
      </c>
      <c r="J422" t="str">
        <f>INDEX('ECOMMERS SALES'!$A:$J,MATCH('index match'!$A422,'ECOMMERS SALES'!$C:$C,0),MATCH('index match'!J$1,ECOMMERS_SALES[#Headers],0))</f>
        <v>Card</v>
      </c>
    </row>
    <row r="423" spans="1:10" x14ac:dyDescent="0.35">
      <c r="A423" t="s">
        <v>17</v>
      </c>
      <c r="B423">
        <f>INDEX('ECOMMERS SALES'!$A:$J,MATCH('index match'!$A423,'ECOMMERS SALES'!$C:$C,0),MATCH('index match'!B$1,ECOMMERS_SALES[#Headers],0))</f>
        <v>1002</v>
      </c>
      <c r="C423" t="str">
        <f>INDEX('ECOMMERS SALES'!$A:$J,MATCH('index match'!$A423,'ECOMMERS SALES'!$C:$C,0),MATCH('index match'!C$1,ECOMMERS_SALES[#Headers],0))</f>
        <v>03-01-2025</v>
      </c>
      <c r="D423" t="str">
        <f>INDEX('ECOMMERS SALES'!$A:$J,MATCH('index match'!$A423,'ECOMMERS SALES'!$C:$C,0),MATCH('index match'!D$1,ECOMMERS_SALES[#Headers],0))</f>
        <v>Electronics</v>
      </c>
      <c r="E423">
        <f>INDEX('ECOMMERS SALES'!$A:$J,MATCH('index match'!$A423,'ECOMMERS SALES'!$C:$C,0),MATCH('index match'!E$1,ECOMMERS_SALES[#Headers],0))</f>
        <v>2</v>
      </c>
      <c r="F423">
        <f>INDEX('ECOMMERS SALES'!$A:$J,MATCH('index match'!$A423,'ECOMMERS SALES'!$C:$C,0),MATCH('index match'!F$1,ECOMMERS_SALES[#Headers],0))</f>
        <v>2008</v>
      </c>
      <c r="G423">
        <f>INDEX('ECOMMERS SALES'!$A:$J,MATCH('index match'!$A423,'ECOMMERS SALES'!$C:$C,0),MATCH('index match'!G$1,ECOMMERS_SALES[#Headers],0))</f>
        <v>4016</v>
      </c>
      <c r="H423" t="str">
        <f>INDEX('ECOMMERS SALES'!$A:$J,MATCH('index match'!$A423,'ECOMMERS SALES'!$C:$C,0),MATCH('index match'!H$1,ECOMMERS_SALES[#Headers],0))</f>
        <v>Delhi</v>
      </c>
      <c r="I423" t="str">
        <f>INDEX('ECOMMERS SALES'!$A:$J,MATCH('index match'!$A423,'ECOMMERS SALES'!$C:$C,0),MATCH('index match'!I$1,ECOMMERS_SALES[#Headers],0))</f>
        <v>New</v>
      </c>
      <c r="J423" t="str">
        <f>INDEX('ECOMMERS SALES'!$A:$J,MATCH('index match'!$A423,'ECOMMERS SALES'!$C:$C,0),MATCH('index match'!J$1,ECOMMERS_SALES[#Headers],0))</f>
        <v>UPI</v>
      </c>
    </row>
    <row r="424" spans="1:10" x14ac:dyDescent="0.35">
      <c r="A424" t="s">
        <v>22</v>
      </c>
      <c r="B424">
        <f>INDEX('ECOMMERS SALES'!$A:$J,MATCH('index match'!$A424,'ECOMMERS SALES'!$C:$C,0),MATCH('index match'!B$1,ECOMMERS_SALES[#Headers],0))</f>
        <v>1003</v>
      </c>
      <c r="C424" t="str">
        <f>INDEX('ECOMMERS SALES'!$A:$J,MATCH('index match'!$A424,'ECOMMERS SALES'!$C:$C,0),MATCH('index match'!C$1,ECOMMERS_SALES[#Headers],0))</f>
        <v>04-01-2025</v>
      </c>
      <c r="D424" t="str">
        <f>INDEX('ECOMMERS SALES'!$A:$J,MATCH('index match'!$A424,'ECOMMERS SALES'!$C:$C,0),MATCH('index match'!D$1,ECOMMERS_SALES[#Headers],0))</f>
        <v>Fashion</v>
      </c>
      <c r="E424">
        <f>INDEX('ECOMMERS SALES'!$A:$J,MATCH('index match'!$A424,'ECOMMERS SALES'!$C:$C,0),MATCH('index match'!E$1,ECOMMERS_SALES[#Headers],0))</f>
        <v>1</v>
      </c>
      <c r="F424">
        <f>INDEX('ECOMMERS SALES'!$A:$J,MATCH('index match'!$A424,'ECOMMERS SALES'!$C:$C,0),MATCH('index match'!F$1,ECOMMERS_SALES[#Headers],0))</f>
        <v>4736</v>
      </c>
      <c r="G424">
        <f>INDEX('ECOMMERS SALES'!$A:$J,MATCH('index match'!$A424,'ECOMMERS SALES'!$C:$C,0),MATCH('index match'!G$1,ECOMMERS_SALES[#Headers],0))</f>
        <v>4736</v>
      </c>
      <c r="H424" t="str">
        <f>INDEX('ECOMMERS SALES'!$A:$J,MATCH('index match'!$A424,'ECOMMERS SALES'!$C:$C,0),MATCH('index match'!H$1,ECOMMERS_SALES[#Headers],0))</f>
        <v>Chennai</v>
      </c>
      <c r="I424" t="str">
        <f>INDEX('ECOMMERS SALES'!$A:$J,MATCH('index match'!$A424,'ECOMMERS SALES'!$C:$C,0),MATCH('index match'!I$1,ECOMMERS_SALES[#Headers],0))</f>
        <v>New</v>
      </c>
      <c r="J424" t="str">
        <f>INDEX('ECOMMERS SALES'!$A:$J,MATCH('index match'!$A424,'ECOMMERS SALES'!$C:$C,0),MATCH('index match'!J$1,ECOMMERS_SALES[#Headers],0))</f>
        <v>UPI</v>
      </c>
    </row>
    <row r="425" spans="1:10" x14ac:dyDescent="0.35">
      <c r="A425" t="s">
        <v>25</v>
      </c>
      <c r="B425">
        <f>INDEX('ECOMMERS SALES'!$A:$J,MATCH('index match'!$A425,'ECOMMERS SALES'!$C:$C,0),MATCH('index match'!B$1,ECOMMERS_SALES[#Headers],0))</f>
        <v>1004</v>
      </c>
      <c r="C425" t="str">
        <f>INDEX('ECOMMERS SALES'!$A:$J,MATCH('index match'!$A425,'ECOMMERS SALES'!$C:$C,0),MATCH('index match'!C$1,ECOMMERS_SALES[#Headers],0))</f>
        <v>05-01-2025</v>
      </c>
      <c r="D425" t="str">
        <f>INDEX('ECOMMERS SALES'!$A:$J,MATCH('index match'!$A425,'ECOMMERS SALES'!$C:$C,0),MATCH('index match'!D$1,ECOMMERS_SALES[#Headers],0))</f>
        <v>Other</v>
      </c>
      <c r="E425">
        <f>INDEX('ECOMMERS SALES'!$A:$J,MATCH('index match'!$A425,'ECOMMERS SALES'!$C:$C,0),MATCH('index match'!E$1,ECOMMERS_SALES[#Headers],0))</f>
        <v>2</v>
      </c>
      <c r="F425">
        <f>INDEX('ECOMMERS SALES'!$A:$J,MATCH('index match'!$A425,'ECOMMERS SALES'!$C:$C,0),MATCH('index match'!F$1,ECOMMERS_SALES[#Headers],0))</f>
        <v>10072</v>
      </c>
      <c r="G425">
        <f>INDEX('ECOMMERS SALES'!$A:$J,MATCH('index match'!$A425,'ECOMMERS SALES'!$C:$C,0),MATCH('index match'!G$1,ECOMMERS_SALES[#Headers],0))</f>
        <v>20144</v>
      </c>
      <c r="H425" t="str">
        <f>INDEX('ECOMMERS SALES'!$A:$J,MATCH('index match'!$A425,'ECOMMERS SALES'!$C:$C,0),MATCH('index match'!H$1,ECOMMERS_SALES[#Headers],0))</f>
        <v>Pune</v>
      </c>
      <c r="I425" t="str">
        <f>INDEX('ECOMMERS SALES'!$A:$J,MATCH('index match'!$A425,'ECOMMERS SALES'!$C:$C,0),MATCH('index match'!I$1,ECOMMERS_SALES[#Headers],0))</f>
        <v>Premimum</v>
      </c>
      <c r="J425" t="str">
        <f>INDEX('ECOMMERS SALES'!$A:$J,MATCH('index match'!$A425,'ECOMMERS SALES'!$C:$C,0),MATCH('index match'!J$1,ECOMMERS_SALES[#Headers],0))</f>
        <v>Card</v>
      </c>
    </row>
    <row r="426" spans="1:10" x14ac:dyDescent="0.35">
      <c r="A426" t="s">
        <v>29</v>
      </c>
      <c r="B426">
        <f>INDEX('ECOMMERS SALES'!$A:$J,MATCH('index match'!$A426,'ECOMMERS SALES'!$C:$C,0),MATCH('index match'!B$1,ECOMMERS_SALES[#Headers],0))</f>
        <v>1005</v>
      </c>
      <c r="C426" t="str">
        <f>INDEX('ECOMMERS SALES'!$A:$J,MATCH('index match'!$A426,'ECOMMERS SALES'!$C:$C,0),MATCH('index match'!C$1,ECOMMERS_SALES[#Headers],0))</f>
        <v>06-01-2025</v>
      </c>
      <c r="D426" t="str">
        <f>INDEX('ECOMMERS SALES'!$A:$J,MATCH('index match'!$A426,'ECOMMERS SALES'!$C:$C,0),MATCH('index match'!D$1,ECOMMERS_SALES[#Headers],0))</f>
        <v>Other</v>
      </c>
      <c r="E426">
        <f>INDEX('ECOMMERS SALES'!$A:$J,MATCH('index match'!$A426,'ECOMMERS SALES'!$C:$C,0),MATCH('index match'!E$1,ECOMMERS_SALES[#Headers],0))</f>
        <v>2</v>
      </c>
      <c r="F426">
        <f>INDEX('ECOMMERS SALES'!$A:$J,MATCH('index match'!$A426,'ECOMMERS SALES'!$C:$C,0),MATCH('index match'!F$1,ECOMMERS_SALES[#Headers],0))</f>
        <v>920</v>
      </c>
      <c r="G426">
        <f>INDEX('ECOMMERS SALES'!$A:$J,MATCH('index match'!$A426,'ECOMMERS SALES'!$C:$C,0),MATCH('index match'!G$1,ECOMMERS_SALES[#Headers],0))</f>
        <v>1840</v>
      </c>
      <c r="H426" t="str">
        <f>INDEX('ECOMMERS SALES'!$A:$J,MATCH('index match'!$A426,'ECOMMERS SALES'!$C:$C,0),MATCH('index match'!H$1,ECOMMERS_SALES[#Headers],0))</f>
        <v>Pune</v>
      </c>
      <c r="I426" t="str">
        <f>INDEX('ECOMMERS SALES'!$A:$J,MATCH('index match'!$A426,'ECOMMERS SALES'!$C:$C,0),MATCH('index match'!I$1,ECOMMERS_SALES[#Headers],0))</f>
        <v>New</v>
      </c>
      <c r="J426" t="str">
        <f>INDEX('ECOMMERS SALES'!$A:$J,MATCH('index match'!$A426,'ECOMMERS SALES'!$C:$C,0),MATCH('index match'!J$1,ECOMMERS_SALES[#Headers],0))</f>
        <v>UPI</v>
      </c>
    </row>
    <row r="427" spans="1:10" x14ac:dyDescent="0.35">
      <c r="A427" t="s">
        <v>31</v>
      </c>
      <c r="B427">
        <f>INDEX('ECOMMERS SALES'!$A:$J,MATCH('index match'!$A427,'ECOMMERS SALES'!$C:$C,0),MATCH('index match'!B$1,ECOMMERS_SALES[#Headers],0))</f>
        <v>1006</v>
      </c>
      <c r="C427" t="str">
        <f>INDEX('ECOMMERS SALES'!$A:$J,MATCH('index match'!$A427,'ECOMMERS SALES'!$C:$C,0),MATCH('index match'!C$1,ECOMMERS_SALES[#Headers],0))</f>
        <v>07-01-2025</v>
      </c>
      <c r="D427" t="str">
        <f>INDEX('ECOMMERS SALES'!$A:$J,MATCH('index match'!$A427,'ECOMMERS SALES'!$C:$C,0),MATCH('index match'!D$1,ECOMMERS_SALES[#Headers],0))</f>
        <v>Electronics</v>
      </c>
      <c r="E427">
        <f>INDEX('ECOMMERS SALES'!$A:$J,MATCH('index match'!$A427,'ECOMMERS SALES'!$C:$C,0),MATCH('index match'!E$1,ECOMMERS_SALES[#Headers],0))</f>
        <v>1</v>
      </c>
      <c r="F427">
        <f>INDEX('ECOMMERS SALES'!$A:$J,MATCH('index match'!$A427,'ECOMMERS SALES'!$C:$C,0),MATCH('index match'!F$1,ECOMMERS_SALES[#Headers],0))</f>
        <v>13225</v>
      </c>
      <c r="G427">
        <f>INDEX('ECOMMERS SALES'!$A:$J,MATCH('index match'!$A427,'ECOMMERS SALES'!$C:$C,0),MATCH('index match'!G$1,ECOMMERS_SALES[#Headers],0))</f>
        <v>13225</v>
      </c>
      <c r="H427" t="str">
        <f>INDEX('ECOMMERS SALES'!$A:$J,MATCH('index match'!$A427,'ECOMMERS SALES'!$C:$C,0),MATCH('index match'!H$1,ECOMMERS_SALES[#Headers],0))</f>
        <v>Delhi</v>
      </c>
      <c r="I427" t="str">
        <f>INDEX('ECOMMERS SALES'!$A:$J,MATCH('index match'!$A427,'ECOMMERS SALES'!$C:$C,0),MATCH('index match'!I$1,ECOMMERS_SALES[#Headers],0))</f>
        <v>Returning</v>
      </c>
      <c r="J427" t="str">
        <f>INDEX('ECOMMERS SALES'!$A:$J,MATCH('index match'!$A427,'ECOMMERS SALES'!$C:$C,0),MATCH('index match'!J$1,ECOMMERS_SALES[#Headers],0))</f>
        <v>COD</v>
      </c>
    </row>
    <row r="428" spans="1:10" x14ac:dyDescent="0.35">
      <c r="A428" t="s">
        <v>35</v>
      </c>
      <c r="B428">
        <f>INDEX('ECOMMERS SALES'!$A:$J,MATCH('index match'!$A428,'ECOMMERS SALES'!$C:$C,0),MATCH('index match'!B$1,ECOMMERS_SALES[#Headers],0))</f>
        <v>1007</v>
      </c>
      <c r="C428" t="str">
        <f>INDEX('ECOMMERS SALES'!$A:$J,MATCH('index match'!$A428,'ECOMMERS SALES'!$C:$C,0),MATCH('index match'!C$1,ECOMMERS_SALES[#Headers],0))</f>
        <v>08-01-2025</v>
      </c>
      <c r="D428" t="str">
        <f>INDEX('ECOMMERS SALES'!$A:$J,MATCH('index match'!$A428,'ECOMMERS SALES'!$C:$C,0),MATCH('index match'!D$1,ECOMMERS_SALES[#Headers],0))</f>
        <v>Books</v>
      </c>
      <c r="E428">
        <f>INDEX('ECOMMERS SALES'!$A:$J,MATCH('index match'!$A428,'ECOMMERS SALES'!$C:$C,0),MATCH('index match'!E$1,ECOMMERS_SALES[#Headers],0))</f>
        <v>3</v>
      </c>
      <c r="F428">
        <f>INDEX('ECOMMERS SALES'!$A:$J,MATCH('index match'!$A428,'ECOMMERS SALES'!$C:$C,0),MATCH('index match'!F$1,ECOMMERS_SALES[#Headers],0))</f>
        <v>621</v>
      </c>
      <c r="G428">
        <f>INDEX('ECOMMERS SALES'!$A:$J,MATCH('index match'!$A428,'ECOMMERS SALES'!$C:$C,0),MATCH('index match'!G$1,ECOMMERS_SALES[#Headers],0))</f>
        <v>1863</v>
      </c>
      <c r="H428" t="str">
        <f>INDEX('ECOMMERS SALES'!$A:$J,MATCH('index match'!$A428,'ECOMMERS SALES'!$C:$C,0),MATCH('index match'!H$1,ECOMMERS_SALES[#Headers],0))</f>
        <v>Hyderabad</v>
      </c>
      <c r="I428" t="str">
        <f>INDEX('ECOMMERS SALES'!$A:$J,MATCH('index match'!$A428,'ECOMMERS SALES'!$C:$C,0),MATCH('index match'!I$1,ECOMMERS_SALES[#Headers],0))</f>
        <v>Premimum</v>
      </c>
      <c r="J428" t="str">
        <f>INDEX('ECOMMERS SALES'!$A:$J,MATCH('index match'!$A428,'ECOMMERS SALES'!$C:$C,0),MATCH('index match'!J$1,ECOMMERS_SALES[#Headers],0))</f>
        <v>UPI</v>
      </c>
    </row>
    <row r="429" spans="1:10" x14ac:dyDescent="0.35">
      <c r="A429" t="s">
        <v>39</v>
      </c>
      <c r="B429">
        <f>INDEX('ECOMMERS SALES'!$A:$J,MATCH('index match'!$A429,'ECOMMERS SALES'!$C:$C,0),MATCH('index match'!B$1,ECOMMERS_SALES[#Headers],0))</f>
        <v>1008</v>
      </c>
      <c r="C429" t="str">
        <f>INDEX('ECOMMERS SALES'!$A:$J,MATCH('index match'!$A429,'ECOMMERS SALES'!$C:$C,0),MATCH('index match'!C$1,ECOMMERS_SALES[#Headers],0))</f>
        <v>09-01-2025</v>
      </c>
      <c r="D429" t="str">
        <f>INDEX('ECOMMERS SALES'!$A:$J,MATCH('index match'!$A429,'ECOMMERS SALES'!$C:$C,0),MATCH('index match'!D$1,ECOMMERS_SALES[#Headers],0))</f>
        <v>Fashion</v>
      </c>
      <c r="E429">
        <f>INDEX('ECOMMERS SALES'!$A:$J,MATCH('index match'!$A429,'ECOMMERS SALES'!$C:$C,0),MATCH('index match'!E$1,ECOMMERS_SALES[#Headers],0))</f>
        <v>2</v>
      </c>
      <c r="F429">
        <f>INDEX('ECOMMERS SALES'!$A:$J,MATCH('index match'!$A429,'ECOMMERS SALES'!$C:$C,0),MATCH('index match'!F$1,ECOMMERS_SALES[#Headers],0))</f>
        <v>905</v>
      </c>
      <c r="G429">
        <f>INDEX('ECOMMERS SALES'!$A:$J,MATCH('index match'!$A429,'ECOMMERS SALES'!$C:$C,0),MATCH('index match'!G$1,ECOMMERS_SALES[#Headers],0))</f>
        <v>1810</v>
      </c>
      <c r="H429" t="str">
        <f>INDEX('ECOMMERS SALES'!$A:$J,MATCH('index match'!$A429,'ECOMMERS SALES'!$C:$C,0),MATCH('index match'!H$1,ECOMMERS_SALES[#Headers],0))</f>
        <v>Bangalore</v>
      </c>
      <c r="I429" t="str">
        <f>INDEX('ECOMMERS SALES'!$A:$J,MATCH('index match'!$A429,'ECOMMERS SALES'!$C:$C,0),MATCH('index match'!I$1,ECOMMERS_SALES[#Headers],0))</f>
        <v>New</v>
      </c>
      <c r="J429" t="str">
        <f>INDEX('ECOMMERS SALES'!$A:$J,MATCH('index match'!$A429,'ECOMMERS SALES'!$C:$C,0),MATCH('index match'!J$1,ECOMMERS_SALES[#Headers],0))</f>
        <v>COD</v>
      </c>
    </row>
    <row r="430" spans="1:10" x14ac:dyDescent="0.35">
      <c r="A430" t="s">
        <v>42</v>
      </c>
      <c r="B430">
        <f>INDEX('ECOMMERS SALES'!$A:$J,MATCH('index match'!$A430,'ECOMMERS SALES'!$C:$C,0),MATCH('index match'!B$1,ECOMMERS_SALES[#Headers],0))</f>
        <v>1009</v>
      </c>
      <c r="C430" t="str">
        <f>INDEX('ECOMMERS SALES'!$A:$J,MATCH('index match'!$A430,'ECOMMERS SALES'!$C:$C,0),MATCH('index match'!C$1,ECOMMERS_SALES[#Headers],0))</f>
        <v>10-01-2025</v>
      </c>
      <c r="D430" t="str">
        <f>INDEX('ECOMMERS SALES'!$A:$J,MATCH('index match'!$A430,'ECOMMERS SALES'!$C:$C,0),MATCH('index match'!D$1,ECOMMERS_SALES[#Headers],0))</f>
        <v>Electronics</v>
      </c>
      <c r="E430">
        <f>INDEX('ECOMMERS SALES'!$A:$J,MATCH('index match'!$A430,'ECOMMERS SALES'!$C:$C,0),MATCH('index match'!E$1,ECOMMERS_SALES[#Headers],0))</f>
        <v>1</v>
      </c>
      <c r="F430">
        <f>INDEX('ECOMMERS SALES'!$A:$J,MATCH('index match'!$A430,'ECOMMERS SALES'!$C:$C,0),MATCH('index match'!F$1,ECOMMERS_SALES[#Headers],0))</f>
        <v>8563</v>
      </c>
      <c r="G430">
        <f>INDEX('ECOMMERS SALES'!$A:$J,MATCH('index match'!$A430,'ECOMMERS SALES'!$C:$C,0),MATCH('index match'!G$1,ECOMMERS_SALES[#Headers],0))</f>
        <v>8563</v>
      </c>
      <c r="H430" t="str">
        <f>INDEX('ECOMMERS SALES'!$A:$J,MATCH('index match'!$A430,'ECOMMERS SALES'!$C:$C,0),MATCH('index match'!H$1,ECOMMERS_SALES[#Headers],0))</f>
        <v>Hyderabad</v>
      </c>
      <c r="I430" t="str">
        <f>INDEX('ECOMMERS SALES'!$A:$J,MATCH('index match'!$A430,'ECOMMERS SALES'!$C:$C,0),MATCH('index match'!I$1,ECOMMERS_SALES[#Headers],0))</f>
        <v>Returning</v>
      </c>
      <c r="J430" t="str">
        <f>INDEX('ECOMMERS SALES'!$A:$J,MATCH('index match'!$A430,'ECOMMERS SALES'!$C:$C,0),MATCH('index match'!J$1,ECOMMERS_SALES[#Headers],0))</f>
        <v>Card</v>
      </c>
    </row>
    <row r="431" spans="1:10" x14ac:dyDescent="0.35">
      <c r="A431" t="s">
        <v>44</v>
      </c>
      <c r="B431">
        <f>INDEX('ECOMMERS SALES'!$A:$J,MATCH('index match'!$A431,'ECOMMERS SALES'!$C:$C,0),MATCH('index match'!B$1,ECOMMERS_SALES[#Headers],0))</f>
        <v>1010</v>
      </c>
      <c r="C431" t="str">
        <f>INDEX('ECOMMERS SALES'!$A:$J,MATCH('index match'!$A431,'ECOMMERS SALES'!$C:$C,0),MATCH('index match'!C$1,ECOMMERS_SALES[#Headers],0))</f>
        <v>11-01-2025</v>
      </c>
      <c r="D431" t="str">
        <f>INDEX('ECOMMERS SALES'!$A:$J,MATCH('index match'!$A431,'ECOMMERS SALES'!$C:$C,0),MATCH('index match'!D$1,ECOMMERS_SALES[#Headers],0))</f>
        <v>Other</v>
      </c>
      <c r="E431">
        <f>INDEX('ECOMMERS SALES'!$A:$J,MATCH('index match'!$A431,'ECOMMERS SALES'!$C:$C,0),MATCH('index match'!E$1,ECOMMERS_SALES[#Headers],0))</f>
        <v>1</v>
      </c>
      <c r="F431">
        <f>INDEX('ECOMMERS SALES'!$A:$J,MATCH('index match'!$A431,'ECOMMERS SALES'!$C:$C,0),MATCH('index match'!F$1,ECOMMERS_SALES[#Headers],0))</f>
        <v>268</v>
      </c>
      <c r="G431">
        <f>INDEX('ECOMMERS SALES'!$A:$J,MATCH('index match'!$A431,'ECOMMERS SALES'!$C:$C,0),MATCH('index match'!G$1,ECOMMERS_SALES[#Headers],0))</f>
        <v>268</v>
      </c>
      <c r="H431" t="str">
        <f>INDEX('ECOMMERS SALES'!$A:$J,MATCH('index match'!$A431,'ECOMMERS SALES'!$C:$C,0),MATCH('index match'!H$1,ECOMMERS_SALES[#Headers],0))</f>
        <v>Chennai</v>
      </c>
      <c r="I431" t="str">
        <f>INDEX('ECOMMERS SALES'!$A:$J,MATCH('index match'!$A431,'ECOMMERS SALES'!$C:$C,0),MATCH('index match'!I$1,ECOMMERS_SALES[#Headers],0))</f>
        <v>New</v>
      </c>
      <c r="J431" t="str">
        <f>INDEX('ECOMMERS SALES'!$A:$J,MATCH('index match'!$A431,'ECOMMERS SALES'!$C:$C,0),MATCH('index match'!J$1,ECOMMERS_SALES[#Headers],0))</f>
        <v>UPI</v>
      </c>
    </row>
    <row r="432" spans="1:10" x14ac:dyDescent="0.35">
      <c r="A432" t="s">
        <v>11</v>
      </c>
      <c r="B432">
        <f>INDEX('ECOMMERS SALES'!$A:$J,MATCH('index match'!$A432,'ECOMMERS SALES'!$C:$C,0),MATCH('index match'!B$1,ECOMMERS_SALES[#Headers],0))</f>
        <v>1001</v>
      </c>
      <c r="C432" t="str">
        <f>INDEX('ECOMMERS SALES'!$A:$J,MATCH('index match'!$A432,'ECOMMERS SALES'!$C:$C,0),MATCH('index match'!C$1,ECOMMERS_SALES[#Headers],0))</f>
        <v>02-01-2025</v>
      </c>
      <c r="D432" t="str">
        <f>INDEX('ECOMMERS SALES'!$A:$J,MATCH('index match'!$A432,'ECOMMERS SALES'!$C:$C,0),MATCH('index match'!D$1,ECOMMERS_SALES[#Headers],0))</f>
        <v>Electronics</v>
      </c>
      <c r="E432">
        <f>INDEX('ECOMMERS SALES'!$A:$J,MATCH('index match'!$A432,'ECOMMERS SALES'!$C:$C,0),MATCH('index match'!E$1,ECOMMERS_SALES[#Headers],0))</f>
        <v>2</v>
      </c>
      <c r="F432">
        <f>INDEX('ECOMMERS SALES'!$A:$J,MATCH('index match'!$A432,'ECOMMERS SALES'!$C:$C,0),MATCH('index match'!F$1,ECOMMERS_SALES[#Headers],0))</f>
        <v>50353</v>
      </c>
      <c r="G432">
        <f>INDEX('ECOMMERS SALES'!$A:$J,MATCH('index match'!$A432,'ECOMMERS SALES'!$C:$C,0),MATCH('index match'!G$1,ECOMMERS_SALES[#Headers],0))</f>
        <v>100706</v>
      </c>
      <c r="H432" t="str">
        <f>INDEX('ECOMMERS SALES'!$A:$J,MATCH('index match'!$A432,'ECOMMERS SALES'!$C:$C,0),MATCH('index match'!H$1,ECOMMERS_SALES[#Headers],0))</f>
        <v>Chennai</v>
      </c>
      <c r="I432" t="str">
        <f>INDEX('ECOMMERS SALES'!$A:$J,MATCH('index match'!$A432,'ECOMMERS SALES'!$C:$C,0),MATCH('index match'!I$1,ECOMMERS_SALES[#Headers],0))</f>
        <v>Premimum</v>
      </c>
      <c r="J432" t="str">
        <f>INDEX('ECOMMERS SALES'!$A:$J,MATCH('index match'!$A432,'ECOMMERS SALES'!$C:$C,0),MATCH('index match'!J$1,ECOMMERS_SALES[#Headers],0))</f>
        <v>Card</v>
      </c>
    </row>
    <row r="433" spans="1:10" x14ac:dyDescent="0.35">
      <c r="A433" t="s">
        <v>17</v>
      </c>
      <c r="B433">
        <f>INDEX('ECOMMERS SALES'!$A:$J,MATCH('index match'!$A433,'ECOMMERS SALES'!$C:$C,0),MATCH('index match'!B$1,ECOMMERS_SALES[#Headers],0))</f>
        <v>1002</v>
      </c>
      <c r="C433" t="str">
        <f>INDEX('ECOMMERS SALES'!$A:$J,MATCH('index match'!$A433,'ECOMMERS SALES'!$C:$C,0),MATCH('index match'!C$1,ECOMMERS_SALES[#Headers],0))</f>
        <v>03-01-2025</v>
      </c>
      <c r="D433" t="str">
        <f>INDEX('ECOMMERS SALES'!$A:$J,MATCH('index match'!$A433,'ECOMMERS SALES'!$C:$C,0),MATCH('index match'!D$1,ECOMMERS_SALES[#Headers],0))</f>
        <v>Electronics</v>
      </c>
      <c r="E433">
        <f>INDEX('ECOMMERS SALES'!$A:$J,MATCH('index match'!$A433,'ECOMMERS SALES'!$C:$C,0),MATCH('index match'!E$1,ECOMMERS_SALES[#Headers],0))</f>
        <v>2</v>
      </c>
      <c r="F433">
        <f>INDEX('ECOMMERS SALES'!$A:$J,MATCH('index match'!$A433,'ECOMMERS SALES'!$C:$C,0),MATCH('index match'!F$1,ECOMMERS_SALES[#Headers],0))</f>
        <v>2008</v>
      </c>
      <c r="G433">
        <f>INDEX('ECOMMERS SALES'!$A:$J,MATCH('index match'!$A433,'ECOMMERS SALES'!$C:$C,0),MATCH('index match'!G$1,ECOMMERS_SALES[#Headers],0))</f>
        <v>4016</v>
      </c>
      <c r="H433" t="str">
        <f>INDEX('ECOMMERS SALES'!$A:$J,MATCH('index match'!$A433,'ECOMMERS SALES'!$C:$C,0),MATCH('index match'!H$1,ECOMMERS_SALES[#Headers],0))</f>
        <v>Delhi</v>
      </c>
      <c r="I433" t="str">
        <f>INDEX('ECOMMERS SALES'!$A:$J,MATCH('index match'!$A433,'ECOMMERS SALES'!$C:$C,0),MATCH('index match'!I$1,ECOMMERS_SALES[#Headers],0))</f>
        <v>New</v>
      </c>
      <c r="J433" t="str">
        <f>INDEX('ECOMMERS SALES'!$A:$J,MATCH('index match'!$A433,'ECOMMERS SALES'!$C:$C,0),MATCH('index match'!J$1,ECOMMERS_SALES[#Headers],0))</f>
        <v>UPI</v>
      </c>
    </row>
    <row r="434" spans="1:10" x14ac:dyDescent="0.35">
      <c r="A434" t="s">
        <v>22</v>
      </c>
      <c r="B434">
        <f>INDEX('ECOMMERS SALES'!$A:$J,MATCH('index match'!$A434,'ECOMMERS SALES'!$C:$C,0),MATCH('index match'!B$1,ECOMMERS_SALES[#Headers],0))</f>
        <v>1003</v>
      </c>
      <c r="C434" t="str">
        <f>INDEX('ECOMMERS SALES'!$A:$J,MATCH('index match'!$A434,'ECOMMERS SALES'!$C:$C,0),MATCH('index match'!C$1,ECOMMERS_SALES[#Headers],0))</f>
        <v>04-01-2025</v>
      </c>
      <c r="D434" t="str">
        <f>INDEX('ECOMMERS SALES'!$A:$J,MATCH('index match'!$A434,'ECOMMERS SALES'!$C:$C,0),MATCH('index match'!D$1,ECOMMERS_SALES[#Headers],0))</f>
        <v>Fashion</v>
      </c>
      <c r="E434">
        <f>INDEX('ECOMMERS SALES'!$A:$J,MATCH('index match'!$A434,'ECOMMERS SALES'!$C:$C,0),MATCH('index match'!E$1,ECOMMERS_SALES[#Headers],0))</f>
        <v>1</v>
      </c>
      <c r="F434">
        <f>INDEX('ECOMMERS SALES'!$A:$J,MATCH('index match'!$A434,'ECOMMERS SALES'!$C:$C,0),MATCH('index match'!F$1,ECOMMERS_SALES[#Headers],0))</f>
        <v>4736</v>
      </c>
      <c r="G434">
        <f>INDEX('ECOMMERS SALES'!$A:$J,MATCH('index match'!$A434,'ECOMMERS SALES'!$C:$C,0),MATCH('index match'!G$1,ECOMMERS_SALES[#Headers],0))</f>
        <v>4736</v>
      </c>
      <c r="H434" t="str">
        <f>INDEX('ECOMMERS SALES'!$A:$J,MATCH('index match'!$A434,'ECOMMERS SALES'!$C:$C,0),MATCH('index match'!H$1,ECOMMERS_SALES[#Headers],0))</f>
        <v>Chennai</v>
      </c>
      <c r="I434" t="str">
        <f>INDEX('ECOMMERS SALES'!$A:$J,MATCH('index match'!$A434,'ECOMMERS SALES'!$C:$C,0),MATCH('index match'!I$1,ECOMMERS_SALES[#Headers],0))</f>
        <v>New</v>
      </c>
      <c r="J434" t="str">
        <f>INDEX('ECOMMERS SALES'!$A:$J,MATCH('index match'!$A434,'ECOMMERS SALES'!$C:$C,0),MATCH('index match'!J$1,ECOMMERS_SALES[#Headers],0))</f>
        <v>UPI</v>
      </c>
    </row>
    <row r="435" spans="1:10" x14ac:dyDescent="0.35">
      <c r="A435" t="s">
        <v>25</v>
      </c>
      <c r="B435">
        <f>INDEX('ECOMMERS SALES'!$A:$J,MATCH('index match'!$A435,'ECOMMERS SALES'!$C:$C,0),MATCH('index match'!B$1,ECOMMERS_SALES[#Headers],0))</f>
        <v>1004</v>
      </c>
      <c r="C435" t="str">
        <f>INDEX('ECOMMERS SALES'!$A:$J,MATCH('index match'!$A435,'ECOMMERS SALES'!$C:$C,0),MATCH('index match'!C$1,ECOMMERS_SALES[#Headers],0))</f>
        <v>05-01-2025</v>
      </c>
      <c r="D435" t="str">
        <f>INDEX('ECOMMERS SALES'!$A:$J,MATCH('index match'!$A435,'ECOMMERS SALES'!$C:$C,0),MATCH('index match'!D$1,ECOMMERS_SALES[#Headers],0))</f>
        <v>Other</v>
      </c>
      <c r="E435">
        <f>INDEX('ECOMMERS SALES'!$A:$J,MATCH('index match'!$A435,'ECOMMERS SALES'!$C:$C,0),MATCH('index match'!E$1,ECOMMERS_SALES[#Headers],0))</f>
        <v>2</v>
      </c>
      <c r="F435">
        <f>INDEX('ECOMMERS SALES'!$A:$J,MATCH('index match'!$A435,'ECOMMERS SALES'!$C:$C,0),MATCH('index match'!F$1,ECOMMERS_SALES[#Headers],0))</f>
        <v>10072</v>
      </c>
      <c r="G435">
        <f>INDEX('ECOMMERS SALES'!$A:$J,MATCH('index match'!$A435,'ECOMMERS SALES'!$C:$C,0),MATCH('index match'!G$1,ECOMMERS_SALES[#Headers],0))</f>
        <v>20144</v>
      </c>
      <c r="H435" t="str">
        <f>INDEX('ECOMMERS SALES'!$A:$J,MATCH('index match'!$A435,'ECOMMERS SALES'!$C:$C,0),MATCH('index match'!H$1,ECOMMERS_SALES[#Headers],0))</f>
        <v>Pune</v>
      </c>
      <c r="I435" t="str">
        <f>INDEX('ECOMMERS SALES'!$A:$J,MATCH('index match'!$A435,'ECOMMERS SALES'!$C:$C,0),MATCH('index match'!I$1,ECOMMERS_SALES[#Headers],0))</f>
        <v>Premimum</v>
      </c>
      <c r="J435" t="str">
        <f>INDEX('ECOMMERS SALES'!$A:$J,MATCH('index match'!$A435,'ECOMMERS SALES'!$C:$C,0),MATCH('index match'!J$1,ECOMMERS_SALES[#Headers],0))</f>
        <v>Card</v>
      </c>
    </row>
    <row r="436" spans="1:10" x14ac:dyDescent="0.35">
      <c r="A436" t="s">
        <v>29</v>
      </c>
      <c r="B436">
        <f>INDEX('ECOMMERS SALES'!$A:$J,MATCH('index match'!$A436,'ECOMMERS SALES'!$C:$C,0),MATCH('index match'!B$1,ECOMMERS_SALES[#Headers],0))</f>
        <v>1005</v>
      </c>
      <c r="C436" t="str">
        <f>INDEX('ECOMMERS SALES'!$A:$J,MATCH('index match'!$A436,'ECOMMERS SALES'!$C:$C,0),MATCH('index match'!C$1,ECOMMERS_SALES[#Headers],0))</f>
        <v>06-01-2025</v>
      </c>
      <c r="D436" t="str">
        <f>INDEX('ECOMMERS SALES'!$A:$J,MATCH('index match'!$A436,'ECOMMERS SALES'!$C:$C,0),MATCH('index match'!D$1,ECOMMERS_SALES[#Headers],0))</f>
        <v>Other</v>
      </c>
      <c r="E436">
        <f>INDEX('ECOMMERS SALES'!$A:$J,MATCH('index match'!$A436,'ECOMMERS SALES'!$C:$C,0),MATCH('index match'!E$1,ECOMMERS_SALES[#Headers],0))</f>
        <v>2</v>
      </c>
      <c r="F436">
        <f>INDEX('ECOMMERS SALES'!$A:$J,MATCH('index match'!$A436,'ECOMMERS SALES'!$C:$C,0),MATCH('index match'!F$1,ECOMMERS_SALES[#Headers],0))</f>
        <v>920</v>
      </c>
      <c r="G436">
        <f>INDEX('ECOMMERS SALES'!$A:$J,MATCH('index match'!$A436,'ECOMMERS SALES'!$C:$C,0),MATCH('index match'!G$1,ECOMMERS_SALES[#Headers],0))</f>
        <v>1840</v>
      </c>
      <c r="H436" t="str">
        <f>INDEX('ECOMMERS SALES'!$A:$J,MATCH('index match'!$A436,'ECOMMERS SALES'!$C:$C,0),MATCH('index match'!H$1,ECOMMERS_SALES[#Headers],0))</f>
        <v>Pune</v>
      </c>
      <c r="I436" t="str">
        <f>INDEX('ECOMMERS SALES'!$A:$J,MATCH('index match'!$A436,'ECOMMERS SALES'!$C:$C,0),MATCH('index match'!I$1,ECOMMERS_SALES[#Headers],0))</f>
        <v>New</v>
      </c>
      <c r="J436" t="str">
        <f>INDEX('ECOMMERS SALES'!$A:$J,MATCH('index match'!$A436,'ECOMMERS SALES'!$C:$C,0),MATCH('index match'!J$1,ECOMMERS_SALES[#Headers],0))</f>
        <v>UPI</v>
      </c>
    </row>
    <row r="437" spans="1:10" x14ac:dyDescent="0.35">
      <c r="A437" t="s">
        <v>31</v>
      </c>
      <c r="B437">
        <f>INDEX('ECOMMERS SALES'!$A:$J,MATCH('index match'!$A437,'ECOMMERS SALES'!$C:$C,0),MATCH('index match'!B$1,ECOMMERS_SALES[#Headers],0))</f>
        <v>1006</v>
      </c>
      <c r="C437" t="str">
        <f>INDEX('ECOMMERS SALES'!$A:$J,MATCH('index match'!$A437,'ECOMMERS SALES'!$C:$C,0),MATCH('index match'!C$1,ECOMMERS_SALES[#Headers],0))</f>
        <v>07-01-2025</v>
      </c>
      <c r="D437" t="str">
        <f>INDEX('ECOMMERS SALES'!$A:$J,MATCH('index match'!$A437,'ECOMMERS SALES'!$C:$C,0),MATCH('index match'!D$1,ECOMMERS_SALES[#Headers],0))</f>
        <v>Electronics</v>
      </c>
      <c r="E437">
        <f>INDEX('ECOMMERS SALES'!$A:$J,MATCH('index match'!$A437,'ECOMMERS SALES'!$C:$C,0),MATCH('index match'!E$1,ECOMMERS_SALES[#Headers],0))</f>
        <v>1</v>
      </c>
      <c r="F437">
        <f>INDEX('ECOMMERS SALES'!$A:$J,MATCH('index match'!$A437,'ECOMMERS SALES'!$C:$C,0),MATCH('index match'!F$1,ECOMMERS_SALES[#Headers],0))</f>
        <v>13225</v>
      </c>
      <c r="G437">
        <f>INDEX('ECOMMERS SALES'!$A:$J,MATCH('index match'!$A437,'ECOMMERS SALES'!$C:$C,0),MATCH('index match'!G$1,ECOMMERS_SALES[#Headers],0))</f>
        <v>13225</v>
      </c>
      <c r="H437" t="str">
        <f>INDEX('ECOMMERS SALES'!$A:$J,MATCH('index match'!$A437,'ECOMMERS SALES'!$C:$C,0),MATCH('index match'!H$1,ECOMMERS_SALES[#Headers],0))</f>
        <v>Delhi</v>
      </c>
      <c r="I437" t="str">
        <f>INDEX('ECOMMERS SALES'!$A:$J,MATCH('index match'!$A437,'ECOMMERS SALES'!$C:$C,0),MATCH('index match'!I$1,ECOMMERS_SALES[#Headers],0))</f>
        <v>Returning</v>
      </c>
      <c r="J437" t="str">
        <f>INDEX('ECOMMERS SALES'!$A:$J,MATCH('index match'!$A437,'ECOMMERS SALES'!$C:$C,0),MATCH('index match'!J$1,ECOMMERS_SALES[#Headers],0))</f>
        <v>COD</v>
      </c>
    </row>
    <row r="438" spans="1:10" x14ac:dyDescent="0.35">
      <c r="A438" t="s">
        <v>35</v>
      </c>
      <c r="B438">
        <f>INDEX('ECOMMERS SALES'!$A:$J,MATCH('index match'!$A438,'ECOMMERS SALES'!$C:$C,0),MATCH('index match'!B$1,ECOMMERS_SALES[#Headers],0))</f>
        <v>1007</v>
      </c>
      <c r="C438" t="str">
        <f>INDEX('ECOMMERS SALES'!$A:$J,MATCH('index match'!$A438,'ECOMMERS SALES'!$C:$C,0),MATCH('index match'!C$1,ECOMMERS_SALES[#Headers],0))</f>
        <v>08-01-2025</v>
      </c>
      <c r="D438" t="str">
        <f>INDEX('ECOMMERS SALES'!$A:$J,MATCH('index match'!$A438,'ECOMMERS SALES'!$C:$C,0),MATCH('index match'!D$1,ECOMMERS_SALES[#Headers],0))</f>
        <v>Books</v>
      </c>
      <c r="E438">
        <f>INDEX('ECOMMERS SALES'!$A:$J,MATCH('index match'!$A438,'ECOMMERS SALES'!$C:$C,0),MATCH('index match'!E$1,ECOMMERS_SALES[#Headers],0))</f>
        <v>3</v>
      </c>
      <c r="F438">
        <f>INDEX('ECOMMERS SALES'!$A:$J,MATCH('index match'!$A438,'ECOMMERS SALES'!$C:$C,0),MATCH('index match'!F$1,ECOMMERS_SALES[#Headers],0))</f>
        <v>621</v>
      </c>
      <c r="G438">
        <f>INDEX('ECOMMERS SALES'!$A:$J,MATCH('index match'!$A438,'ECOMMERS SALES'!$C:$C,0),MATCH('index match'!G$1,ECOMMERS_SALES[#Headers],0))</f>
        <v>1863</v>
      </c>
      <c r="H438" t="str">
        <f>INDEX('ECOMMERS SALES'!$A:$J,MATCH('index match'!$A438,'ECOMMERS SALES'!$C:$C,0),MATCH('index match'!H$1,ECOMMERS_SALES[#Headers],0))</f>
        <v>Hyderabad</v>
      </c>
      <c r="I438" t="str">
        <f>INDEX('ECOMMERS SALES'!$A:$J,MATCH('index match'!$A438,'ECOMMERS SALES'!$C:$C,0),MATCH('index match'!I$1,ECOMMERS_SALES[#Headers],0))</f>
        <v>Premimum</v>
      </c>
      <c r="J438" t="str">
        <f>INDEX('ECOMMERS SALES'!$A:$J,MATCH('index match'!$A438,'ECOMMERS SALES'!$C:$C,0),MATCH('index match'!J$1,ECOMMERS_SALES[#Headers],0))</f>
        <v>UPI</v>
      </c>
    </row>
    <row r="439" spans="1:10" x14ac:dyDescent="0.35">
      <c r="A439" t="s">
        <v>39</v>
      </c>
      <c r="B439">
        <f>INDEX('ECOMMERS SALES'!$A:$J,MATCH('index match'!$A439,'ECOMMERS SALES'!$C:$C,0),MATCH('index match'!B$1,ECOMMERS_SALES[#Headers],0))</f>
        <v>1008</v>
      </c>
      <c r="C439" t="str">
        <f>INDEX('ECOMMERS SALES'!$A:$J,MATCH('index match'!$A439,'ECOMMERS SALES'!$C:$C,0),MATCH('index match'!C$1,ECOMMERS_SALES[#Headers],0))</f>
        <v>09-01-2025</v>
      </c>
      <c r="D439" t="str">
        <f>INDEX('ECOMMERS SALES'!$A:$J,MATCH('index match'!$A439,'ECOMMERS SALES'!$C:$C,0),MATCH('index match'!D$1,ECOMMERS_SALES[#Headers],0))</f>
        <v>Fashion</v>
      </c>
      <c r="E439">
        <f>INDEX('ECOMMERS SALES'!$A:$J,MATCH('index match'!$A439,'ECOMMERS SALES'!$C:$C,0),MATCH('index match'!E$1,ECOMMERS_SALES[#Headers],0))</f>
        <v>2</v>
      </c>
      <c r="F439">
        <f>INDEX('ECOMMERS SALES'!$A:$J,MATCH('index match'!$A439,'ECOMMERS SALES'!$C:$C,0),MATCH('index match'!F$1,ECOMMERS_SALES[#Headers],0))</f>
        <v>905</v>
      </c>
      <c r="G439">
        <f>INDEX('ECOMMERS SALES'!$A:$J,MATCH('index match'!$A439,'ECOMMERS SALES'!$C:$C,0),MATCH('index match'!G$1,ECOMMERS_SALES[#Headers],0))</f>
        <v>1810</v>
      </c>
      <c r="H439" t="str">
        <f>INDEX('ECOMMERS SALES'!$A:$J,MATCH('index match'!$A439,'ECOMMERS SALES'!$C:$C,0),MATCH('index match'!H$1,ECOMMERS_SALES[#Headers],0))</f>
        <v>Bangalore</v>
      </c>
      <c r="I439" t="str">
        <f>INDEX('ECOMMERS SALES'!$A:$J,MATCH('index match'!$A439,'ECOMMERS SALES'!$C:$C,0),MATCH('index match'!I$1,ECOMMERS_SALES[#Headers],0))</f>
        <v>New</v>
      </c>
      <c r="J439" t="str">
        <f>INDEX('ECOMMERS SALES'!$A:$J,MATCH('index match'!$A439,'ECOMMERS SALES'!$C:$C,0),MATCH('index match'!J$1,ECOMMERS_SALES[#Headers],0))</f>
        <v>COD</v>
      </c>
    </row>
    <row r="440" spans="1:10" x14ac:dyDescent="0.35">
      <c r="A440" t="s">
        <v>42</v>
      </c>
      <c r="B440">
        <f>INDEX('ECOMMERS SALES'!$A:$J,MATCH('index match'!$A440,'ECOMMERS SALES'!$C:$C,0),MATCH('index match'!B$1,ECOMMERS_SALES[#Headers],0))</f>
        <v>1009</v>
      </c>
      <c r="C440" t="str">
        <f>INDEX('ECOMMERS SALES'!$A:$J,MATCH('index match'!$A440,'ECOMMERS SALES'!$C:$C,0),MATCH('index match'!C$1,ECOMMERS_SALES[#Headers],0))</f>
        <v>10-01-2025</v>
      </c>
      <c r="D440" t="str">
        <f>INDEX('ECOMMERS SALES'!$A:$J,MATCH('index match'!$A440,'ECOMMERS SALES'!$C:$C,0),MATCH('index match'!D$1,ECOMMERS_SALES[#Headers],0))</f>
        <v>Electronics</v>
      </c>
      <c r="E440">
        <f>INDEX('ECOMMERS SALES'!$A:$J,MATCH('index match'!$A440,'ECOMMERS SALES'!$C:$C,0),MATCH('index match'!E$1,ECOMMERS_SALES[#Headers],0))</f>
        <v>1</v>
      </c>
      <c r="F440">
        <f>INDEX('ECOMMERS SALES'!$A:$J,MATCH('index match'!$A440,'ECOMMERS SALES'!$C:$C,0),MATCH('index match'!F$1,ECOMMERS_SALES[#Headers],0))</f>
        <v>8563</v>
      </c>
      <c r="G440">
        <f>INDEX('ECOMMERS SALES'!$A:$J,MATCH('index match'!$A440,'ECOMMERS SALES'!$C:$C,0),MATCH('index match'!G$1,ECOMMERS_SALES[#Headers],0))</f>
        <v>8563</v>
      </c>
      <c r="H440" t="str">
        <f>INDEX('ECOMMERS SALES'!$A:$J,MATCH('index match'!$A440,'ECOMMERS SALES'!$C:$C,0),MATCH('index match'!H$1,ECOMMERS_SALES[#Headers],0))</f>
        <v>Hyderabad</v>
      </c>
      <c r="I440" t="str">
        <f>INDEX('ECOMMERS SALES'!$A:$J,MATCH('index match'!$A440,'ECOMMERS SALES'!$C:$C,0),MATCH('index match'!I$1,ECOMMERS_SALES[#Headers],0))</f>
        <v>Returning</v>
      </c>
      <c r="J440" t="str">
        <f>INDEX('ECOMMERS SALES'!$A:$J,MATCH('index match'!$A440,'ECOMMERS SALES'!$C:$C,0),MATCH('index match'!J$1,ECOMMERS_SALES[#Headers],0))</f>
        <v>Card</v>
      </c>
    </row>
    <row r="441" spans="1:10" x14ac:dyDescent="0.35">
      <c r="A441" t="s">
        <v>44</v>
      </c>
      <c r="B441">
        <f>INDEX('ECOMMERS SALES'!$A:$J,MATCH('index match'!$A441,'ECOMMERS SALES'!$C:$C,0),MATCH('index match'!B$1,ECOMMERS_SALES[#Headers],0))</f>
        <v>1010</v>
      </c>
      <c r="C441" t="str">
        <f>INDEX('ECOMMERS SALES'!$A:$J,MATCH('index match'!$A441,'ECOMMERS SALES'!$C:$C,0),MATCH('index match'!C$1,ECOMMERS_SALES[#Headers],0))</f>
        <v>11-01-2025</v>
      </c>
      <c r="D441" t="str">
        <f>INDEX('ECOMMERS SALES'!$A:$J,MATCH('index match'!$A441,'ECOMMERS SALES'!$C:$C,0),MATCH('index match'!D$1,ECOMMERS_SALES[#Headers],0))</f>
        <v>Other</v>
      </c>
      <c r="E441">
        <f>INDEX('ECOMMERS SALES'!$A:$J,MATCH('index match'!$A441,'ECOMMERS SALES'!$C:$C,0),MATCH('index match'!E$1,ECOMMERS_SALES[#Headers],0))</f>
        <v>1</v>
      </c>
      <c r="F441">
        <f>INDEX('ECOMMERS SALES'!$A:$J,MATCH('index match'!$A441,'ECOMMERS SALES'!$C:$C,0),MATCH('index match'!F$1,ECOMMERS_SALES[#Headers],0))</f>
        <v>268</v>
      </c>
      <c r="G441">
        <f>INDEX('ECOMMERS SALES'!$A:$J,MATCH('index match'!$A441,'ECOMMERS SALES'!$C:$C,0),MATCH('index match'!G$1,ECOMMERS_SALES[#Headers],0))</f>
        <v>268</v>
      </c>
      <c r="H441" t="str">
        <f>INDEX('ECOMMERS SALES'!$A:$J,MATCH('index match'!$A441,'ECOMMERS SALES'!$C:$C,0),MATCH('index match'!H$1,ECOMMERS_SALES[#Headers],0))</f>
        <v>Chennai</v>
      </c>
      <c r="I441" t="str">
        <f>INDEX('ECOMMERS SALES'!$A:$J,MATCH('index match'!$A441,'ECOMMERS SALES'!$C:$C,0),MATCH('index match'!I$1,ECOMMERS_SALES[#Headers],0))</f>
        <v>New</v>
      </c>
      <c r="J441" t="str">
        <f>INDEX('ECOMMERS SALES'!$A:$J,MATCH('index match'!$A441,'ECOMMERS SALES'!$C:$C,0),MATCH('index match'!J$1,ECOMMERS_SALES[#Headers],0))</f>
        <v>UPI</v>
      </c>
    </row>
    <row r="442" spans="1:10" x14ac:dyDescent="0.35">
      <c r="A442" t="s">
        <v>11</v>
      </c>
      <c r="B442">
        <f>INDEX('ECOMMERS SALES'!$A:$J,MATCH('index match'!$A442,'ECOMMERS SALES'!$C:$C,0),MATCH('index match'!B$1,ECOMMERS_SALES[#Headers],0))</f>
        <v>1001</v>
      </c>
      <c r="C442" t="str">
        <f>INDEX('ECOMMERS SALES'!$A:$J,MATCH('index match'!$A442,'ECOMMERS SALES'!$C:$C,0),MATCH('index match'!C$1,ECOMMERS_SALES[#Headers],0))</f>
        <v>02-01-2025</v>
      </c>
      <c r="D442" t="str">
        <f>INDEX('ECOMMERS SALES'!$A:$J,MATCH('index match'!$A442,'ECOMMERS SALES'!$C:$C,0),MATCH('index match'!D$1,ECOMMERS_SALES[#Headers],0))</f>
        <v>Electronics</v>
      </c>
      <c r="E442">
        <f>INDEX('ECOMMERS SALES'!$A:$J,MATCH('index match'!$A442,'ECOMMERS SALES'!$C:$C,0),MATCH('index match'!E$1,ECOMMERS_SALES[#Headers],0))</f>
        <v>2</v>
      </c>
      <c r="F442">
        <f>INDEX('ECOMMERS SALES'!$A:$J,MATCH('index match'!$A442,'ECOMMERS SALES'!$C:$C,0),MATCH('index match'!F$1,ECOMMERS_SALES[#Headers],0))</f>
        <v>50353</v>
      </c>
      <c r="G442">
        <f>INDEX('ECOMMERS SALES'!$A:$J,MATCH('index match'!$A442,'ECOMMERS SALES'!$C:$C,0),MATCH('index match'!G$1,ECOMMERS_SALES[#Headers],0))</f>
        <v>100706</v>
      </c>
      <c r="H442" t="str">
        <f>INDEX('ECOMMERS SALES'!$A:$J,MATCH('index match'!$A442,'ECOMMERS SALES'!$C:$C,0),MATCH('index match'!H$1,ECOMMERS_SALES[#Headers],0))</f>
        <v>Chennai</v>
      </c>
      <c r="I442" t="str">
        <f>INDEX('ECOMMERS SALES'!$A:$J,MATCH('index match'!$A442,'ECOMMERS SALES'!$C:$C,0),MATCH('index match'!I$1,ECOMMERS_SALES[#Headers],0))</f>
        <v>Premimum</v>
      </c>
      <c r="J442" t="str">
        <f>INDEX('ECOMMERS SALES'!$A:$J,MATCH('index match'!$A442,'ECOMMERS SALES'!$C:$C,0),MATCH('index match'!J$1,ECOMMERS_SALES[#Headers],0))</f>
        <v>Card</v>
      </c>
    </row>
    <row r="443" spans="1:10" x14ac:dyDescent="0.35">
      <c r="A443" t="s">
        <v>17</v>
      </c>
      <c r="B443">
        <f>INDEX('ECOMMERS SALES'!$A:$J,MATCH('index match'!$A443,'ECOMMERS SALES'!$C:$C,0),MATCH('index match'!B$1,ECOMMERS_SALES[#Headers],0))</f>
        <v>1002</v>
      </c>
      <c r="C443" t="str">
        <f>INDEX('ECOMMERS SALES'!$A:$J,MATCH('index match'!$A443,'ECOMMERS SALES'!$C:$C,0),MATCH('index match'!C$1,ECOMMERS_SALES[#Headers],0))</f>
        <v>03-01-2025</v>
      </c>
      <c r="D443" t="str">
        <f>INDEX('ECOMMERS SALES'!$A:$J,MATCH('index match'!$A443,'ECOMMERS SALES'!$C:$C,0),MATCH('index match'!D$1,ECOMMERS_SALES[#Headers],0))</f>
        <v>Electronics</v>
      </c>
      <c r="E443">
        <f>INDEX('ECOMMERS SALES'!$A:$J,MATCH('index match'!$A443,'ECOMMERS SALES'!$C:$C,0),MATCH('index match'!E$1,ECOMMERS_SALES[#Headers],0))</f>
        <v>2</v>
      </c>
      <c r="F443">
        <f>INDEX('ECOMMERS SALES'!$A:$J,MATCH('index match'!$A443,'ECOMMERS SALES'!$C:$C,0),MATCH('index match'!F$1,ECOMMERS_SALES[#Headers],0))</f>
        <v>2008</v>
      </c>
      <c r="G443">
        <f>INDEX('ECOMMERS SALES'!$A:$J,MATCH('index match'!$A443,'ECOMMERS SALES'!$C:$C,0),MATCH('index match'!G$1,ECOMMERS_SALES[#Headers],0))</f>
        <v>4016</v>
      </c>
      <c r="H443" t="str">
        <f>INDEX('ECOMMERS SALES'!$A:$J,MATCH('index match'!$A443,'ECOMMERS SALES'!$C:$C,0),MATCH('index match'!H$1,ECOMMERS_SALES[#Headers],0))</f>
        <v>Delhi</v>
      </c>
      <c r="I443" t="str">
        <f>INDEX('ECOMMERS SALES'!$A:$J,MATCH('index match'!$A443,'ECOMMERS SALES'!$C:$C,0),MATCH('index match'!I$1,ECOMMERS_SALES[#Headers],0))</f>
        <v>New</v>
      </c>
      <c r="J443" t="str">
        <f>INDEX('ECOMMERS SALES'!$A:$J,MATCH('index match'!$A443,'ECOMMERS SALES'!$C:$C,0),MATCH('index match'!J$1,ECOMMERS_SALES[#Headers],0))</f>
        <v>UPI</v>
      </c>
    </row>
    <row r="444" spans="1:10" x14ac:dyDescent="0.35">
      <c r="A444" t="s">
        <v>22</v>
      </c>
      <c r="B444">
        <f>INDEX('ECOMMERS SALES'!$A:$J,MATCH('index match'!$A444,'ECOMMERS SALES'!$C:$C,0),MATCH('index match'!B$1,ECOMMERS_SALES[#Headers],0))</f>
        <v>1003</v>
      </c>
      <c r="C444" t="str">
        <f>INDEX('ECOMMERS SALES'!$A:$J,MATCH('index match'!$A444,'ECOMMERS SALES'!$C:$C,0),MATCH('index match'!C$1,ECOMMERS_SALES[#Headers],0))</f>
        <v>04-01-2025</v>
      </c>
      <c r="D444" t="str">
        <f>INDEX('ECOMMERS SALES'!$A:$J,MATCH('index match'!$A444,'ECOMMERS SALES'!$C:$C,0),MATCH('index match'!D$1,ECOMMERS_SALES[#Headers],0))</f>
        <v>Fashion</v>
      </c>
      <c r="E444">
        <f>INDEX('ECOMMERS SALES'!$A:$J,MATCH('index match'!$A444,'ECOMMERS SALES'!$C:$C,0),MATCH('index match'!E$1,ECOMMERS_SALES[#Headers],0))</f>
        <v>1</v>
      </c>
      <c r="F444">
        <f>INDEX('ECOMMERS SALES'!$A:$J,MATCH('index match'!$A444,'ECOMMERS SALES'!$C:$C,0),MATCH('index match'!F$1,ECOMMERS_SALES[#Headers],0))</f>
        <v>4736</v>
      </c>
      <c r="G444">
        <f>INDEX('ECOMMERS SALES'!$A:$J,MATCH('index match'!$A444,'ECOMMERS SALES'!$C:$C,0),MATCH('index match'!G$1,ECOMMERS_SALES[#Headers],0))</f>
        <v>4736</v>
      </c>
      <c r="H444" t="str">
        <f>INDEX('ECOMMERS SALES'!$A:$J,MATCH('index match'!$A444,'ECOMMERS SALES'!$C:$C,0),MATCH('index match'!H$1,ECOMMERS_SALES[#Headers],0))</f>
        <v>Chennai</v>
      </c>
      <c r="I444" t="str">
        <f>INDEX('ECOMMERS SALES'!$A:$J,MATCH('index match'!$A444,'ECOMMERS SALES'!$C:$C,0),MATCH('index match'!I$1,ECOMMERS_SALES[#Headers],0))</f>
        <v>New</v>
      </c>
      <c r="J444" t="str">
        <f>INDEX('ECOMMERS SALES'!$A:$J,MATCH('index match'!$A444,'ECOMMERS SALES'!$C:$C,0),MATCH('index match'!J$1,ECOMMERS_SALES[#Headers],0))</f>
        <v>UPI</v>
      </c>
    </row>
    <row r="445" spans="1:10" x14ac:dyDescent="0.35">
      <c r="A445" t="s">
        <v>25</v>
      </c>
      <c r="B445">
        <f>INDEX('ECOMMERS SALES'!$A:$J,MATCH('index match'!$A445,'ECOMMERS SALES'!$C:$C,0),MATCH('index match'!B$1,ECOMMERS_SALES[#Headers],0))</f>
        <v>1004</v>
      </c>
      <c r="C445" t="str">
        <f>INDEX('ECOMMERS SALES'!$A:$J,MATCH('index match'!$A445,'ECOMMERS SALES'!$C:$C,0),MATCH('index match'!C$1,ECOMMERS_SALES[#Headers],0))</f>
        <v>05-01-2025</v>
      </c>
      <c r="D445" t="str">
        <f>INDEX('ECOMMERS SALES'!$A:$J,MATCH('index match'!$A445,'ECOMMERS SALES'!$C:$C,0),MATCH('index match'!D$1,ECOMMERS_SALES[#Headers],0))</f>
        <v>Other</v>
      </c>
      <c r="E445">
        <f>INDEX('ECOMMERS SALES'!$A:$J,MATCH('index match'!$A445,'ECOMMERS SALES'!$C:$C,0),MATCH('index match'!E$1,ECOMMERS_SALES[#Headers],0))</f>
        <v>2</v>
      </c>
      <c r="F445">
        <f>INDEX('ECOMMERS SALES'!$A:$J,MATCH('index match'!$A445,'ECOMMERS SALES'!$C:$C,0),MATCH('index match'!F$1,ECOMMERS_SALES[#Headers],0))</f>
        <v>10072</v>
      </c>
      <c r="G445">
        <f>INDEX('ECOMMERS SALES'!$A:$J,MATCH('index match'!$A445,'ECOMMERS SALES'!$C:$C,0),MATCH('index match'!G$1,ECOMMERS_SALES[#Headers],0))</f>
        <v>20144</v>
      </c>
      <c r="H445" t="str">
        <f>INDEX('ECOMMERS SALES'!$A:$J,MATCH('index match'!$A445,'ECOMMERS SALES'!$C:$C,0),MATCH('index match'!H$1,ECOMMERS_SALES[#Headers],0))</f>
        <v>Pune</v>
      </c>
      <c r="I445" t="str">
        <f>INDEX('ECOMMERS SALES'!$A:$J,MATCH('index match'!$A445,'ECOMMERS SALES'!$C:$C,0),MATCH('index match'!I$1,ECOMMERS_SALES[#Headers],0))</f>
        <v>Premimum</v>
      </c>
      <c r="J445" t="str">
        <f>INDEX('ECOMMERS SALES'!$A:$J,MATCH('index match'!$A445,'ECOMMERS SALES'!$C:$C,0),MATCH('index match'!J$1,ECOMMERS_SALES[#Headers],0))</f>
        <v>Card</v>
      </c>
    </row>
    <row r="446" spans="1:10" x14ac:dyDescent="0.35">
      <c r="A446" t="s">
        <v>29</v>
      </c>
      <c r="B446">
        <f>INDEX('ECOMMERS SALES'!$A:$J,MATCH('index match'!$A446,'ECOMMERS SALES'!$C:$C,0),MATCH('index match'!B$1,ECOMMERS_SALES[#Headers],0))</f>
        <v>1005</v>
      </c>
      <c r="C446" t="str">
        <f>INDEX('ECOMMERS SALES'!$A:$J,MATCH('index match'!$A446,'ECOMMERS SALES'!$C:$C,0),MATCH('index match'!C$1,ECOMMERS_SALES[#Headers],0))</f>
        <v>06-01-2025</v>
      </c>
      <c r="D446" t="str">
        <f>INDEX('ECOMMERS SALES'!$A:$J,MATCH('index match'!$A446,'ECOMMERS SALES'!$C:$C,0),MATCH('index match'!D$1,ECOMMERS_SALES[#Headers],0))</f>
        <v>Other</v>
      </c>
      <c r="E446">
        <f>INDEX('ECOMMERS SALES'!$A:$J,MATCH('index match'!$A446,'ECOMMERS SALES'!$C:$C,0),MATCH('index match'!E$1,ECOMMERS_SALES[#Headers],0))</f>
        <v>2</v>
      </c>
      <c r="F446">
        <f>INDEX('ECOMMERS SALES'!$A:$J,MATCH('index match'!$A446,'ECOMMERS SALES'!$C:$C,0),MATCH('index match'!F$1,ECOMMERS_SALES[#Headers],0))</f>
        <v>920</v>
      </c>
      <c r="G446">
        <f>INDEX('ECOMMERS SALES'!$A:$J,MATCH('index match'!$A446,'ECOMMERS SALES'!$C:$C,0),MATCH('index match'!G$1,ECOMMERS_SALES[#Headers],0))</f>
        <v>1840</v>
      </c>
      <c r="H446" t="str">
        <f>INDEX('ECOMMERS SALES'!$A:$J,MATCH('index match'!$A446,'ECOMMERS SALES'!$C:$C,0),MATCH('index match'!H$1,ECOMMERS_SALES[#Headers],0))</f>
        <v>Pune</v>
      </c>
      <c r="I446" t="str">
        <f>INDEX('ECOMMERS SALES'!$A:$J,MATCH('index match'!$A446,'ECOMMERS SALES'!$C:$C,0),MATCH('index match'!I$1,ECOMMERS_SALES[#Headers],0))</f>
        <v>New</v>
      </c>
      <c r="J446" t="str">
        <f>INDEX('ECOMMERS SALES'!$A:$J,MATCH('index match'!$A446,'ECOMMERS SALES'!$C:$C,0),MATCH('index match'!J$1,ECOMMERS_SALES[#Headers],0))</f>
        <v>UPI</v>
      </c>
    </row>
    <row r="447" spans="1:10" x14ac:dyDescent="0.35">
      <c r="A447" t="s">
        <v>31</v>
      </c>
      <c r="B447">
        <f>INDEX('ECOMMERS SALES'!$A:$J,MATCH('index match'!$A447,'ECOMMERS SALES'!$C:$C,0),MATCH('index match'!B$1,ECOMMERS_SALES[#Headers],0))</f>
        <v>1006</v>
      </c>
      <c r="C447" t="str">
        <f>INDEX('ECOMMERS SALES'!$A:$J,MATCH('index match'!$A447,'ECOMMERS SALES'!$C:$C,0),MATCH('index match'!C$1,ECOMMERS_SALES[#Headers],0))</f>
        <v>07-01-2025</v>
      </c>
      <c r="D447" t="str">
        <f>INDEX('ECOMMERS SALES'!$A:$J,MATCH('index match'!$A447,'ECOMMERS SALES'!$C:$C,0),MATCH('index match'!D$1,ECOMMERS_SALES[#Headers],0))</f>
        <v>Electronics</v>
      </c>
      <c r="E447">
        <f>INDEX('ECOMMERS SALES'!$A:$J,MATCH('index match'!$A447,'ECOMMERS SALES'!$C:$C,0),MATCH('index match'!E$1,ECOMMERS_SALES[#Headers],0))</f>
        <v>1</v>
      </c>
      <c r="F447">
        <f>INDEX('ECOMMERS SALES'!$A:$J,MATCH('index match'!$A447,'ECOMMERS SALES'!$C:$C,0),MATCH('index match'!F$1,ECOMMERS_SALES[#Headers],0))</f>
        <v>13225</v>
      </c>
      <c r="G447">
        <f>INDEX('ECOMMERS SALES'!$A:$J,MATCH('index match'!$A447,'ECOMMERS SALES'!$C:$C,0),MATCH('index match'!G$1,ECOMMERS_SALES[#Headers],0))</f>
        <v>13225</v>
      </c>
      <c r="H447" t="str">
        <f>INDEX('ECOMMERS SALES'!$A:$J,MATCH('index match'!$A447,'ECOMMERS SALES'!$C:$C,0),MATCH('index match'!H$1,ECOMMERS_SALES[#Headers],0))</f>
        <v>Delhi</v>
      </c>
      <c r="I447" t="str">
        <f>INDEX('ECOMMERS SALES'!$A:$J,MATCH('index match'!$A447,'ECOMMERS SALES'!$C:$C,0),MATCH('index match'!I$1,ECOMMERS_SALES[#Headers],0))</f>
        <v>Returning</v>
      </c>
      <c r="J447" t="str">
        <f>INDEX('ECOMMERS SALES'!$A:$J,MATCH('index match'!$A447,'ECOMMERS SALES'!$C:$C,0),MATCH('index match'!J$1,ECOMMERS_SALES[#Headers],0))</f>
        <v>COD</v>
      </c>
    </row>
    <row r="448" spans="1:10" x14ac:dyDescent="0.35">
      <c r="A448" t="s">
        <v>35</v>
      </c>
      <c r="B448">
        <f>INDEX('ECOMMERS SALES'!$A:$J,MATCH('index match'!$A448,'ECOMMERS SALES'!$C:$C,0),MATCH('index match'!B$1,ECOMMERS_SALES[#Headers],0))</f>
        <v>1007</v>
      </c>
      <c r="C448" t="str">
        <f>INDEX('ECOMMERS SALES'!$A:$J,MATCH('index match'!$A448,'ECOMMERS SALES'!$C:$C,0),MATCH('index match'!C$1,ECOMMERS_SALES[#Headers],0))</f>
        <v>08-01-2025</v>
      </c>
      <c r="D448" t="str">
        <f>INDEX('ECOMMERS SALES'!$A:$J,MATCH('index match'!$A448,'ECOMMERS SALES'!$C:$C,0),MATCH('index match'!D$1,ECOMMERS_SALES[#Headers],0))</f>
        <v>Books</v>
      </c>
      <c r="E448">
        <f>INDEX('ECOMMERS SALES'!$A:$J,MATCH('index match'!$A448,'ECOMMERS SALES'!$C:$C,0),MATCH('index match'!E$1,ECOMMERS_SALES[#Headers],0))</f>
        <v>3</v>
      </c>
      <c r="F448">
        <f>INDEX('ECOMMERS SALES'!$A:$J,MATCH('index match'!$A448,'ECOMMERS SALES'!$C:$C,0),MATCH('index match'!F$1,ECOMMERS_SALES[#Headers],0))</f>
        <v>621</v>
      </c>
      <c r="G448">
        <f>INDEX('ECOMMERS SALES'!$A:$J,MATCH('index match'!$A448,'ECOMMERS SALES'!$C:$C,0),MATCH('index match'!G$1,ECOMMERS_SALES[#Headers],0))</f>
        <v>1863</v>
      </c>
      <c r="H448" t="str">
        <f>INDEX('ECOMMERS SALES'!$A:$J,MATCH('index match'!$A448,'ECOMMERS SALES'!$C:$C,0),MATCH('index match'!H$1,ECOMMERS_SALES[#Headers],0))</f>
        <v>Hyderabad</v>
      </c>
      <c r="I448" t="str">
        <f>INDEX('ECOMMERS SALES'!$A:$J,MATCH('index match'!$A448,'ECOMMERS SALES'!$C:$C,0),MATCH('index match'!I$1,ECOMMERS_SALES[#Headers],0))</f>
        <v>Premimum</v>
      </c>
      <c r="J448" t="str">
        <f>INDEX('ECOMMERS SALES'!$A:$J,MATCH('index match'!$A448,'ECOMMERS SALES'!$C:$C,0),MATCH('index match'!J$1,ECOMMERS_SALES[#Headers],0))</f>
        <v>UPI</v>
      </c>
    </row>
    <row r="449" spans="1:10" x14ac:dyDescent="0.35">
      <c r="A449" t="s">
        <v>39</v>
      </c>
      <c r="B449">
        <f>INDEX('ECOMMERS SALES'!$A:$J,MATCH('index match'!$A449,'ECOMMERS SALES'!$C:$C,0),MATCH('index match'!B$1,ECOMMERS_SALES[#Headers],0))</f>
        <v>1008</v>
      </c>
      <c r="C449" t="str">
        <f>INDEX('ECOMMERS SALES'!$A:$J,MATCH('index match'!$A449,'ECOMMERS SALES'!$C:$C,0),MATCH('index match'!C$1,ECOMMERS_SALES[#Headers],0))</f>
        <v>09-01-2025</v>
      </c>
      <c r="D449" t="str">
        <f>INDEX('ECOMMERS SALES'!$A:$J,MATCH('index match'!$A449,'ECOMMERS SALES'!$C:$C,0),MATCH('index match'!D$1,ECOMMERS_SALES[#Headers],0))</f>
        <v>Fashion</v>
      </c>
      <c r="E449">
        <f>INDEX('ECOMMERS SALES'!$A:$J,MATCH('index match'!$A449,'ECOMMERS SALES'!$C:$C,0),MATCH('index match'!E$1,ECOMMERS_SALES[#Headers],0))</f>
        <v>2</v>
      </c>
      <c r="F449">
        <f>INDEX('ECOMMERS SALES'!$A:$J,MATCH('index match'!$A449,'ECOMMERS SALES'!$C:$C,0),MATCH('index match'!F$1,ECOMMERS_SALES[#Headers],0))</f>
        <v>905</v>
      </c>
      <c r="G449">
        <f>INDEX('ECOMMERS SALES'!$A:$J,MATCH('index match'!$A449,'ECOMMERS SALES'!$C:$C,0),MATCH('index match'!G$1,ECOMMERS_SALES[#Headers],0))</f>
        <v>1810</v>
      </c>
      <c r="H449" t="str">
        <f>INDEX('ECOMMERS SALES'!$A:$J,MATCH('index match'!$A449,'ECOMMERS SALES'!$C:$C,0),MATCH('index match'!H$1,ECOMMERS_SALES[#Headers],0))</f>
        <v>Bangalore</v>
      </c>
      <c r="I449" t="str">
        <f>INDEX('ECOMMERS SALES'!$A:$J,MATCH('index match'!$A449,'ECOMMERS SALES'!$C:$C,0),MATCH('index match'!I$1,ECOMMERS_SALES[#Headers],0))</f>
        <v>New</v>
      </c>
      <c r="J449" t="str">
        <f>INDEX('ECOMMERS SALES'!$A:$J,MATCH('index match'!$A449,'ECOMMERS SALES'!$C:$C,0),MATCH('index match'!J$1,ECOMMERS_SALES[#Headers],0))</f>
        <v>COD</v>
      </c>
    </row>
    <row r="450" spans="1:10" x14ac:dyDescent="0.35">
      <c r="A450" t="s">
        <v>42</v>
      </c>
      <c r="B450">
        <f>INDEX('ECOMMERS SALES'!$A:$J,MATCH('index match'!$A450,'ECOMMERS SALES'!$C:$C,0),MATCH('index match'!B$1,ECOMMERS_SALES[#Headers],0))</f>
        <v>1009</v>
      </c>
      <c r="C450" t="str">
        <f>INDEX('ECOMMERS SALES'!$A:$J,MATCH('index match'!$A450,'ECOMMERS SALES'!$C:$C,0),MATCH('index match'!C$1,ECOMMERS_SALES[#Headers],0))</f>
        <v>10-01-2025</v>
      </c>
      <c r="D450" t="str">
        <f>INDEX('ECOMMERS SALES'!$A:$J,MATCH('index match'!$A450,'ECOMMERS SALES'!$C:$C,0),MATCH('index match'!D$1,ECOMMERS_SALES[#Headers],0))</f>
        <v>Electronics</v>
      </c>
      <c r="E450">
        <f>INDEX('ECOMMERS SALES'!$A:$J,MATCH('index match'!$A450,'ECOMMERS SALES'!$C:$C,0),MATCH('index match'!E$1,ECOMMERS_SALES[#Headers],0))</f>
        <v>1</v>
      </c>
      <c r="F450">
        <f>INDEX('ECOMMERS SALES'!$A:$J,MATCH('index match'!$A450,'ECOMMERS SALES'!$C:$C,0),MATCH('index match'!F$1,ECOMMERS_SALES[#Headers],0))</f>
        <v>8563</v>
      </c>
      <c r="G450">
        <f>INDEX('ECOMMERS SALES'!$A:$J,MATCH('index match'!$A450,'ECOMMERS SALES'!$C:$C,0),MATCH('index match'!G$1,ECOMMERS_SALES[#Headers],0))</f>
        <v>8563</v>
      </c>
      <c r="H450" t="str">
        <f>INDEX('ECOMMERS SALES'!$A:$J,MATCH('index match'!$A450,'ECOMMERS SALES'!$C:$C,0),MATCH('index match'!H$1,ECOMMERS_SALES[#Headers],0))</f>
        <v>Hyderabad</v>
      </c>
      <c r="I450" t="str">
        <f>INDEX('ECOMMERS SALES'!$A:$J,MATCH('index match'!$A450,'ECOMMERS SALES'!$C:$C,0),MATCH('index match'!I$1,ECOMMERS_SALES[#Headers],0))</f>
        <v>Returning</v>
      </c>
      <c r="J450" t="str">
        <f>INDEX('ECOMMERS SALES'!$A:$J,MATCH('index match'!$A450,'ECOMMERS SALES'!$C:$C,0),MATCH('index match'!J$1,ECOMMERS_SALES[#Headers],0))</f>
        <v>Card</v>
      </c>
    </row>
    <row r="451" spans="1:10" x14ac:dyDescent="0.35">
      <c r="A451" t="s">
        <v>44</v>
      </c>
      <c r="B451">
        <f>INDEX('ECOMMERS SALES'!$A:$J,MATCH('index match'!$A451,'ECOMMERS SALES'!$C:$C,0),MATCH('index match'!B$1,ECOMMERS_SALES[#Headers],0))</f>
        <v>1010</v>
      </c>
      <c r="C451" t="str">
        <f>INDEX('ECOMMERS SALES'!$A:$J,MATCH('index match'!$A451,'ECOMMERS SALES'!$C:$C,0),MATCH('index match'!C$1,ECOMMERS_SALES[#Headers],0))</f>
        <v>11-01-2025</v>
      </c>
      <c r="D451" t="str">
        <f>INDEX('ECOMMERS SALES'!$A:$J,MATCH('index match'!$A451,'ECOMMERS SALES'!$C:$C,0),MATCH('index match'!D$1,ECOMMERS_SALES[#Headers],0))</f>
        <v>Other</v>
      </c>
      <c r="E451">
        <f>INDEX('ECOMMERS SALES'!$A:$J,MATCH('index match'!$A451,'ECOMMERS SALES'!$C:$C,0),MATCH('index match'!E$1,ECOMMERS_SALES[#Headers],0))</f>
        <v>1</v>
      </c>
      <c r="F451">
        <f>INDEX('ECOMMERS SALES'!$A:$J,MATCH('index match'!$A451,'ECOMMERS SALES'!$C:$C,0),MATCH('index match'!F$1,ECOMMERS_SALES[#Headers],0))</f>
        <v>268</v>
      </c>
      <c r="G451">
        <f>INDEX('ECOMMERS SALES'!$A:$J,MATCH('index match'!$A451,'ECOMMERS SALES'!$C:$C,0),MATCH('index match'!G$1,ECOMMERS_SALES[#Headers],0))</f>
        <v>268</v>
      </c>
      <c r="H451" t="str">
        <f>INDEX('ECOMMERS SALES'!$A:$J,MATCH('index match'!$A451,'ECOMMERS SALES'!$C:$C,0),MATCH('index match'!H$1,ECOMMERS_SALES[#Headers],0))</f>
        <v>Chennai</v>
      </c>
      <c r="I451" t="str">
        <f>INDEX('ECOMMERS SALES'!$A:$J,MATCH('index match'!$A451,'ECOMMERS SALES'!$C:$C,0),MATCH('index match'!I$1,ECOMMERS_SALES[#Headers],0))</f>
        <v>New</v>
      </c>
      <c r="J451" t="str">
        <f>INDEX('ECOMMERS SALES'!$A:$J,MATCH('index match'!$A451,'ECOMMERS SALES'!$C:$C,0),MATCH('index match'!J$1,ECOMMERS_SALES[#Headers],0))</f>
        <v>UPI</v>
      </c>
    </row>
    <row r="452" spans="1:10" x14ac:dyDescent="0.35">
      <c r="A452" t="s">
        <v>11</v>
      </c>
      <c r="B452">
        <f>INDEX('ECOMMERS SALES'!$A:$J,MATCH('index match'!$A452,'ECOMMERS SALES'!$C:$C,0),MATCH('index match'!B$1,ECOMMERS_SALES[#Headers],0))</f>
        <v>1001</v>
      </c>
      <c r="C452" t="str">
        <f>INDEX('ECOMMERS SALES'!$A:$J,MATCH('index match'!$A452,'ECOMMERS SALES'!$C:$C,0),MATCH('index match'!C$1,ECOMMERS_SALES[#Headers],0))</f>
        <v>02-01-2025</v>
      </c>
      <c r="D452" t="str">
        <f>INDEX('ECOMMERS SALES'!$A:$J,MATCH('index match'!$A452,'ECOMMERS SALES'!$C:$C,0),MATCH('index match'!D$1,ECOMMERS_SALES[#Headers],0))</f>
        <v>Electronics</v>
      </c>
      <c r="E452">
        <f>INDEX('ECOMMERS SALES'!$A:$J,MATCH('index match'!$A452,'ECOMMERS SALES'!$C:$C,0),MATCH('index match'!E$1,ECOMMERS_SALES[#Headers],0))</f>
        <v>2</v>
      </c>
      <c r="F452">
        <f>INDEX('ECOMMERS SALES'!$A:$J,MATCH('index match'!$A452,'ECOMMERS SALES'!$C:$C,0),MATCH('index match'!F$1,ECOMMERS_SALES[#Headers],0))</f>
        <v>50353</v>
      </c>
      <c r="G452">
        <f>INDEX('ECOMMERS SALES'!$A:$J,MATCH('index match'!$A452,'ECOMMERS SALES'!$C:$C,0),MATCH('index match'!G$1,ECOMMERS_SALES[#Headers],0))</f>
        <v>100706</v>
      </c>
      <c r="H452" t="str">
        <f>INDEX('ECOMMERS SALES'!$A:$J,MATCH('index match'!$A452,'ECOMMERS SALES'!$C:$C,0),MATCH('index match'!H$1,ECOMMERS_SALES[#Headers],0))</f>
        <v>Chennai</v>
      </c>
      <c r="I452" t="str">
        <f>INDEX('ECOMMERS SALES'!$A:$J,MATCH('index match'!$A452,'ECOMMERS SALES'!$C:$C,0),MATCH('index match'!I$1,ECOMMERS_SALES[#Headers],0))</f>
        <v>Premimum</v>
      </c>
      <c r="J452" t="str">
        <f>INDEX('ECOMMERS SALES'!$A:$J,MATCH('index match'!$A452,'ECOMMERS SALES'!$C:$C,0),MATCH('index match'!J$1,ECOMMERS_SALES[#Headers],0))</f>
        <v>Card</v>
      </c>
    </row>
    <row r="453" spans="1:10" x14ac:dyDescent="0.35">
      <c r="A453" t="s">
        <v>17</v>
      </c>
      <c r="B453">
        <f>INDEX('ECOMMERS SALES'!$A:$J,MATCH('index match'!$A453,'ECOMMERS SALES'!$C:$C,0),MATCH('index match'!B$1,ECOMMERS_SALES[#Headers],0))</f>
        <v>1002</v>
      </c>
      <c r="C453" t="str">
        <f>INDEX('ECOMMERS SALES'!$A:$J,MATCH('index match'!$A453,'ECOMMERS SALES'!$C:$C,0),MATCH('index match'!C$1,ECOMMERS_SALES[#Headers],0))</f>
        <v>03-01-2025</v>
      </c>
      <c r="D453" t="str">
        <f>INDEX('ECOMMERS SALES'!$A:$J,MATCH('index match'!$A453,'ECOMMERS SALES'!$C:$C,0),MATCH('index match'!D$1,ECOMMERS_SALES[#Headers],0))</f>
        <v>Electronics</v>
      </c>
      <c r="E453">
        <f>INDEX('ECOMMERS SALES'!$A:$J,MATCH('index match'!$A453,'ECOMMERS SALES'!$C:$C,0),MATCH('index match'!E$1,ECOMMERS_SALES[#Headers],0))</f>
        <v>2</v>
      </c>
      <c r="F453">
        <f>INDEX('ECOMMERS SALES'!$A:$J,MATCH('index match'!$A453,'ECOMMERS SALES'!$C:$C,0),MATCH('index match'!F$1,ECOMMERS_SALES[#Headers],0))</f>
        <v>2008</v>
      </c>
      <c r="G453">
        <f>INDEX('ECOMMERS SALES'!$A:$J,MATCH('index match'!$A453,'ECOMMERS SALES'!$C:$C,0),MATCH('index match'!G$1,ECOMMERS_SALES[#Headers],0))</f>
        <v>4016</v>
      </c>
      <c r="H453" t="str">
        <f>INDEX('ECOMMERS SALES'!$A:$J,MATCH('index match'!$A453,'ECOMMERS SALES'!$C:$C,0),MATCH('index match'!H$1,ECOMMERS_SALES[#Headers],0))</f>
        <v>Delhi</v>
      </c>
      <c r="I453" t="str">
        <f>INDEX('ECOMMERS SALES'!$A:$J,MATCH('index match'!$A453,'ECOMMERS SALES'!$C:$C,0),MATCH('index match'!I$1,ECOMMERS_SALES[#Headers],0))</f>
        <v>New</v>
      </c>
      <c r="J453" t="str">
        <f>INDEX('ECOMMERS SALES'!$A:$J,MATCH('index match'!$A453,'ECOMMERS SALES'!$C:$C,0),MATCH('index match'!J$1,ECOMMERS_SALES[#Headers],0))</f>
        <v>UPI</v>
      </c>
    </row>
    <row r="454" spans="1:10" x14ac:dyDescent="0.35">
      <c r="A454" t="s">
        <v>22</v>
      </c>
      <c r="B454">
        <f>INDEX('ECOMMERS SALES'!$A:$J,MATCH('index match'!$A454,'ECOMMERS SALES'!$C:$C,0),MATCH('index match'!B$1,ECOMMERS_SALES[#Headers],0))</f>
        <v>1003</v>
      </c>
      <c r="C454" t="str">
        <f>INDEX('ECOMMERS SALES'!$A:$J,MATCH('index match'!$A454,'ECOMMERS SALES'!$C:$C,0),MATCH('index match'!C$1,ECOMMERS_SALES[#Headers],0))</f>
        <v>04-01-2025</v>
      </c>
      <c r="D454" t="str">
        <f>INDEX('ECOMMERS SALES'!$A:$J,MATCH('index match'!$A454,'ECOMMERS SALES'!$C:$C,0),MATCH('index match'!D$1,ECOMMERS_SALES[#Headers],0))</f>
        <v>Fashion</v>
      </c>
      <c r="E454">
        <f>INDEX('ECOMMERS SALES'!$A:$J,MATCH('index match'!$A454,'ECOMMERS SALES'!$C:$C,0),MATCH('index match'!E$1,ECOMMERS_SALES[#Headers],0))</f>
        <v>1</v>
      </c>
      <c r="F454">
        <f>INDEX('ECOMMERS SALES'!$A:$J,MATCH('index match'!$A454,'ECOMMERS SALES'!$C:$C,0),MATCH('index match'!F$1,ECOMMERS_SALES[#Headers],0))</f>
        <v>4736</v>
      </c>
      <c r="G454">
        <f>INDEX('ECOMMERS SALES'!$A:$J,MATCH('index match'!$A454,'ECOMMERS SALES'!$C:$C,0),MATCH('index match'!G$1,ECOMMERS_SALES[#Headers],0))</f>
        <v>4736</v>
      </c>
      <c r="H454" t="str">
        <f>INDEX('ECOMMERS SALES'!$A:$J,MATCH('index match'!$A454,'ECOMMERS SALES'!$C:$C,0),MATCH('index match'!H$1,ECOMMERS_SALES[#Headers],0))</f>
        <v>Chennai</v>
      </c>
      <c r="I454" t="str">
        <f>INDEX('ECOMMERS SALES'!$A:$J,MATCH('index match'!$A454,'ECOMMERS SALES'!$C:$C,0),MATCH('index match'!I$1,ECOMMERS_SALES[#Headers],0))</f>
        <v>New</v>
      </c>
      <c r="J454" t="str">
        <f>INDEX('ECOMMERS SALES'!$A:$J,MATCH('index match'!$A454,'ECOMMERS SALES'!$C:$C,0),MATCH('index match'!J$1,ECOMMERS_SALES[#Headers],0))</f>
        <v>UPI</v>
      </c>
    </row>
    <row r="455" spans="1:10" x14ac:dyDescent="0.35">
      <c r="A455" t="s">
        <v>25</v>
      </c>
      <c r="B455">
        <f>INDEX('ECOMMERS SALES'!$A:$J,MATCH('index match'!$A455,'ECOMMERS SALES'!$C:$C,0),MATCH('index match'!B$1,ECOMMERS_SALES[#Headers],0))</f>
        <v>1004</v>
      </c>
      <c r="C455" t="str">
        <f>INDEX('ECOMMERS SALES'!$A:$J,MATCH('index match'!$A455,'ECOMMERS SALES'!$C:$C,0),MATCH('index match'!C$1,ECOMMERS_SALES[#Headers],0))</f>
        <v>05-01-2025</v>
      </c>
      <c r="D455" t="str">
        <f>INDEX('ECOMMERS SALES'!$A:$J,MATCH('index match'!$A455,'ECOMMERS SALES'!$C:$C,0),MATCH('index match'!D$1,ECOMMERS_SALES[#Headers],0))</f>
        <v>Other</v>
      </c>
      <c r="E455">
        <f>INDEX('ECOMMERS SALES'!$A:$J,MATCH('index match'!$A455,'ECOMMERS SALES'!$C:$C,0),MATCH('index match'!E$1,ECOMMERS_SALES[#Headers],0))</f>
        <v>2</v>
      </c>
      <c r="F455">
        <f>INDEX('ECOMMERS SALES'!$A:$J,MATCH('index match'!$A455,'ECOMMERS SALES'!$C:$C,0),MATCH('index match'!F$1,ECOMMERS_SALES[#Headers],0))</f>
        <v>10072</v>
      </c>
      <c r="G455">
        <f>INDEX('ECOMMERS SALES'!$A:$J,MATCH('index match'!$A455,'ECOMMERS SALES'!$C:$C,0),MATCH('index match'!G$1,ECOMMERS_SALES[#Headers],0))</f>
        <v>20144</v>
      </c>
      <c r="H455" t="str">
        <f>INDEX('ECOMMERS SALES'!$A:$J,MATCH('index match'!$A455,'ECOMMERS SALES'!$C:$C,0),MATCH('index match'!H$1,ECOMMERS_SALES[#Headers],0))</f>
        <v>Pune</v>
      </c>
      <c r="I455" t="str">
        <f>INDEX('ECOMMERS SALES'!$A:$J,MATCH('index match'!$A455,'ECOMMERS SALES'!$C:$C,0),MATCH('index match'!I$1,ECOMMERS_SALES[#Headers],0))</f>
        <v>Premimum</v>
      </c>
      <c r="J455" t="str">
        <f>INDEX('ECOMMERS SALES'!$A:$J,MATCH('index match'!$A455,'ECOMMERS SALES'!$C:$C,0),MATCH('index match'!J$1,ECOMMERS_SALES[#Headers],0))</f>
        <v>Card</v>
      </c>
    </row>
    <row r="456" spans="1:10" x14ac:dyDescent="0.35">
      <c r="A456" t="s">
        <v>29</v>
      </c>
      <c r="B456">
        <f>INDEX('ECOMMERS SALES'!$A:$J,MATCH('index match'!$A456,'ECOMMERS SALES'!$C:$C,0),MATCH('index match'!B$1,ECOMMERS_SALES[#Headers],0))</f>
        <v>1005</v>
      </c>
      <c r="C456" t="str">
        <f>INDEX('ECOMMERS SALES'!$A:$J,MATCH('index match'!$A456,'ECOMMERS SALES'!$C:$C,0),MATCH('index match'!C$1,ECOMMERS_SALES[#Headers],0))</f>
        <v>06-01-2025</v>
      </c>
      <c r="D456" t="str">
        <f>INDEX('ECOMMERS SALES'!$A:$J,MATCH('index match'!$A456,'ECOMMERS SALES'!$C:$C,0),MATCH('index match'!D$1,ECOMMERS_SALES[#Headers],0))</f>
        <v>Other</v>
      </c>
      <c r="E456">
        <f>INDEX('ECOMMERS SALES'!$A:$J,MATCH('index match'!$A456,'ECOMMERS SALES'!$C:$C,0),MATCH('index match'!E$1,ECOMMERS_SALES[#Headers],0))</f>
        <v>2</v>
      </c>
      <c r="F456">
        <f>INDEX('ECOMMERS SALES'!$A:$J,MATCH('index match'!$A456,'ECOMMERS SALES'!$C:$C,0),MATCH('index match'!F$1,ECOMMERS_SALES[#Headers],0))</f>
        <v>920</v>
      </c>
      <c r="G456">
        <f>INDEX('ECOMMERS SALES'!$A:$J,MATCH('index match'!$A456,'ECOMMERS SALES'!$C:$C,0),MATCH('index match'!G$1,ECOMMERS_SALES[#Headers],0))</f>
        <v>1840</v>
      </c>
      <c r="H456" t="str">
        <f>INDEX('ECOMMERS SALES'!$A:$J,MATCH('index match'!$A456,'ECOMMERS SALES'!$C:$C,0),MATCH('index match'!H$1,ECOMMERS_SALES[#Headers],0))</f>
        <v>Pune</v>
      </c>
      <c r="I456" t="str">
        <f>INDEX('ECOMMERS SALES'!$A:$J,MATCH('index match'!$A456,'ECOMMERS SALES'!$C:$C,0),MATCH('index match'!I$1,ECOMMERS_SALES[#Headers],0))</f>
        <v>New</v>
      </c>
      <c r="J456" t="str">
        <f>INDEX('ECOMMERS SALES'!$A:$J,MATCH('index match'!$A456,'ECOMMERS SALES'!$C:$C,0),MATCH('index match'!J$1,ECOMMERS_SALES[#Headers],0))</f>
        <v>UPI</v>
      </c>
    </row>
    <row r="457" spans="1:10" x14ac:dyDescent="0.35">
      <c r="A457" t="s">
        <v>31</v>
      </c>
      <c r="B457">
        <f>INDEX('ECOMMERS SALES'!$A:$J,MATCH('index match'!$A457,'ECOMMERS SALES'!$C:$C,0),MATCH('index match'!B$1,ECOMMERS_SALES[#Headers],0))</f>
        <v>1006</v>
      </c>
      <c r="C457" t="str">
        <f>INDEX('ECOMMERS SALES'!$A:$J,MATCH('index match'!$A457,'ECOMMERS SALES'!$C:$C,0),MATCH('index match'!C$1,ECOMMERS_SALES[#Headers],0))</f>
        <v>07-01-2025</v>
      </c>
      <c r="D457" t="str">
        <f>INDEX('ECOMMERS SALES'!$A:$J,MATCH('index match'!$A457,'ECOMMERS SALES'!$C:$C,0),MATCH('index match'!D$1,ECOMMERS_SALES[#Headers],0))</f>
        <v>Electronics</v>
      </c>
      <c r="E457">
        <f>INDEX('ECOMMERS SALES'!$A:$J,MATCH('index match'!$A457,'ECOMMERS SALES'!$C:$C,0),MATCH('index match'!E$1,ECOMMERS_SALES[#Headers],0))</f>
        <v>1</v>
      </c>
      <c r="F457">
        <f>INDEX('ECOMMERS SALES'!$A:$J,MATCH('index match'!$A457,'ECOMMERS SALES'!$C:$C,0),MATCH('index match'!F$1,ECOMMERS_SALES[#Headers],0))</f>
        <v>13225</v>
      </c>
      <c r="G457">
        <f>INDEX('ECOMMERS SALES'!$A:$J,MATCH('index match'!$A457,'ECOMMERS SALES'!$C:$C,0),MATCH('index match'!G$1,ECOMMERS_SALES[#Headers],0))</f>
        <v>13225</v>
      </c>
      <c r="H457" t="str">
        <f>INDEX('ECOMMERS SALES'!$A:$J,MATCH('index match'!$A457,'ECOMMERS SALES'!$C:$C,0),MATCH('index match'!H$1,ECOMMERS_SALES[#Headers],0))</f>
        <v>Delhi</v>
      </c>
      <c r="I457" t="str">
        <f>INDEX('ECOMMERS SALES'!$A:$J,MATCH('index match'!$A457,'ECOMMERS SALES'!$C:$C,0),MATCH('index match'!I$1,ECOMMERS_SALES[#Headers],0))</f>
        <v>Returning</v>
      </c>
      <c r="J457" t="str">
        <f>INDEX('ECOMMERS SALES'!$A:$J,MATCH('index match'!$A457,'ECOMMERS SALES'!$C:$C,0),MATCH('index match'!J$1,ECOMMERS_SALES[#Headers],0))</f>
        <v>COD</v>
      </c>
    </row>
    <row r="458" spans="1:10" x14ac:dyDescent="0.35">
      <c r="A458" t="s">
        <v>35</v>
      </c>
      <c r="B458">
        <f>INDEX('ECOMMERS SALES'!$A:$J,MATCH('index match'!$A458,'ECOMMERS SALES'!$C:$C,0),MATCH('index match'!B$1,ECOMMERS_SALES[#Headers],0))</f>
        <v>1007</v>
      </c>
      <c r="C458" t="str">
        <f>INDEX('ECOMMERS SALES'!$A:$J,MATCH('index match'!$A458,'ECOMMERS SALES'!$C:$C,0),MATCH('index match'!C$1,ECOMMERS_SALES[#Headers],0))</f>
        <v>08-01-2025</v>
      </c>
      <c r="D458" t="str">
        <f>INDEX('ECOMMERS SALES'!$A:$J,MATCH('index match'!$A458,'ECOMMERS SALES'!$C:$C,0),MATCH('index match'!D$1,ECOMMERS_SALES[#Headers],0))</f>
        <v>Books</v>
      </c>
      <c r="E458">
        <f>INDEX('ECOMMERS SALES'!$A:$J,MATCH('index match'!$A458,'ECOMMERS SALES'!$C:$C,0),MATCH('index match'!E$1,ECOMMERS_SALES[#Headers],0))</f>
        <v>3</v>
      </c>
      <c r="F458">
        <f>INDEX('ECOMMERS SALES'!$A:$J,MATCH('index match'!$A458,'ECOMMERS SALES'!$C:$C,0),MATCH('index match'!F$1,ECOMMERS_SALES[#Headers],0))</f>
        <v>621</v>
      </c>
      <c r="G458">
        <f>INDEX('ECOMMERS SALES'!$A:$J,MATCH('index match'!$A458,'ECOMMERS SALES'!$C:$C,0),MATCH('index match'!G$1,ECOMMERS_SALES[#Headers],0))</f>
        <v>1863</v>
      </c>
      <c r="H458" t="str">
        <f>INDEX('ECOMMERS SALES'!$A:$J,MATCH('index match'!$A458,'ECOMMERS SALES'!$C:$C,0),MATCH('index match'!H$1,ECOMMERS_SALES[#Headers],0))</f>
        <v>Hyderabad</v>
      </c>
      <c r="I458" t="str">
        <f>INDEX('ECOMMERS SALES'!$A:$J,MATCH('index match'!$A458,'ECOMMERS SALES'!$C:$C,0),MATCH('index match'!I$1,ECOMMERS_SALES[#Headers],0))</f>
        <v>Premimum</v>
      </c>
      <c r="J458" t="str">
        <f>INDEX('ECOMMERS SALES'!$A:$J,MATCH('index match'!$A458,'ECOMMERS SALES'!$C:$C,0),MATCH('index match'!J$1,ECOMMERS_SALES[#Headers],0))</f>
        <v>UPI</v>
      </c>
    </row>
    <row r="459" spans="1:10" x14ac:dyDescent="0.35">
      <c r="A459" t="s">
        <v>39</v>
      </c>
      <c r="B459">
        <f>INDEX('ECOMMERS SALES'!$A:$J,MATCH('index match'!$A459,'ECOMMERS SALES'!$C:$C,0),MATCH('index match'!B$1,ECOMMERS_SALES[#Headers],0))</f>
        <v>1008</v>
      </c>
      <c r="C459" t="str">
        <f>INDEX('ECOMMERS SALES'!$A:$J,MATCH('index match'!$A459,'ECOMMERS SALES'!$C:$C,0),MATCH('index match'!C$1,ECOMMERS_SALES[#Headers],0))</f>
        <v>09-01-2025</v>
      </c>
      <c r="D459" t="str">
        <f>INDEX('ECOMMERS SALES'!$A:$J,MATCH('index match'!$A459,'ECOMMERS SALES'!$C:$C,0),MATCH('index match'!D$1,ECOMMERS_SALES[#Headers],0))</f>
        <v>Fashion</v>
      </c>
      <c r="E459">
        <f>INDEX('ECOMMERS SALES'!$A:$J,MATCH('index match'!$A459,'ECOMMERS SALES'!$C:$C,0),MATCH('index match'!E$1,ECOMMERS_SALES[#Headers],0))</f>
        <v>2</v>
      </c>
      <c r="F459">
        <f>INDEX('ECOMMERS SALES'!$A:$J,MATCH('index match'!$A459,'ECOMMERS SALES'!$C:$C,0),MATCH('index match'!F$1,ECOMMERS_SALES[#Headers],0))</f>
        <v>905</v>
      </c>
      <c r="G459">
        <f>INDEX('ECOMMERS SALES'!$A:$J,MATCH('index match'!$A459,'ECOMMERS SALES'!$C:$C,0),MATCH('index match'!G$1,ECOMMERS_SALES[#Headers],0))</f>
        <v>1810</v>
      </c>
      <c r="H459" t="str">
        <f>INDEX('ECOMMERS SALES'!$A:$J,MATCH('index match'!$A459,'ECOMMERS SALES'!$C:$C,0),MATCH('index match'!H$1,ECOMMERS_SALES[#Headers],0))</f>
        <v>Bangalore</v>
      </c>
      <c r="I459" t="str">
        <f>INDEX('ECOMMERS SALES'!$A:$J,MATCH('index match'!$A459,'ECOMMERS SALES'!$C:$C,0),MATCH('index match'!I$1,ECOMMERS_SALES[#Headers],0))</f>
        <v>New</v>
      </c>
      <c r="J459" t="str">
        <f>INDEX('ECOMMERS SALES'!$A:$J,MATCH('index match'!$A459,'ECOMMERS SALES'!$C:$C,0),MATCH('index match'!J$1,ECOMMERS_SALES[#Headers],0))</f>
        <v>COD</v>
      </c>
    </row>
    <row r="460" spans="1:10" x14ac:dyDescent="0.35">
      <c r="A460" t="s">
        <v>42</v>
      </c>
      <c r="B460">
        <f>INDEX('ECOMMERS SALES'!$A:$J,MATCH('index match'!$A460,'ECOMMERS SALES'!$C:$C,0),MATCH('index match'!B$1,ECOMMERS_SALES[#Headers],0))</f>
        <v>1009</v>
      </c>
      <c r="C460" t="str">
        <f>INDEX('ECOMMERS SALES'!$A:$J,MATCH('index match'!$A460,'ECOMMERS SALES'!$C:$C,0),MATCH('index match'!C$1,ECOMMERS_SALES[#Headers],0))</f>
        <v>10-01-2025</v>
      </c>
      <c r="D460" t="str">
        <f>INDEX('ECOMMERS SALES'!$A:$J,MATCH('index match'!$A460,'ECOMMERS SALES'!$C:$C,0),MATCH('index match'!D$1,ECOMMERS_SALES[#Headers],0))</f>
        <v>Electronics</v>
      </c>
      <c r="E460">
        <f>INDEX('ECOMMERS SALES'!$A:$J,MATCH('index match'!$A460,'ECOMMERS SALES'!$C:$C,0),MATCH('index match'!E$1,ECOMMERS_SALES[#Headers],0))</f>
        <v>1</v>
      </c>
      <c r="F460">
        <f>INDEX('ECOMMERS SALES'!$A:$J,MATCH('index match'!$A460,'ECOMMERS SALES'!$C:$C,0),MATCH('index match'!F$1,ECOMMERS_SALES[#Headers],0))</f>
        <v>8563</v>
      </c>
      <c r="G460">
        <f>INDEX('ECOMMERS SALES'!$A:$J,MATCH('index match'!$A460,'ECOMMERS SALES'!$C:$C,0),MATCH('index match'!G$1,ECOMMERS_SALES[#Headers],0))</f>
        <v>8563</v>
      </c>
      <c r="H460" t="str">
        <f>INDEX('ECOMMERS SALES'!$A:$J,MATCH('index match'!$A460,'ECOMMERS SALES'!$C:$C,0),MATCH('index match'!H$1,ECOMMERS_SALES[#Headers],0))</f>
        <v>Hyderabad</v>
      </c>
      <c r="I460" t="str">
        <f>INDEX('ECOMMERS SALES'!$A:$J,MATCH('index match'!$A460,'ECOMMERS SALES'!$C:$C,0),MATCH('index match'!I$1,ECOMMERS_SALES[#Headers],0))</f>
        <v>Returning</v>
      </c>
      <c r="J460" t="str">
        <f>INDEX('ECOMMERS SALES'!$A:$J,MATCH('index match'!$A460,'ECOMMERS SALES'!$C:$C,0),MATCH('index match'!J$1,ECOMMERS_SALES[#Headers],0))</f>
        <v>Card</v>
      </c>
    </row>
    <row r="461" spans="1:10" x14ac:dyDescent="0.35">
      <c r="A461" t="s">
        <v>44</v>
      </c>
      <c r="B461">
        <f>INDEX('ECOMMERS SALES'!$A:$J,MATCH('index match'!$A461,'ECOMMERS SALES'!$C:$C,0),MATCH('index match'!B$1,ECOMMERS_SALES[#Headers],0))</f>
        <v>1010</v>
      </c>
      <c r="C461" t="str">
        <f>INDEX('ECOMMERS SALES'!$A:$J,MATCH('index match'!$A461,'ECOMMERS SALES'!$C:$C,0),MATCH('index match'!C$1,ECOMMERS_SALES[#Headers],0))</f>
        <v>11-01-2025</v>
      </c>
      <c r="D461" t="str">
        <f>INDEX('ECOMMERS SALES'!$A:$J,MATCH('index match'!$A461,'ECOMMERS SALES'!$C:$C,0),MATCH('index match'!D$1,ECOMMERS_SALES[#Headers],0))</f>
        <v>Other</v>
      </c>
      <c r="E461">
        <f>INDEX('ECOMMERS SALES'!$A:$J,MATCH('index match'!$A461,'ECOMMERS SALES'!$C:$C,0),MATCH('index match'!E$1,ECOMMERS_SALES[#Headers],0))</f>
        <v>1</v>
      </c>
      <c r="F461">
        <f>INDEX('ECOMMERS SALES'!$A:$J,MATCH('index match'!$A461,'ECOMMERS SALES'!$C:$C,0),MATCH('index match'!F$1,ECOMMERS_SALES[#Headers],0))</f>
        <v>268</v>
      </c>
      <c r="G461">
        <f>INDEX('ECOMMERS SALES'!$A:$J,MATCH('index match'!$A461,'ECOMMERS SALES'!$C:$C,0),MATCH('index match'!G$1,ECOMMERS_SALES[#Headers],0))</f>
        <v>268</v>
      </c>
      <c r="H461" t="str">
        <f>INDEX('ECOMMERS SALES'!$A:$J,MATCH('index match'!$A461,'ECOMMERS SALES'!$C:$C,0),MATCH('index match'!H$1,ECOMMERS_SALES[#Headers],0))</f>
        <v>Chennai</v>
      </c>
      <c r="I461" t="str">
        <f>INDEX('ECOMMERS SALES'!$A:$J,MATCH('index match'!$A461,'ECOMMERS SALES'!$C:$C,0),MATCH('index match'!I$1,ECOMMERS_SALES[#Headers],0))</f>
        <v>New</v>
      </c>
      <c r="J461" t="str">
        <f>INDEX('ECOMMERS SALES'!$A:$J,MATCH('index match'!$A461,'ECOMMERS SALES'!$C:$C,0),MATCH('index match'!J$1,ECOMMERS_SALES[#Headers],0))</f>
        <v>UPI</v>
      </c>
    </row>
    <row r="462" spans="1:10" x14ac:dyDescent="0.35">
      <c r="A462" t="s">
        <v>11</v>
      </c>
      <c r="B462">
        <f>INDEX('ECOMMERS SALES'!$A:$J,MATCH('index match'!$A462,'ECOMMERS SALES'!$C:$C,0),MATCH('index match'!B$1,ECOMMERS_SALES[#Headers],0))</f>
        <v>1001</v>
      </c>
      <c r="C462" t="str">
        <f>INDEX('ECOMMERS SALES'!$A:$J,MATCH('index match'!$A462,'ECOMMERS SALES'!$C:$C,0),MATCH('index match'!C$1,ECOMMERS_SALES[#Headers],0))</f>
        <v>02-01-2025</v>
      </c>
      <c r="D462" t="str">
        <f>INDEX('ECOMMERS SALES'!$A:$J,MATCH('index match'!$A462,'ECOMMERS SALES'!$C:$C,0),MATCH('index match'!D$1,ECOMMERS_SALES[#Headers],0))</f>
        <v>Electronics</v>
      </c>
      <c r="E462">
        <f>INDEX('ECOMMERS SALES'!$A:$J,MATCH('index match'!$A462,'ECOMMERS SALES'!$C:$C,0),MATCH('index match'!E$1,ECOMMERS_SALES[#Headers],0))</f>
        <v>2</v>
      </c>
      <c r="F462">
        <f>INDEX('ECOMMERS SALES'!$A:$J,MATCH('index match'!$A462,'ECOMMERS SALES'!$C:$C,0),MATCH('index match'!F$1,ECOMMERS_SALES[#Headers],0))</f>
        <v>50353</v>
      </c>
      <c r="G462">
        <f>INDEX('ECOMMERS SALES'!$A:$J,MATCH('index match'!$A462,'ECOMMERS SALES'!$C:$C,0),MATCH('index match'!G$1,ECOMMERS_SALES[#Headers],0))</f>
        <v>100706</v>
      </c>
      <c r="H462" t="str">
        <f>INDEX('ECOMMERS SALES'!$A:$J,MATCH('index match'!$A462,'ECOMMERS SALES'!$C:$C,0),MATCH('index match'!H$1,ECOMMERS_SALES[#Headers],0))</f>
        <v>Chennai</v>
      </c>
      <c r="I462" t="str">
        <f>INDEX('ECOMMERS SALES'!$A:$J,MATCH('index match'!$A462,'ECOMMERS SALES'!$C:$C,0),MATCH('index match'!I$1,ECOMMERS_SALES[#Headers],0))</f>
        <v>Premimum</v>
      </c>
      <c r="J462" t="str">
        <f>INDEX('ECOMMERS SALES'!$A:$J,MATCH('index match'!$A462,'ECOMMERS SALES'!$C:$C,0),MATCH('index match'!J$1,ECOMMERS_SALES[#Headers],0))</f>
        <v>Card</v>
      </c>
    </row>
    <row r="463" spans="1:10" x14ac:dyDescent="0.35">
      <c r="A463" t="s">
        <v>17</v>
      </c>
      <c r="B463">
        <f>INDEX('ECOMMERS SALES'!$A:$J,MATCH('index match'!$A463,'ECOMMERS SALES'!$C:$C,0),MATCH('index match'!B$1,ECOMMERS_SALES[#Headers],0))</f>
        <v>1002</v>
      </c>
      <c r="C463" t="str">
        <f>INDEX('ECOMMERS SALES'!$A:$J,MATCH('index match'!$A463,'ECOMMERS SALES'!$C:$C,0),MATCH('index match'!C$1,ECOMMERS_SALES[#Headers],0))</f>
        <v>03-01-2025</v>
      </c>
      <c r="D463" t="str">
        <f>INDEX('ECOMMERS SALES'!$A:$J,MATCH('index match'!$A463,'ECOMMERS SALES'!$C:$C,0),MATCH('index match'!D$1,ECOMMERS_SALES[#Headers],0))</f>
        <v>Electronics</v>
      </c>
      <c r="E463">
        <f>INDEX('ECOMMERS SALES'!$A:$J,MATCH('index match'!$A463,'ECOMMERS SALES'!$C:$C,0),MATCH('index match'!E$1,ECOMMERS_SALES[#Headers],0))</f>
        <v>2</v>
      </c>
      <c r="F463">
        <f>INDEX('ECOMMERS SALES'!$A:$J,MATCH('index match'!$A463,'ECOMMERS SALES'!$C:$C,0),MATCH('index match'!F$1,ECOMMERS_SALES[#Headers],0))</f>
        <v>2008</v>
      </c>
      <c r="G463">
        <f>INDEX('ECOMMERS SALES'!$A:$J,MATCH('index match'!$A463,'ECOMMERS SALES'!$C:$C,0),MATCH('index match'!G$1,ECOMMERS_SALES[#Headers],0))</f>
        <v>4016</v>
      </c>
      <c r="H463" t="str">
        <f>INDEX('ECOMMERS SALES'!$A:$J,MATCH('index match'!$A463,'ECOMMERS SALES'!$C:$C,0),MATCH('index match'!H$1,ECOMMERS_SALES[#Headers],0))</f>
        <v>Delhi</v>
      </c>
      <c r="I463" t="str">
        <f>INDEX('ECOMMERS SALES'!$A:$J,MATCH('index match'!$A463,'ECOMMERS SALES'!$C:$C,0),MATCH('index match'!I$1,ECOMMERS_SALES[#Headers],0))</f>
        <v>New</v>
      </c>
      <c r="J463" t="str">
        <f>INDEX('ECOMMERS SALES'!$A:$J,MATCH('index match'!$A463,'ECOMMERS SALES'!$C:$C,0),MATCH('index match'!J$1,ECOMMERS_SALES[#Headers],0))</f>
        <v>UPI</v>
      </c>
    </row>
    <row r="464" spans="1:10" x14ac:dyDescent="0.35">
      <c r="A464" t="s">
        <v>22</v>
      </c>
      <c r="B464">
        <f>INDEX('ECOMMERS SALES'!$A:$J,MATCH('index match'!$A464,'ECOMMERS SALES'!$C:$C,0),MATCH('index match'!B$1,ECOMMERS_SALES[#Headers],0))</f>
        <v>1003</v>
      </c>
      <c r="C464" t="str">
        <f>INDEX('ECOMMERS SALES'!$A:$J,MATCH('index match'!$A464,'ECOMMERS SALES'!$C:$C,0),MATCH('index match'!C$1,ECOMMERS_SALES[#Headers],0))</f>
        <v>04-01-2025</v>
      </c>
      <c r="D464" t="str">
        <f>INDEX('ECOMMERS SALES'!$A:$J,MATCH('index match'!$A464,'ECOMMERS SALES'!$C:$C,0),MATCH('index match'!D$1,ECOMMERS_SALES[#Headers],0))</f>
        <v>Fashion</v>
      </c>
      <c r="E464">
        <f>INDEX('ECOMMERS SALES'!$A:$J,MATCH('index match'!$A464,'ECOMMERS SALES'!$C:$C,0),MATCH('index match'!E$1,ECOMMERS_SALES[#Headers],0))</f>
        <v>1</v>
      </c>
      <c r="F464">
        <f>INDEX('ECOMMERS SALES'!$A:$J,MATCH('index match'!$A464,'ECOMMERS SALES'!$C:$C,0),MATCH('index match'!F$1,ECOMMERS_SALES[#Headers],0))</f>
        <v>4736</v>
      </c>
      <c r="G464">
        <f>INDEX('ECOMMERS SALES'!$A:$J,MATCH('index match'!$A464,'ECOMMERS SALES'!$C:$C,0),MATCH('index match'!G$1,ECOMMERS_SALES[#Headers],0))</f>
        <v>4736</v>
      </c>
      <c r="H464" t="str">
        <f>INDEX('ECOMMERS SALES'!$A:$J,MATCH('index match'!$A464,'ECOMMERS SALES'!$C:$C,0),MATCH('index match'!H$1,ECOMMERS_SALES[#Headers],0))</f>
        <v>Chennai</v>
      </c>
      <c r="I464" t="str">
        <f>INDEX('ECOMMERS SALES'!$A:$J,MATCH('index match'!$A464,'ECOMMERS SALES'!$C:$C,0),MATCH('index match'!I$1,ECOMMERS_SALES[#Headers],0))</f>
        <v>New</v>
      </c>
      <c r="J464" t="str">
        <f>INDEX('ECOMMERS SALES'!$A:$J,MATCH('index match'!$A464,'ECOMMERS SALES'!$C:$C,0),MATCH('index match'!J$1,ECOMMERS_SALES[#Headers],0))</f>
        <v>UPI</v>
      </c>
    </row>
    <row r="465" spans="1:10" x14ac:dyDescent="0.35">
      <c r="A465" t="s">
        <v>25</v>
      </c>
      <c r="B465">
        <f>INDEX('ECOMMERS SALES'!$A:$J,MATCH('index match'!$A465,'ECOMMERS SALES'!$C:$C,0),MATCH('index match'!B$1,ECOMMERS_SALES[#Headers],0))</f>
        <v>1004</v>
      </c>
      <c r="C465" t="str">
        <f>INDEX('ECOMMERS SALES'!$A:$J,MATCH('index match'!$A465,'ECOMMERS SALES'!$C:$C,0),MATCH('index match'!C$1,ECOMMERS_SALES[#Headers],0))</f>
        <v>05-01-2025</v>
      </c>
      <c r="D465" t="str">
        <f>INDEX('ECOMMERS SALES'!$A:$J,MATCH('index match'!$A465,'ECOMMERS SALES'!$C:$C,0),MATCH('index match'!D$1,ECOMMERS_SALES[#Headers],0))</f>
        <v>Other</v>
      </c>
      <c r="E465">
        <f>INDEX('ECOMMERS SALES'!$A:$J,MATCH('index match'!$A465,'ECOMMERS SALES'!$C:$C,0),MATCH('index match'!E$1,ECOMMERS_SALES[#Headers],0))</f>
        <v>2</v>
      </c>
      <c r="F465">
        <f>INDEX('ECOMMERS SALES'!$A:$J,MATCH('index match'!$A465,'ECOMMERS SALES'!$C:$C,0),MATCH('index match'!F$1,ECOMMERS_SALES[#Headers],0))</f>
        <v>10072</v>
      </c>
      <c r="G465">
        <f>INDEX('ECOMMERS SALES'!$A:$J,MATCH('index match'!$A465,'ECOMMERS SALES'!$C:$C,0),MATCH('index match'!G$1,ECOMMERS_SALES[#Headers],0))</f>
        <v>20144</v>
      </c>
      <c r="H465" t="str">
        <f>INDEX('ECOMMERS SALES'!$A:$J,MATCH('index match'!$A465,'ECOMMERS SALES'!$C:$C,0),MATCH('index match'!H$1,ECOMMERS_SALES[#Headers],0))</f>
        <v>Pune</v>
      </c>
      <c r="I465" t="str">
        <f>INDEX('ECOMMERS SALES'!$A:$J,MATCH('index match'!$A465,'ECOMMERS SALES'!$C:$C,0),MATCH('index match'!I$1,ECOMMERS_SALES[#Headers],0))</f>
        <v>Premimum</v>
      </c>
      <c r="J465" t="str">
        <f>INDEX('ECOMMERS SALES'!$A:$J,MATCH('index match'!$A465,'ECOMMERS SALES'!$C:$C,0),MATCH('index match'!J$1,ECOMMERS_SALES[#Headers],0))</f>
        <v>Card</v>
      </c>
    </row>
    <row r="466" spans="1:10" x14ac:dyDescent="0.35">
      <c r="A466" t="s">
        <v>29</v>
      </c>
      <c r="B466">
        <f>INDEX('ECOMMERS SALES'!$A:$J,MATCH('index match'!$A466,'ECOMMERS SALES'!$C:$C,0),MATCH('index match'!B$1,ECOMMERS_SALES[#Headers],0))</f>
        <v>1005</v>
      </c>
      <c r="C466" t="str">
        <f>INDEX('ECOMMERS SALES'!$A:$J,MATCH('index match'!$A466,'ECOMMERS SALES'!$C:$C,0),MATCH('index match'!C$1,ECOMMERS_SALES[#Headers],0))</f>
        <v>06-01-2025</v>
      </c>
      <c r="D466" t="str">
        <f>INDEX('ECOMMERS SALES'!$A:$J,MATCH('index match'!$A466,'ECOMMERS SALES'!$C:$C,0),MATCH('index match'!D$1,ECOMMERS_SALES[#Headers],0))</f>
        <v>Other</v>
      </c>
      <c r="E466">
        <f>INDEX('ECOMMERS SALES'!$A:$J,MATCH('index match'!$A466,'ECOMMERS SALES'!$C:$C,0),MATCH('index match'!E$1,ECOMMERS_SALES[#Headers],0))</f>
        <v>2</v>
      </c>
      <c r="F466">
        <f>INDEX('ECOMMERS SALES'!$A:$J,MATCH('index match'!$A466,'ECOMMERS SALES'!$C:$C,0),MATCH('index match'!F$1,ECOMMERS_SALES[#Headers],0))</f>
        <v>920</v>
      </c>
      <c r="G466">
        <f>INDEX('ECOMMERS SALES'!$A:$J,MATCH('index match'!$A466,'ECOMMERS SALES'!$C:$C,0),MATCH('index match'!G$1,ECOMMERS_SALES[#Headers],0))</f>
        <v>1840</v>
      </c>
      <c r="H466" t="str">
        <f>INDEX('ECOMMERS SALES'!$A:$J,MATCH('index match'!$A466,'ECOMMERS SALES'!$C:$C,0),MATCH('index match'!H$1,ECOMMERS_SALES[#Headers],0))</f>
        <v>Pune</v>
      </c>
      <c r="I466" t="str">
        <f>INDEX('ECOMMERS SALES'!$A:$J,MATCH('index match'!$A466,'ECOMMERS SALES'!$C:$C,0),MATCH('index match'!I$1,ECOMMERS_SALES[#Headers],0))</f>
        <v>New</v>
      </c>
      <c r="J466" t="str">
        <f>INDEX('ECOMMERS SALES'!$A:$J,MATCH('index match'!$A466,'ECOMMERS SALES'!$C:$C,0),MATCH('index match'!J$1,ECOMMERS_SALES[#Headers],0))</f>
        <v>UPI</v>
      </c>
    </row>
    <row r="467" spans="1:10" x14ac:dyDescent="0.35">
      <c r="A467" t="s">
        <v>31</v>
      </c>
      <c r="B467">
        <f>INDEX('ECOMMERS SALES'!$A:$J,MATCH('index match'!$A467,'ECOMMERS SALES'!$C:$C,0),MATCH('index match'!B$1,ECOMMERS_SALES[#Headers],0))</f>
        <v>1006</v>
      </c>
      <c r="C467" t="str">
        <f>INDEX('ECOMMERS SALES'!$A:$J,MATCH('index match'!$A467,'ECOMMERS SALES'!$C:$C,0),MATCH('index match'!C$1,ECOMMERS_SALES[#Headers],0))</f>
        <v>07-01-2025</v>
      </c>
      <c r="D467" t="str">
        <f>INDEX('ECOMMERS SALES'!$A:$J,MATCH('index match'!$A467,'ECOMMERS SALES'!$C:$C,0),MATCH('index match'!D$1,ECOMMERS_SALES[#Headers],0))</f>
        <v>Electronics</v>
      </c>
      <c r="E467">
        <f>INDEX('ECOMMERS SALES'!$A:$J,MATCH('index match'!$A467,'ECOMMERS SALES'!$C:$C,0),MATCH('index match'!E$1,ECOMMERS_SALES[#Headers],0))</f>
        <v>1</v>
      </c>
      <c r="F467">
        <f>INDEX('ECOMMERS SALES'!$A:$J,MATCH('index match'!$A467,'ECOMMERS SALES'!$C:$C,0),MATCH('index match'!F$1,ECOMMERS_SALES[#Headers],0))</f>
        <v>13225</v>
      </c>
      <c r="G467">
        <f>INDEX('ECOMMERS SALES'!$A:$J,MATCH('index match'!$A467,'ECOMMERS SALES'!$C:$C,0),MATCH('index match'!G$1,ECOMMERS_SALES[#Headers],0))</f>
        <v>13225</v>
      </c>
      <c r="H467" t="str">
        <f>INDEX('ECOMMERS SALES'!$A:$J,MATCH('index match'!$A467,'ECOMMERS SALES'!$C:$C,0),MATCH('index match'!H$1,ECOMMERS_SALES[#Headers],0))</f>
        <v>Delhi</v>
      </c>
      <c r="I467" t="str">
        <f>INDEX('ECOMMERS SALES'!$A:$J,MATCH('index match'!$A467,'ECOMMERS SALES'!$C:$C,0),MATCH('index match'!I$1,ECOMMERS_SALES[#Headers],0))</f>
        <v>Returning</v>
      </c>
      <c r="J467" t="str">
        <f>INDEX('ECOMMERS SALES'!$A:$J,MATCH('index match'!$A467,'ECOMMERS SALES'!$C:$C,0),MATCH('index match'!J$1,ECOMMERS_SALES[#Headers],0))</f>
        <v>COD</v>
      </c>
    </row>
    <row r="468" spans="1:10" x14ac:dyDescent="0.35">
      <c r="A468" t="s">
        <v>35</v>
      </c>
      <c r="B468">
        <f>INDEX('ECOMMERS SALES'!$A:$J,MATCH('index match'!$A468,'ECOMMERS SALES'!$C:$C,0),MATCH('index match'!B$1,ECOMMERS_SALES[#Headers],0))</f>
        <v>1007</v>
      </c>
      <c r="C468" t="str">
        <f>INDEX('ECOMMERS SALES'!$A:$J,MATCH('index match'!$A468,'ECOMMERS SALES'!$C:$C,0),MATCH('index match'!C$1,ECOMMERS_SALES[#Headers],0))</f>
        <v>08-01-2025</v>
      </c>
      <c r="D468" t="str">
        <f>INDEX('ECOMMERS SALES'!$A:$J,MATCH('index match'!$A468,'ECOMMERS SALES'!$C:$C,0),MATCH('index match'!D$1,ECOMMERS_SALES[#Headers],0))</f>
        <v>Books</v>
      </c>
      <c r="E468">
        <f>INDEX('ECOMMERS SALES'!$A:$J,MATCH('index match'!$A468,'ECOMMERS SALES'!$C:$C,0),MATCH('index match'!E$1,ECOMMERS_SALES[#Headers],0))</f>
        <v>3</v>
      </c>
      <c r="F468">
        <f>INDEX('ECOMMERS SALES'!$A:$J,MATCH('index match'!$A468,'ECOMMERS SALES'!$C:$C,0),MATCH('index match'!F$1,ECOMMERS_SALES[#Headers],0))</f>
        <v>621</v>
      </c>
      <c r="G468">
        <f>INDEX('ECOMMERS SALES'!$A:$J,MATCH('index match'!$A468,'ECOMMERS SALES'!$C:$C,0),MATCH('index match'!G$1,ECOMMERS_SALES[#Headers],0))</f>
        <v>1863</v>
      </c>
      <c r="H468" t="str">
        <f>INDEX('ECOMMERS SALES'!$A:$J,MATCH('index match'!$A468,'ECOMMERS SALES'!$C:$C,0),MATCH('index match'!H$1,ECOMMERS_SALES[#Headers],0))</f>
        <v>Hyderabad</v>
      </c>
      <c r="I468" t="str">
        <f>INDEX('ECOMMERS SALES'!$A:$J,MATCH('index match'!$A468,'ECOMMERS SALES'!$C:$C,0),MATCH('index match'!I$1,ECOMMERS_SALES[#Headers],0))</f>
        <v>Premimum</v>
      </c>
      <c r="J468" t="str">
        <f>INDEX('ECOMMERS SALES'!$A:$J,MATCH('index match'!$A468,'ECOMMERS SALES'!$C:$C,0),MATCH('index match'!J$1,ECOMMERS_SALES[#Headers],0))</f>
        <v>UPI</v>
      </c>
    </row>
    <row r="469" spans="1:10" x14ac:dyDescent="0.35">
      <c r="A469" t="s">
        <v>39</v>
      </c>
      <c r="B469">
        <f>INDEX('ECOMMERS SALES'!$A:$J,MATCH('index match'!$A469,'ECOMMERS SALES'!$C:$C,0),MATCH('index match'!B$1,ECOMMERS_SALES[#Headers],0))</f>
        <v>1008</v>
      </c>
      <c r="C469" t="str">
        <f>INDEX('ECOMMERS SALES'!$A:$J,MATCH('index match'!$A469,'ECOMMERS SALES'!$C:$C,0),MATCH('index match'!C$1,ECOMMERS_SALES[#Headers],0))</f>
        <v>09-01-2025</v>
      </c>
      <c r="D469" t="str">
        <f>INDEX('ECOMMERS SALES'!$A:$J,MATCH('index match'!$A469,'ECOMMERS SALES'!$C:$C,0),MATCH('index match'!D$1,ECOMMERS_SALES[#Headers],0))</f>
        <v>Fashion</v>
      </c>
      <c r="E469">
        <f>INDEX('ECOMMERS SALES'!$A:$J,MATCH('index match'!$A469,'ECOMMERS SALES'!$C:$C,0),MATCH('index match'!E$1,ECOMMERS_SALES[#Headers],0))</f>
        <v>2</v>
      </c>
      <c r="F469">
        <f>INDEX('ECOMMERS SALES'!$A:$J,MATCH('index match'!$A469,'ECOMMERS SALES'!$C:$C,0),MATCH('index match'!F$1,ECOMMERS_SALES[#Headers],0))</f>
        <v>905</v>
      </c>
      <c r="G469">
        <f>INDEX('ECOMMERS SALES'!$A:$J,MATCH('index match'!$A469,'ECOMMERS SALES'!$C:$C,0),MATCH('index match'!G$1,ECOMMERS_SALES[#Headers],0))</f>
        <v>1810</v>
      </c>
      <c r="H469" t="str">
        <f>INDEX('ECOMMERS SALES'!$A:$J,MATCH('index match'!$A469,'ECOMMERS SALES'!$C:$C,0),MATCH('index match'!H$1,ECOMMERS_SALES[#Headers],0))</f>
        <v>Bangalore</v>
      </c>
      <c r="I469" t="str">
        <f>INDEX('ECOMMERS SALES'!$A:$J,MATCH('index match'!$A469,'ECOMMERS SALES'!$C:$C,0),MATCH('index match'!I$1,ECOMMERS_SALES[#Headers],0))</f>
        <v>New</v>
      </c>
      <c r="J469" t="str">
        <f>INDEX('ECOMMERS SALES'!$A:$J,MATCH('index match'!$A469,'ECOMMERS SALES'!$C:$C,0),MATCH('index match'!J$1,ECOMMERS_SALES[#Headers],0))</f>
        <v>COD</v>
      </c>
    </row>
    <row r="470" spans="1:10" x14ac:dyDescent="0.35">
      <c r="A470" t="s">
        <v>42</v>
      </c>
      <c r="B470">
        <f>INDEX('ECOMMERS SALES'!$A:$J,MATCH('index match'!$A470,'ECOMMERS SALES'!$C:$C,0),MATCH('index match'!B$1,ECOMMERS_SALES[#Headers],0))</f>
        <v>1009</v>
      </c>
      <c r="C470" t="str">
        <f>INDEX('ECOMMERS SALES'!$A:$J,MATCH('index match'!$A470,'ECOMMERS SALES'!$C:$C,0),MATCH('index match'!C$1,ECOMMERS_SALES[#Headers],0))</f>
        <v>10-01-2025</v>
      </c>
      <c r="D470" t="str">
        <f>INDEX('ECOMMERS SALES'!$A:$J,MATCH('index match'!$A470,'ECOMMERS SALES'!$C:$C,0),MATCH('index match'!D$1,ECOMMERS_SALES[#Headers],0))</f>
        <v>Electronics</v>
      </c>
      <c r="E470">
        <f>INDEX('ECOMMERS SALES'!$A:$J,MATCH('index match'!$A470,'ECOMMERS SALES'!$C:$C,0),MATCH('index match'!E$1,ECOMMERS_SALES[#Headers],0))</f>
        <v>1</v>
      </c>
      <c r="F470">
        <f>INDEX('ECOMMERS SALES'!$A:$J,MATCH('index match'!$A470,'ECOMMERS SALES'!$C:$C,0),MATCH('index match'!F$1,ECOMMERS_SALES[#Headers],0))</f>
        <v>8563</v>
      </c>
      <c r="G470">
        <f>INDEX('ECOMMERS SALES'!$A:$J,MATCH('index match'!$A470,'ECOMMERS SALES'!$C:$C,0),MATCH('index match'!G$1,ECOMMERS_SALES[#Headers],0))</f>
        <v>8563</v>
      </c>
      <c r="H470" t="str">
        <f>INDEX('ECOMMERS SALES'!$A:$J,MATCH('index match'!$A470,'ECOMMERS SALES'!$C:$C,0),MATCH('index match'!H$1,ECOMMERS_SALES[#Headers],0))</f>
        <v>Hyderabad</v>
      </c>
      <c r="I470" t="str">
        <f>INDEX('ECOMMERS SALES'!$A:$J,MATCH('index match'!$A470,'ECOMMERS SALES'!$C:$C,0),MATCH('index match'!I$1,ECOMMERS_SALES[#Headers],0))</f>
        <v>Returning</v>
      </c>
      <c r="J470" t="str">
        <f>INDEX('ECOMMERS SALES'!$A:$J,MATCH('index match'!$A470,'ECOMMERS SALES'!$C:$C,0),MATCH('index match'!J$1,ECOMMERS_SALES[#Headers],0))</f>
        <v>Card</v>
      </c>
    </row>
    <row r="471" spans="1:10" x14ac:dyDescent="0.35">
      <c r="A471" t="s">
        <v>44</v>
      </c>
      <c r="B471">
        <f>INDEX('ECOMMERS SALES'!$A:$J,MATCH('index match'!$A471,'ECOMMERS SALES'!$C:$C,0),MATCH('index match'!B$1,ECOMMERS_SALES[#Headers],0))</f>
        <v>1010</v>
      </c>
      <c r="C471" t="str">
        <f>INDEX('ECOMMERS SALES'!$A:$J,MATCH('index match'!$A471,'ECOMMERS SALES'!$C:$C,0),MATCH('index match'!C$1,ECOMMERS_SALES[#Headers],0))</f>
        <v>11-01-2025</v>
      </c>
      <c r="D471" t="str">
        <f>INDEX('ECOMMERS SALES'!$A:$J,MATCH('index match'!$A471,'ECOMMERS SALES'!$C:$C,0),MATCH('index match'!D$1,ECOMMERS_SALES[#Headers],0))</f>
        <v>Other</v>
      </c>
      <c r="E471">
        <f>INDEX('ECOMMERS SALES'!$A:$J,MATCH('index match'!$A471,'ECOMMERS SALES'!$C:$C,0),MATCH('index match'!E$1,ECOMMERS_SALES[#Headers],0))</f>
        <v>1</v>
      </c>
      <c r="F471">
        <f>INDEX('ECOMMERS SALES'!$A:$J,MATCH('index match'!$A471,'ECOMMERS SALES'!$C:$C,0),MATCH('index match'!F$1,ECOMMERS_SALES[#Headers],0))</f>
        <v>268</v>
      </c>
      <c r="G471">
        <f>INDEX('ECOMMERS SALES'!$A:$J,MATCH('index match'!$A471,'ECOMMERS SALES'!$C:$C,0),MATCH('index match'!G$1,ECOMMERS_SALES[#Headers],0))</f>
        <v>268</v>
      </c>
      <c r="H471" t="str">
        <f>INDEX('ECOMMERS SALES'!$A:$J,MATCH('index match'!$A471,'ECOMMERS SALES'!$C:$C,0),MATCH('index match'!H$1,ECOMMERS_SALES[#Headers],0))</f>
        <v>Chennai</v>
      </c>
      <c r="I471" t="str">
        <f>INDEX('ECOMMERS SALES'!$A:$J,MATCH('index match'!$A471,'ECOMMERS SALES'!$C:$C,0),MATCH('index match'!I$1,ECOMMERS_SALES[#Headers],0))</f>
        <v>New</v>
      </c>
      <c r="J471" t="str">
        <f>INDEX('ECOMMERS SALES'!$A:$J,MATCH('index match'!$A471,'ECOMMERS SALES'!$C:$C,0),MATCH('index match'!J$1,ECOMMERS_SALES[#Headers],0))</f>
        <v>UPI</v>
      </c>
    </row>
    <row r="472" spans="1:10" x14ac:dyDescent="0.35">
      <c r="A472" t="s">
        <v>11</v>
      </c>
      <c r="B472">
        <f>INDEX('ECOMMERS SALES'!$A:$J,MATCH('index match'!$A472,'ECOMMERS SALES'!$C:$C,0),MATCH('index match'!B$1,ECOMMERS_SALES[#Headers],0))</f>
        <v>1001</v>
      </c>
      <c r="C472" t="str">
        <f>INDEX('ECOMMERS SALES'!$A:$J,MATCH('index match'!$A472,'ECOMMERS SALES'!$C:$C,0),MATCH('index match'!C$1,ECOMMERS_SALES[#Headers],0))</f>
        <v>02-01-2025</v>
      </c>
      <c r="D472" t="str">
        <f>INDEX('ECOMMERS SALES'!$A:$J,MATCH('index match'!$A472,'ECOMMERS SALES'!$C:$C,0),MATCH('index match'!D$1,ECOMMERS_SALES[#Headers],0))</f>
        <v>Electronics</v>
      </c>
      <c r="E472">
        <f>INDEX('ECOMMERS SALES'!$A:$J,MATCH('index match'!$A472,'ECOMMERS SALES'!$C:$C,0),MATCH('index match'!E$1,ECOMMERS_SALES[#Headers],0))</f>
        <v>2</v>
      </c>
      <c r="F472">
        <f>INDEX('ECOMMERS SALES'!$A:$J,MATCH('index match'!$A472,'ECOMMERS SALES'!$C:$C,0),MATCH('index match'!F$1,ECOMMERS_SALES[#Headers],0))</f>
        <v>50353</v>
      </c>
      <c r="G472">
        <f>INDEX('ECOMMERS SALES'!$A:$J,MATCH('index match'!$A472,'ECOMMERS SALES'!$C:$C,0),MATCH('index match'!G$1,ECOMMERS_SALES[#Headers],0))</f>
        <v>100706</v>
      </c>
      <c r="H472" t="str">
        <f>INDEX('ECOMMERS SALES'!$A:$J,MATCH('index match'!$A472,'ECOMMERS SALES'!$C:$C,0),MATCH('index match'!H$1,ECOMMERS_SALES[#Headers],0))</f>
        <v>Chennai</v>
      </c>
      <c r="I472" t="str">
        <f>INDEX('ECOMMERS SALES'!$A:$J,MATCH('index match'!$A472,'ECOMMERS SALES'!$C:$C,0),MATCH('index match'!I$1,ECOMMERS_SALES[#Headers],0))</f>
        <v>Premimum</v>
      </c>
      <c r="J472" t="str">
        <f>INDEX('ECOMMERS SALES'!$A:$J,MATCH('index match'!$A472,'ECOMMERS SALES'!$C:$C,0),MATCH('index match'!J$1,ECOMMERS_SALES[#Headers],0))</f>
        <v>Card</v>
      </c>
    </row>
    <row r="473" spans="1:10" x14ac:dyDescent="0.35">
      <c r="A473" t="s">
        <v>17</v>
      </c>
      <c r="B473">
        <f>INDEX('ECOMMERS SALES'!$A:$J,MATCH('index match'!$A473,'ECOMMERS SALES'!$C:$C,0),MATCH('index match'!B$1,ECOMMERS_SALES[#Headers],0))</f>
        <v>1002</v>
      </c>
      <c r="C473" t="str">
        <f>INDEX('ECOMMERS SALES'!$A:$J,MATCH('index match'!$A473,'ECOMMERS SALES'!$C:$C,0),MATCH('index match'!C$1,ECOMMERS_SALES[#Headers],0))</f>
        <v>03-01-2025</v>
      </c>
      <c r="D473" t="str">
        <f>INDEX('ECOMMERS SALES'!$A:$J,MATCH('index match'!$A473,'ECOMMERS SALES'!$C:$C,0),MATCH('index match'!D$1,ECOMMERS_SALES[#Headers],0))</f>
        <v>Electronics</v>
      </c>
      <c r="E473">
        <f>INDEX('ECOMMERS SALES'!$A:$J,MATCH('index match'!$A473,'ECOMMERS SALES'!$C:$C,0),MATCH('index match'!E$1,ECOMMERS_SALES[#Headers],0))</f>
        <v>2</v>
      </c>
      <c r="F473">
        <f>INDEX('ECOMMERS SALES'!$A:$J,MATCH('index match'!$A473,'ECOMMERS SALES'!$C:$C,0),MATCH('index match'!F$1,ECOMMERS_SALES[#Headers],0))</f>
        <v>2008</v>
      </c>
      <c r="G473">
        <f>INDEX('ECOMMERS SALES'!$A:$J,MATCH('index match'!$A473,'ECOMMERS SALES'!$C:$C,0),MATCH('index match'!G$1,ECOMMERS_SALES[#Headers],0))</f>
        <v>4016</v>
      </c>
      <c r="H473" t="str">
        <f>INDEX('ECOMMERS SALES'!$A:$J,MATCH('index match'!$A473,'ECOMMERS SALES'!$C:$C,0),MATCH('index match'!H$1,ECOMMERS_SALES[#Headers],0))</f>
        <v>Delhi</v>
      </c>
      <c r="I473" t="str">
        <f>INDEX('ECOMMERS SALES'!$A:$J,MATCH('index match'!$A473,'ECOMMERS SALES'!$C:$C,0),MATCH('index match'!I$1,ECOMMERS_SALES[#Headers],0))</f>
        <v>New</v>
      </c>
      <c r="J473" t="str">
        <f>INDEX('ECOMMERS SALES'!$A:$J,MATCH('index match'!$A473,'ECOMMERS SALES'!$C:$C,0),MATCH('index match'!J$1,ECOMMERS_SALES[#Headers],0))</f>
        <v>UPI</v>
      </c>
    </row>
    <row r="474" spans="1:10" x14ac:dyDescent="0.35">
      <c r="A474" t="s">
        <v>22</v>
      </c>
      <c r="B474">
        <f>INDEX('ECOMMERS SALES'!$A:$J,MATCH('index match'!$A474,'ECOMMERS SALES'!$C:$C,0),MATCH('index match'!B$1,ECOMMERS_SALES[#Headers],0))</f>
        <v>1003</v>
      </c>
      <c r="C474" t="str">
        <f>INDEX('ECOMMERS SALES'!$A:$J,MATCH('index match'!$A474,'ECOMMERS SALES'!$C:$C,0),MATCH('index match'!C$1,ECOMMERS_SALES[#Headers],0))</f>
        <v>04-01-2025</v>
      </c>
      <c r="D474" t="str">
        <f>INDEX('ECOMMERS SALES'!$A:$J,MATCH('index match'!$A474,'ECOMMERS SALES'!$C:$C,0),MATCH('index match'!D$1,ECOMMERS_SALES[#Headers],0))</f>
        <v>Fashion</v>
      </c>
      <c r="E474">
        <f>INDEX('ECOMMERS SALES'!$A:$J,MATCH('index match'!$A474,'ECOMMERS SALES'!$C:$C,0),MATCH('index match'!E$1,ECOMMERS_SALES[#Headers],0))</f>
        <v>1</v>
      </c>
      <c r="F474">
        <f>INDEX('ECOMMERS SALES'!$A:$J,MATCH('index match'!$A474,'ECOMMERS SALES'!$C:$C,0),MATCH('index match'!F$1,ECOMMERS_SALES[#Headers],0))</f>
        <v>4736</v>
      </c>
      <c r="G474">
        <f>INDEX('ECOMMERS SALES'!$A:$J,MATCH('index match'!$A474,'ECOMMERS SALES'!$C:$C,0),MATCH('index match'!G$1,ECOMMERS_SALES[#Headers],0))</f>
        <v>4736</v>
      </c>
      <c r="H474" t="str">
        <f>INDEX('ECOMMERS SALES'!$A:$J,MATCH('index match'!$A474,'ECOMMERS SALES'!$C:$C,0),MATCH('index match'!H$1,ECOMMERS_SALES[#Headers],0))</f>
        <v>Chennai</v>
      </c>
      <c r="I474" t="str">
        <f>INDEX('ECOMMERS SALES'!$A:$J,MATCH('index match'!$A474,'ECOMMERS SALES'!$C:$C,0),MATCH('index match'!I$1,ECOMMERS_SALES[#Headers],0))</f>
        <v>New</v>
      </c>
      <c r="J474" t="str">
        <f>INDEX('ECOMMERS SALES'!$A:$J,MATCH('index match'!$A474,'ECOMMERS SALES'!$C:$C,0),MATCH('index match'!J$1,ECOMMERS_SALES[#Headers],0))</f>
        <v>UPI</v>
      </c>
    </row>
    <row r="475" spans="1:10" x14ac:dyDescent="0.35">
      <c r="A475" t="s">
        <v>25</v>
      </c>
      <c r="B475">
        <f>INDEX('ECOMMERS SALES'!$A:$J,MATCH('index match'!$A475,'ECOMMERS SALES'!$C:$C,0),MATCH('index match'!B$1,ECOMMERS_SALES[#Headers],0))</f>
        <v>1004</v>
      </c>
      <c r="C475" t="str">
        <f>INDEX('ECOMMERS SALES'!$A:$J,MATCH('index match'!$A475,'ECOMMERS SALES'!$C:$C,0),MATCH('index match'!C$1,ECOMMERS_SALES[#Headers],0))</f>
        <v>05-01-2025</v>
      </c>
      <c r="D475" t="str">
        <f>INDEX('ECOMMERS SALES'!$A:$J,MATCH('index match'!$A475,'ECOMMERS SALES'!$C:$C,0),MATCH('index match'!D$1,ECOMMERS_SALES[#Headers],0))</f>
        <v>Other</v>
      </c>
      <c r="E475">
        <f>INDEX('ECOMMERS SALES'!$A:$J,MATCH('index match'!$A475,'ECOMMERS SALES'!$C:$C,0),MATCH('index match'!E$1,ECOMMERS_SALES[#Headers],0))</f>
        <v>2</v>
      </c>
      <c r="F475">
        <f>INDEX('ECOMMERS SALES'!$A:$J,MATCH('index match'!$A475,'ECOMMERS SALES'!$C:$C,0),MATCH('index match'!F$1,ECOMMERS_SALES[#Headers],0))</f>
        <v>10072</v>
      </c>
      <c r="G475">
        <f>INDEX('ECOMMERS SALES'!$A:$J,MATCH('index match'!$A475,'ECOMMERS SALES'!$C:$C,0),MATCH('index match'!G$1,ECOMMERS_SALES[#Headers],0))</f>
        <v>20144</v>
      </c>
      <c r="H475" t="str">
        <f>INDEX('ECOMMERS SALES'!$A:$J,MATCH('index match'!$A475,'ECOMMERS SALES'!$C:$C,0),MATCH('index match'!H$1,ECOMMERS_SALES[#Headers],0))</f>
        <v>Pune</v>
      </c>
      <c r="I475" t="str">
        <f>INDEX('ECOMMERS SALES'!$A:$J,MATCH('index match'!$A475,'ECOMMERS SALES'!$C:$C,0),MATCH('index match'!I$1,ECOMMERS_SALES[#Headers],0))</f>
        <v>Premimum</v>
      </c>
      <c r="J475" t="str">
        <f>INDEX('ECOMMERS SALES'!$A:$J,MATCH('index match'!$A475,'ECOMMERS SALES'!$C:$C,0),MATCH('index match'!J$1,ECOMMERS_SALES[#Headers],0))</f>
        <v>Card</v>
      </c>
    </row>
    <row r="476" spans="1:10" x14ac:dyDescent="0.35">
      <c r="A476" t="s">
        <v>29</v>
      </c>
      <c r="B476">
        <f>INDEX('ECOMMERS SALES'!$A:$J,MATCH('index match'!$A476,'ECOMMERS SALES'!$C:$C,0),MATCH('index match'!B$1,ECOMMERS_SALES[#Headers],0))</f>
        <v>1005</v>
      </c>
      <c r="C476" t="str">
        <f>INDEX('ECOMMERS SALES'!$A:$J,MATCH('index match'!$A476,'ECOMMERS SALES'!$C:$C,0),MATCH('index match'!C$1,ECOMMERS_SALES[#Headers],0))</f>
        <v>06-01-2025</v>
      </c>
      <c r="D476" t="str">
        <f>INDEX('ECOMMERS SALES'!$A:$J,MATCH('index match'!$A476,'ECOMMERS SALES'!$C:$C,0),MATCH('index match'!D$1,ECOMMERS_SALES[#Headers],0))</f>
        <v>Other</v>
      </c>
      <c r="E476">
        <f>INDEX('ECOMMERS SALES'!$A:$J,MATCH('index match'!$A476,'ECOMMERS SALES'!$C:$C,0),MATCH('index match'!E$1,ECOMMERS_SALES[#Headers],0))</f>
        <v>2</v>
      </c>
      <c r="F476">
        <f>INDEX('ECOMMERS SALES'!$A:$J,MATCH('index match'!$A476,'ECOMMERS SALES'!$C:$C,0),MATCH('index match'!F$1,ECOMMERS_SALES[#Headers],0))</f>
        <v>920</v>
      </c>
      <c r="G476">
        <f>INDEX('ECOMMERS SALES'!$A:$J,MATCH('index match'!$A476,'ECOMMERS SALES'!$C:$C,0),MATCH('index match'!G$1,ECOMMERS_SALES[#Headers],0))</f>
        <v>1840</v>
      </c>
      <c r="H476" t="str">
        <f>INDEX('ECOMMERS SALES'!$A:$J,MATCH('index match'!$A476,'ECOMMERS SALES'!$C:$C,0),MATCH('index match'!H$1,ECOMMERS_SALES[#Headers],0))</f>
        <v>Pune</v>
      </c>
      <c r="I476" t="str">
        <f>INDEX('ECOMMERS SALES'!$A:$J,MATCH('index match'!$A476,'ECOMMERS SALES'!$C:$C,0),MATCH('index match'!I$1,ECOMMERS_SALES[#Headers],0))</f>
        <v>New</v>
      </c>
      <c r="J476" t="str">
        <f>INDEX('ECOMMERS SALES'!$A:$J,MATCH('index match'!$A476,'ECOMMERS SALES'!$C:$C,0),MATCH('index match'!J$1,ECOMMERS_SALES[#Headers],0))</f>
        <v>UPI</v>
      </c>
    </row>
    <row r="477" spans="1:10" x14ac:dyDescent="0.35">
      <c r="A477" t="s">
        <v>31</v>
      </c>
      <c r="B477">
        <f>INDEX('ECOMMERS SALES'!$A:$J,MATCH('index match'!$A477,'ECOMMERS SALES'!$C:$C,0),MATCH('index match'!B$1,ECOMMERS_SALES[#Headers],0))</f>
        <v>1006</v>
      </c>
      <c r="C477" t="str">
        <f>INDEX('ECOMMERS SALES'!$A:$J,MATCH('index match'!$A477,'ECOMMERS SALES'!$C:$C,0),MATCH('index match'!C$1,ECOMMERS_SALES[#Headers],0))</f>
        <v>07-01-2025</v>
      </c>
      <c r="D477" t="str">
        <f>INDEX('ECOMMERS SALES'!$A:$J,MATCH('index match'!$A477,'ECOMMERS SALES'!$C:$C,0),MATCH('index match'!D$1,ECOMMERS_SALES[#Headers],0))</f>
        <v>Electronics</v>
      </c>
      <c r="E477">
        <f>INDEX('ECOMMERS SALES'!$A:$J,MATCH('index match'!$A477,'ECOMMERS SALES'!$C:$C,0),MATCH('index match'!E$1,ECOMMERS_SALES[#Headers],0))</f>
        <v>1</v>
      </c>
      <c r="F477">
        <f>INDEX('ECOMMERS SALES'!$A:$J,MATCH('index match'!$A477,'ECOMMERS SALES'!$C:$C,0),MATCH('index match'!F$1,ECOMMERS_SALES[#Headers],0))</f>
        <v>13225</v>
      </c>
      <c r="G477">
        <f>INDEX('ECOMMERS SALES'!$A:$J,MATCH('index match'!$A477,'ECOMMERS SALES'!$C:$C,0),MATCH('index match'!G$1,ECOMMERS_SALES[#Headers],0))</f>
        <v>13225</v>
      </c>
      <c r="H477" t="str">
        <f>INDEX('ECOMMERS SALES'!$A:$J,MATCH('index match'!$A477,'ECOMMERS SALES'!$C:$C,0),MATCH('index match'!H$1,ECOMMERS_SALES[#Headers],0))</f>
        <v>Delhi</v>
      </c>
      <c r="I477" t="str">
        <f>INDEX('ECOMMERS SALES'!$A:$J,MATCH('index match'!$A477,'ECOMMERS SALES'!$C:$C,0),MATCH('index match'!I$1,ECOMMERS_SALES[#Headers],0))</f>
        <v>Returning</v>
      </c>
      <c r="J477" t="str">
        <f>INDEX('ECOMMERS SALES'!$A:$J,MATCH('index match'!$A477,'ECOMMERS SALES'!$C:$C,0),MATCH('index match'!J$1,ECOMMERS_SALES[#Headers],0))</f>
        <v>COD</v>
      </c>
    </row>
    <row r="478" spans="1:10" x14ac:dyDescent="0.35">
      <c r="A478" t="s">
        <v>35</v>
      </c>
      <c r="B478">
        <f>INDEX('ECOMMERS SALES'!$A:$J,MATCH('index match'!$A478,'ECOMMERS SALES'!$C:$C,0),MATCH('index match'!B$1,ECOMMERS_SALES[#Headers],0))</f>
        <v>1007</v>
      </c>
      <c r="C478" t="str">
        <f>INDEX('ECOMMERS SALES'!$A:$J,MATCH('index match'!$A478,'ECOMMERS SALES'!$C:$C,0),MATCH('index match'!C$1,ECOMMERS_SALES[#Headers],0))</f>
        <v>08-01-2025</v>
      </c>
      <c r="D478" t="str">
        <f>INDEX('ECOMMERS SALES'!$A:$J,MATCH('index match'!$A478,'ECOMMERS SALES'!$C:$C,0),MATCH('index match'!D$1,ECOMMERS_SALES[#Headers],0))</f>
        <v>Books</v>
      </c>
      <c r="E478">
        <f>INDEX('ECOMMERS SALES'!$A:$J,MATCH('index match'!$A478,'ECOMMERS SALES'!$C:$C,0),MATCH('index match'!E$1,ECOMMERS_SALES[#Headers],0))</f>
        <v>3</v>
      </c>
      <c r="F478">
        <f>INDEX('ECOMMERS SALES'!$A:$J,MATCH('index match'!$A478,'ECOMMERS SALES'!$C:$C,0),MATCH('index match'!F$1,ECOMMERS_SALES[#Headers],0))</f>
        <v>621</v>
      </c>
      <c r="G478">
        <f>INDEX('ECOMMERS SALES'!$A:$J,MATCH('index match'!$A478,'ECOMMERS SALES'!$C:$C,0),MATCH('index match'!G$1,ECOMMERS_SALES[#Headers],0))</f>
        <v>1863</v>
      </c>
      <c r="H478" t="str">
        <f>INDEX('ECOMMERS SALES'!$A:$J,MATCH('index match'!$A478,'ECOMMERS SALES'!$C:$C,0),MATCH('index match'!H$1,ECOMMERS_SALES[#Headers],0))</f>
        <v>Hyderabad</v>
      </c>
      <c r="I478" t="str">
        <f>INDEX('ECOMMERS SALES'!$A:$J,MATCH('index match'!$A478,'ECOMMERS SALES'!$C:$C,0),MATCH('index match'!I$1,ECOMMERS_SALES[#Headers],0))</f>
        <v>Premimum</v>
      </c>
      <c r="J478" t="str">
        <f>INDEX('ECOMMERS SALES'!$A:$J,MATCH('index match'!$A478,'ECOMMERS SALES'!$C:$C,0),MATCH('index match'!J$1,ECOMMERS_SALES[#Headers],0))</f>
        <v>UPI</v>
      </c>
    </row>
    <row r="479" spans="1:10" x14ac:dyDescent="0.35">
      <c r="A479" t="s">
        <v>39</v>
      </c>
      <c r="B479">
        <f>INDEX('ECOMMERS SALES'!$A:$J,MATCH('index match'!$A479,'ECOMMERS SALES'!$C:$C,0),MATCH('index match'!B$1,ECOMMERS_SALES[#Headers],0))</f>
        <v>1008</v>
      </c>
      <c r="C479" t="str">
        <f>INDEX('ECOMMERS SALES'!$A:$J,MATCH('index match'!$A479,'ECOMMERS SALES'!$C:$C,0),MATCH('index match'!C$1,ECOMMERS_SALES[#Headers],0))</f>
        <v>09-01-2025</v>
      </c>
      <c r="D479" t="str">
        <f>INDEX('ECOMMERS SALES'!$A:$J,MATCH('index match'!$A479,'ECOMMERS SALES'!$C:$C,0),MATCH('index match'!D$1,ECOMMERS_SALES[#Headers],0))</f>
        <v>Fashion</v>
      </c>
      <c r="E479">
        <f>INDEX('ECOMMERS SALES'!$A:$J,MATCH('index match'!$A479,'ECOMMERS SALES'!$C:$C,0),MATCH('index match'!E$1,ECOMMERS_SALES[#Headers],0))</f>
        <v>2</v>
      </c>
      <c r="F479">
        <f>INDEX('ECOMMERS SALES'!$A:$J,MATCH('index match'!$A479,'ECOMMERS SALES'!$C:$C,0),MATCH('index match'!F$1,ECOMMERS_SALES[#Headers],0))</f>
        <v>905</v>
      </c>
      <c r="G479">
        <f>INDEX('ECOMMERS SALES'!$A:$J,MATCH('index match'!$A479,'ECOMMERS SALES'!$C:$C,0),MATCH('index match'!G$1,ECOMMERS_SALES[#Headers],0))</f>
        <v>1810</v>
      </c>
      <c r="H479" t="str">
        <f>INDEX('ECOMMERS SALES'!$A:$J,MATCH('index match'!$A479,'ECOMMERS SALES'!$C:$C,0),MATCH('index match'!H$1,ECOMMERS_SALES[#Headers],0))</f>
        <v>Bangalore</v>
      </c>
      <c r="I479" t="str">
        <f>INDEX('ECOMMERS SALES'!$A:$J,MATCH('index match'!$A479,'ECOMMERS SALES'!$C:$C,0),MATCH('index match'!I$1,ECOMMERS_SALES[#Headers],0))</f>
        <v>New</v>
      </c>
      <c r="J479" t="str">
        <f>INDEX('ECOMMERS SALES'!$A:$J,MATCH('index match'!$A479,'ECOMMERS SALES'!$C:$C,0),MATCH('index match'!J$1,ECOMMERS_SALES[#Headers],0))</f>
        <v>COD</v>
      </c>
    </row>
    <row r="480" spans="1:10" x14ac:dyDescent="0.35">
      <c r="A480" t="s">
        <v>42</v>
      </c>
      <c r="B480">
        <f>INDEX('ECOMMERS SALES'!$A:$J,MATCH('index match'!$A480,'ECOMMERS SALES'!$C:$C,0),MATCH('index match'!B$1,ECOMMERS_SALES[#Headers],0))</f>
        <v>1009</v>
      </c>
      <c r="C480" t="str">
        <f>INDEX('ECOMMERS SALES'!$A:$J,MATCH('index match'!$A480,'ECOMMERS SALES'!$C:$C,0),MATCH('index match'!C$1,ECOMMERS_SALES[#Headers],0))</f>
        <v>10-01-2025</v>
      </c>
      <c r="D480" t="str">
        <f>INDEX('ECOMMERS SALES'!$A:$J,MATCH('index match'!$A480,'ECOMMERS SALES'!$C:$C,0),MATCH('index match'!D$1,ECOMMERS_SALES[#Headers],0))</f>
        <v>Electronics</v>
      </c>
      <c r="E480">
        <f>INDEX('ECOMMERS SALES'!$A:$J,MATCH('index match'!$A480,'ECOMMERS SALES'!$C:$C,0),MATCH('index match'!E$1,ECOMMERS_SALES[#Headers],0))</f>
        <v>1</v>
      </c>
      <c r="F480">
        <f>INDEX('ECOMMERS SALES'!$A:$J,MATCH('index match'!$A480,'ECOMMERS SALES'!$C:$C,0),MATCH('index match'!F$1,ECOMMERS_SALES[#Headers],0))</f>
        <v>8563</v>
      </c>
      <c r="G480">
        <f>INDEX('ECOMMERS SALES'!$A:$J,MATCH('index match'!$A480,'ECOMMERS SALES'!$C:$C,0),MATCH('index match'!G$1,ECOMMERS_SALES[#Headers],0))</f>
        <v>8563</v>
      </c>
      <c r="H480" t="str">
        <f>INDEX('ECOMMERS SALES'!$A:$J,MATCH('index match'!$A480,'ECOMMERS SALES'!$C:$C,0),MATCH('index match'!H$1,ECOMMERS_SALES[#Headers],0))</f>
        <v>Hyderabad</v>
      </c>
      <c r="I480" t="str">
        <f>INDEX('ECOMMERS SALES'!$A:$J,MATCH('index match'!$A480,'ECOMMERS SALES'!$C:$C,0),MATCH('index match'!I$1,ECOMMERS_SALES[#Headers],0))</f>
        <v>Returning</v>
      </c>
      <c r="J480" t="str">
        <f>INDEX('ECOMMERS SALES'!$A:$J,MATCH('index match'!$A480,'ECOMMERS SALES'!$C:$C,0),MATCH('index match'!J$1,ECOMMERS_SALES[#Headers],0))</f>
        <v>Card</v>
      </c>
    </row>
    <row r="481" spans="1:10" x14ac:dyDescent="0.35">
      <c r="A481" t="s">
        <v>44</v>
      </c>
      <c r="B481">
        <f>INDEX('ECOMMERS SALES'!$A:$J,MATCH('index match'!$A481,'ECOMMERS SALES'!$C:$C,0),MATCH('index match'!B$1,ECOMMERS_SALES[#Headers],0))</f>
        <v>1010</v>
      </c>
      <c r="C481" t="str">
        <f>INDEX('ECOMMERS SALES'!$A:$J,MATCH('index match'!$A481,'ECOMMERS SALES'!$C:$C,0),MATCH('index match'!C$1,ECOMMERS_SALES[#Headers],0))</f>
        <v>11-01-2025</v>
      </c>
      <c r="D481" t="str">
        <f>INDEX('ECOMMERS SALES'!$A:$J,MATCH('index match'!$A481,'ECOMMERS SALES'!$C:$C,0),MATCH('index match'!D$1,ECOMMERS_SALES[#Headers],0))</f>
        <v>Other</v>
      </c>
      <c r="E481">
        <f>INDEX('ECOMMERS SALES'!$A:$J,MATCH('index match'!$A481,'ECOMMERS SALES'!$C:$C,0),MATCH('index match'!E$1,ECOMMERS_SALES[#Headers],0))</f>
        <v>1</v>
      </c>
      <c r="F481">
        <f>INDEX('ECOMMERS SALES'!$A:$J,MATCH('index match'!$A481,'ECOMMERS SALES'!$C:$C,0),MATCH('index match'!F$1,ECOMMERS_SALES[#Headers],0))</f>
        <v>268</v>
      </c>
      <c r="G481">
        <f>INDEX('ECOMMERS SALES'!$A:$J,MATCH('index match'!$A481,'ECOMMERS SALES'!$C:$C,0),MATCH('index match'!G$1,ECOMMERS_SALES[#Headers],0))</f>
        <v>268</v>
      </c>
      <c r="H481" t="str">
        <f>INDEX('ECOMMERS SALES'!$A:$J,MATCH('index match'!$A481,'ECOMMERS SALES'!$C:$C,0),MATCH('index match'!H$1,ECOMMERS_SALES[#Headers],0))</f>
        <v>Chennai</v>
      </c>
      <c r="I481" t="str">
        <f>INDEX('ECOMMERS SALES'!$A:$J,MATCH('index match'!$A481,'ECOMMERS SALES'!$C:$C,0),MATCH('index match'!I$1,ECOMMERS_SALES[#Headers],0))</f>
        <v>New</v>
      </c>
      <c r="J481" t="str">
        <f>INDEX('ECOMMERS SALES'!$A:$J,MATCH('index match'!$A481,'ECOMMERS SALES'!$C:$C,0),MATCH('index match'!J$1,ECOMMERS_SALES[#Headers],0))</f>
        <v>UPI</v>
      </c>
    </row>
    <row r="482" spans="1:10" x14ac:dyDescent="0.35">
      <c r="A482" t="s">
        <v>11</v>
      </c>
      <c r="B482">
        <f>INDEX('ECOMMERS SALES'!$A:$J,MATCH('index match'!$A482,'ECOMMERS SALES'!$C:$C,0),MATCH('index match'!B$1,ECOMMERS_SALES[#Headers],0))</f>
        <v>1001</v>
      </c>
      <c r="C482" t="str">
        <f>INDEX('ECOMMERS SALES'!$A:$J,MATCH('index match'!$A482,'ECOMMERS SALES'!$C:$C,0),MATCH('index match'!C$1,ECOMMERS_SALES[#Headers],0))</f>
        <v>02-01-2025</v>
      </c>
      <c r="D482" t="str">
        <f>INDEX('ECOMMERS SALES'!$A:$J,MATCH('index match'!$A482,'ECOMMERS SALES'!$C:$C,0),MATCH('index match'!D$1,ECOMMERS_SALES[#Headers],0))</f>
        <v>Electronics</v>
      </c>
      <c r="E482">
        <f>INDEX('ECOMMERS SALES'!$A:$J,MATCH('index match'!$A482,'ECOMMERS SALES'!$C:$C,0),MATCH('index match'!E$1,ECOMMERS_SALES[#Headers],0))</f>
        <v>2</v>
      </c>
      <c r="F482">
        <f>INDEX('ECOMMERS SALES'!$A:$J,MATCH('index match'!$A482,'ECOMMERS SALES'!$C:$C,0),MATCH('index match'!F$1,ECOMMERS_SALES[#Headers],0))</f>
        <v>50353</v>
      </c>
      <c r="G482">
        <f>INDEX('ECOMMERS SALES'!$A:$J,MATCH('index match'!$A482,'ECOMMERS SALES'!$C:$C,0),MATCH('index match'!G$1,ECOMMERS_SALES[#Headers],0))</f>
        <v>100706</v>
      </c>
      <c r="H482" t="str">
        <f>INDEX('ECOMMERS SALES'!$A:$J,MATCH('index match'!$A482,'ECOMMERS SALES'!$C:$C,0),MATCH('index match'!H$1,ECOMMERS_SALES[#Headers],0))</f>
        <v>Chennai</v>
      </c>
      <c r="I482" t="str">
        <f>INDEX('ECOMMERS SALES'!$A:$J,MATCH('index match'!$A482,'ECOMMERS SALES'!$C:$C,0),MATCH('index match'!I$1,ECOMMERS_SALES[#Headers],0))</f>
        <v>Premimum</v>
      </c>
      <c r="J482" t="str">
        <f>INDEX('ECOMMERS SALES'!$A:$J,MATCH('index match'!$A482,'ECOMMERS SALES'!$C:$C,0),MATCH('index match'!J$1,ECOMMERS_SALES[#Headers],0))</f>
        <v>Card</v>
      </c>
    </row>
    <row r="483" spans="1:10" x14ac:dyDescent="0.35">
      <c r="A483" t="s">
        <v>17</v>
      </c>
      <c r="B483">
        <f>INDEX('ECOMMERS SALES'!$A:$J,MATCH('index match'!$A483,'ECOMMERS SALES'!$C:$C,0),MATCH('index match'!B$1,ECOMMERS_SALES[#Headers],0))</f>
        <v>1002</v>
      </c>
      <c r="C483" t="str">
        <f>INDEX('ECOMMERS SALES'!$A:$J,MATCH('index match'!$A483,'ECOMMERS SALES'!$C:$C,0),MATCH('index match'!C$1,ECOMMERS_SALES[#Headers],0))</f>
        <v>03-01-2025</v>
      </c>
      <c r="D483" t="str">
        <f>INDEX('ECOMMERS SALES'!$A:$J,MATCH('index match'!$A483,'ECOMMERS SALES'!$C:$C,0),MATCH('index match'!D$1,ECOMMERS_SALES[#Headers],0))</f>
        <v>Electronics</v>
      </c>
      <c r="E483">
        <f>INDEX('ECOMMERS SALES'!$A:$J,MATCH('index match'!$A483,'ECOMMERS SALES'!$C:$C,0),MATCH('index match'!E$1,ECOMMERS_SALES[#Headers],0))</f>
        <v>2</v>
      </c>
      <c r="F483">
        <f>INDEX('ECOMMERS SALES'!$A:$J,MATCH('index match'!$A483,'ECOMMERS SALES'!$C:$C,0),MATCH('index match'!F$1,ECOMMERS_SALES[#Headers],0))</f>
        <v>2008</v>
      </c>
      <c r="G483">
        <f>INDEX('ECOMMERS SALES'!$A:$J,MATCH('index match'!$A483,'ECOMMERS SALES'!$C:$C,0),MATCH('index match'!G$1,ECOMMERS_SALES[#Headers],0))</f>
        <v>4016</v>
      </c>
      <c r="H483" t="str">
        <f>INDEX('ECOMMERS SALES'!$A:$J,MATCH('index match'!$A483,'ECOMMERS SALES'!$C:$C,0),MATCH('index match'!H$1,ECOMMERS_SALES[#Headers],0))</f>
        <v>Delhi</v>
      </c>
      <c r="I483" t="str">
        <f>INDEX('ECOMMERS SALES'!$A:$J,MATCH('index match'!$A483,'ECOMMERS SALES'!$C:$C,0),MATCH('index match'!I$1,ECOMMERS_SALES[#Headers],0))</f>
        <v>New</v>
      </c>
      <c r="J483" t="str">
        <f>INDEX('ECOMMERS SALES'!$A:$J,MATCH('index match'!$A483,'ECOMMERS SALES'!$C:$C,0),MATCH('index match'!J$1,ECOMMERS_SALES[#Headers],0))</f>
        <v>UPI</v>
      </c>
    </row>
    <row r="484" spans="1:10" x14ac:dyDescent="0.35">
      <c r="A484" t="s">
        <v>22</v>
      </c>
      <c r="B484">
        <f>INDEX('ECOMMERS SALES'!$A:$J,MATCH('index match'!$A484,'ECOMMERS SALES'!$C:$C,0),MATCH('index match'!B$1,ECOMMERS_SALES[#Headers],0))</f>
        <v>1003</v>
      </c>
      <c r="C484" t="str">
        <f>INDEX('ECOMMERS SALES'!$A:$J,MATCH('index match'!$A484,'ECOMMERS SALES'!$C:$C,0),MATCH('index match'!C$1,ECOMMERS_SALES[#Headers],0))</f>
        <v>04-01-2025</v>
      </c>
      <c r="D484" t="str">
        <f>INDEX('ECOMMERS SALES'!$A:$J,MATCH('index match'!$A484,'ECOMMERS SALES'!$C:$C,0),MATCH('index match'!D$1,ECOMMERS_SALES[#Headers],0))</f>
        <v>Fashion</v>
      </c>
      <c r="E484">
        <f>INDEX('ECOMMERS SALES'!$A:$J,MATCH('index match'!$A484,'ECOMMERS SALES'!$C:$C,0),MATCH('index match'!E$1,ECOMMERS_SALES[#Headers],0))</f>
        <v>1</v>
      </c>
      <c r="F484">
        <f>INDEX('ECOMMERS SALES'!$A:$J,MATCH('index match'!$A484,'ECOMMERS SALES'!$C:$C,0),MATCH('index match'!F$1,ECOMMERS_SALES[#Headers],0))</f>
        <v>4736</v>
      </c>
      <c r="G484">
        <f>INDEX('ECOMMERS SALES'!$A:$J,MATCH('index match'!$A484,'ECOMMERS SALES'!$C:$C,0),MATCH('index match'!G$1,ECOMMERS_SALES[#Headers],0))</f>
        <v>4736</v>
      </c>
      <c r="H484" t="str">
        <f>INDEX('ECOMMERS SALES'!$A:$J,MATCH('index match'!$A484,'ECOMMERS SALES'!$C:$C,0),MATCH('index match'!H$1,ECOMMERS_SALES[#Headers],0))</f>
        <v>Chennai</v>
      </c>
      <c r="I484" t="str">
        <f>INDEX('ECOMMERS SALES'!$A:$J,MATCH('index match'!$A484,'ECOMMERS SALES'!$C:$C,0),MATCH('index match'!I$1,ECOMMERS_SALES[#Headers],0))</f>
        <v>New</v>
      </c>
      <c r="J484" t="str">
        <f>INDEX('ECOMMERS SALES'!$A:$J,MATCH('index match'!$A484,'ECOMMERS SALES'!$C:$C,0),MATCH('index match'!J$1,ECOMMERS_SALES[#Headers],0))</f>
        <v>UPI</v>
      </c>
    </row>
    <row r="485" spans="1:10" x14ac:dyDescent="0.35">
      <c r="A485" t="s">
        <v>25</v>
      </c>
      <c r="B485">
        <f>INDEX('ECOMMERS SALES'!$A:$J,MATCH('index match'!$A485,'ECOMMERS SALES'!$C:$C,0),MATCH('index match'!B$1,ECOMMERS_SALES[#Headers],0))</f>
        <v>1004</v>
      </c>
      <c r="C485" t="str">
        <f>INDEX('ECOMMERS SALES'!$A:$J,MATCH('index match'!$A485,'ECOMMERS SALES'!$C:$C,0),MATCH('index match'!C$1,ECOMMERS_SALES[#Headers],0))</f>
        <v>05-01-2025</v>
      </c>
      <c r="D485" t="str">
        <f>INDEX('ECOMMERS SALES'!$A:$J,MATCH('index match'!$A485,'ECOMMERS SALES'!$C:$C,0),MATCH('index match'!D$1,ECOMMERS_SALES[#Headers],0))</f>
        <v>Other</v>
      </c>
      <c r="E485">
        <f>INDEX('ECOMMERS SALES'!$A:$J,MATCH('index match'!$A485,'ECOMMERS SALES'!$C:$C,0),MATCH('index match'!E$1,ECOMMERS_SALES[#Headers],0))</f>
        <v>2</v>
      </c>
      <c r="F485">
        <f>INDEX('ECOMMERS SALES'!$A:$J,MATCH('index match'!$A485,'ECOMMERS SALES'!$C:$C,0),MATCH('index match'!F$1,ECOMMERS_SALES[#Headers],0))</f>
        <v>10072</v>
      </c>
      <c r="G485">
        <f>INDEX('ECOMMERS SALES'!$A:$J,MATCH('index match'!$A485,'ECOMMERS SALES'!$C:$C,0),MATCH('index match'!G$1,ECOMMERS_SALES[#Headers],0))</f>
        <v>20144</v>
      </c>
      <c r="H485" t="str">
        <f>INDEX('ECOMMERS SALES'!$A:$J,MATCH('index match'!$A485,'ECOMMERS SALES'!$C:$C,0),MATCH('index match'!H$1,ECOMMERS_SALES[#Headers],0))</f>
        <v>Pune</v>
      </c>
      <c r="I485" t="str">
        <f>INDEX('ECOMMERS SALES'!$A:$J,MATCH('index match'!$A485,'ECOMMERS SALES'!$C:$C,0),MATCH('index match'!I$1,ECOMMERS_SALES[#Headers],0))</f>
        <v>Premimum</v>
      </c>
      <c r="J485" t="str">
        <f>INDEX('ECOMMERS SALES'!$A:$J,MATCH('index match'!$A485,'ECOMMERS SALES'!$C:$C,0),MATCH('index match'!J$1,ECOMMERS_SALES[#Headers],0))</f>
        <v>Card</v>
      </c>
    </row>
    <row r="486" spans="1:10" x14ac:dyDescent="0.35">
      <c r="A486" t="s">
        <v>29</v>
      </c>
      <c r="B486">
        <f>INDEX('ECOMMERS SALES'!$A:$J,MATCH('index match'!$A486,'ECOMMERS SALES'!$C:$C,0),MATCH('index match'!B$1,ECOMMERS_SALES[#Headers],0))</f>
        <v>1005</v>
      </c>
      <c r="C486" t="str">
        <f>INDEX('ECOMMERS SALES'!$A:$J,MATCH('index match'!$A486,'ECOMMERS SALES'!$C:$C,0),MATCH('index match'!C$1,ECOMMERS_SALES[#Headers],0))</f>
        <v>06-01-2025</v>
      </c>
      <c r="D486" t="str">
        <f>INDEX('ECOMMERS SALES'!$A:$J,MATCH('index match'!$A486,'ECOMMERS SALES'!$C:$C,0),MATCH('index match'!D$1,ECOMMERS_SALES[#Headers],0))</f>
        <v>Other</v>
      </c>
      <c r="E486">
        <f>INDEX('ECOMMERS SALES'!$A:$J,MATCH('index match'!$A486,'ECOMMERS SALES'!$C:$C,0),MATCH('index match'!E$1,ECOMMERS_SALES[#Headers],0))</f>
        <v>2</v>
      </c>
      <c r="F486">
        <f>INDEX('ECOMMERS SALES'!$A:$J,MATCH('index match'!$A486,'ECOMMERS SALES'!$C:$C,0),MATCH('index match'!F$1,ECOMMERS_SALES[#Headers],0))</f>
        <v>920</v>
      </c>
      <c r="G486">
        <f>INDEX('ECOMMERS SALES'!$A:$J,MATCH('index match'!$A486,'ECOMMERS SALES'!$C:$C,0),MATCH('index match'!G$1,ECOMMERS_SALES[#Headers],0))</f>
        <v>1840</v>
      </c>
      <c r="H486" t="str">
        <f>INDEX('ECOMMERS SALES'!$A:$J,MATCH('index match'!$A486,'ECOMMERS SALES'!$C:$C,0),MATCH('index match'!H$1,ECOMMERS_SALES[#Headers],0))</f>
        <v>Pune</v>
      </c>
      <c r="I486" t="str">
        <f>INDEX('ECOMMERS SALES'!$A:$J,MATCH('index match'!$A486,'ECOMMERS SALES'!$C:$C,0),MATCH('index match'!I$1,ECOMMERS_SALES[#Headers],0))</f>
        <v>New</v>
      </c>
      <c r="J486" t="str">
        <f>INDEX('ECOMMERS SALES'!$A:$J,MATCH('index match'!$A486,'ECOMMERS SALES'!$C:$C,0),MATCH('index match'!J$1,ECOMMERS_SALES[#Headers],0))</f>
        <v>UPI</v>
      </c>
    </row>
    <row r="487" spans="1:10" x14ac:dyDescent="0.35">
      <c r="A487" t="s">
        <v>31</v>
      </c>
      <c r="B487">
        <f>INDEX('ECOMMERS SALES'!$A:$J,MATCH('index match'!$A487,'ECOMMERS SALES'!$C:$C,0),MATCH('index match'!B$1,ECOMMERS_SALES[#Headers],0))</f>
        <v>1006</v>
      </c>
      <c r="C487" t="str">
        <f>INDEX('ECOMMERS SALES'!$A:$J,MATCH('index match'!$A487,'ECOMMERS SALES'!$C:$C,0),MATCH('index match'!C$1,ECOMMERS_SALES[#Headers],0))</f>
        <v>07-01-2025</v>
      </c>
      <c r="D487" t="str">
        <f>INDEX('ECOMMERS SALES'!$A:$J,MATCH('index match'!$A487,'ECOMMERS SALES'!$C:$C,0),MATCH('index match'!D$1,ECOMMERS_SALES[#Headers],0))</f>
        <v>Electronics</v>
      </c>
      <c r="E487">
        <f>INDEX('ECOMMERS SALES'!$A:$J,MATCH('index match'!$A487,'ECOMMERS SALES'!$C:$C,0),MATCH('index match'!E$1,ECOMMERS_SALES[#Headers],0))</f>
        <v>1</v>
      </c>
      <c r="F487">
        <f>INDEX('ECOMMERS SALES'!$A:$J,MATCH('index match'!$A487,'ECOMMERS SALES'!$C:$C,0),MATCH('index match'!F$1,ECOMMERS_SALES[#Headers],0))</f>
        <v>13225</v>
      </c>
      <c r="G487">
        <f>INDEX('ECOMMERS SALES'!$A:$J,MATCH('index match'!$A487,'ECOMMERS SALES'!$C:$C,0),MATCH('index match'!G$1,ECOMMERS_SALES[#Headers],0))</f>
        <v>13225</v>
      </c>
      <c r="H487" t="str">
        <f>INDEX('ECOMMERS SALES'!$A:$J,MATCH('index match'!$A487,'ECOMMERS SALES'!$C:$C,0),MATCH('index match'!H$1,ECOMMERS_SALES[#Headers],0))</f>
        <v>Delhi</v>
      </c>
      <c r="I487" t="str">
        <f>INDEX('ECOMMERS SALES'!$A:$J,MATCH('index match'!$A487,'ECOMMERS SALES'!$C:$C,0),MATCH('index match'!I$1,ECOMMERS_SALES[#Headers],0))</f>
        <v>Returning</v>
      </c>
      <c r="J487" t="str">
        <f>INDEX('ECOMMERS SALES'!$A:$J,MATCH('index match'!$A487,'ECOMMERS SALES'!$C:$C,0),MATCH('index match'!J$1,ECOMMERS_SALES[#Headers],0))</f>
        <v>COD</v>
      </c>
    </row>
    <row r="488" spans="1:10" x14ac:dyDescent="0.35">
      <c r="A488" t="s">
        <v>35</v>
      </c>
      <c r="B488">
        <f>INDEX('ECOMMERS SALES'!$A:$J,MATCH('index match'!$A488,'ECOMMERS SALES'!$C:$C,0),MATCH('index match'!B$1,ECOMMERS_SALES[#Headers],0))</f>
        <v>1007</v>
      </c>
      <c r="C488" t="str">
        <f>INDEX('ECOMMERS SALES'!$A:$J,MATCH('index match'!$A488,'ECOMMERS SALES'!$C:$C,0),MATCH('index match'!C$1,ECOMMERS_SALES[#Headers],0))</f>
        <v>08-01-2025</v>
      </c>
      <c r="D488" t="str">
        <f>INDEX('ECOMMERS SALES'!$A:$J,MATCH('index match'!$A488,'ECOMMERS SALES'!$C:$C,0),MATCH('index match'!D$1,ECOMMERS_SALES[#Headers],0))</f>
        <v>Books</v>
      </c>
      <c r="E488">
        <f>INDEX('ECOMMERS SALES'!$A:$J,MATCH('index match'!$A488,'ECOMMERS SALES'!$C:$C,0),MATCH('index match'!E$1,ECOMMERS_SALES[#Headers],0))</f>
        <v>3</v>
      </c>
      <c r="F488">
        <f>INDEX('ECOMMERS SALES'!$A:$J,MATCH('index match'!$A488,'ECOMMERS SALES'!$C:$C,0),MATCH('index match'!F$1,ECOMMERS_SALES[#Headers],0))</f>
        <v>621</v>
      </c>
      <c r="G488">
        <f>INDEX('ECOMMERS SALES'!$A:$J,MATCH('index match'!$A488,'ECOMMERS SALES'!$C:$C,0),MATCH('index match'!G$1,ECOMMERS_SALES[#Headers],0))</f>
        <v>1863</v>
      </c>
      <c r="H488" t="str">
        <f>INDEX('ECOMMERS SALES'!$A:$J,MATCH('index match'!$A488,'ECOMMERS SALES'!$C:$C,0),MATCH('index match'!H$1,ECOMMERS_SALES[#Headers],0))</f>
        <v>Hyderabad</v>
      </c>
      <c r="I488" t="str">
        <f>INDEX('ECOMMERS SALES'!$A:$J,MATCH('index match'!$A488,'ECOMMERS SALES'!$C:$C,0),MATCH('index match'!I$1,ECOMMERS_SALES[#Headers],0))</f>
        <v>Premimum</v>
      </c>
      <c r="J488" t="str">
        <f>INDEX('ECOMMERS SALES'!$A:$J,MATCH('index match'!$A488,'ECOMMERS SALES'!$C:$C,0),MATCH('index match'!J$1,ECOMMERS_SALES[#Headers],0))</f>
        <v>UPI</v>
      </c>
    </row>
    <row r="489" spans="1:10" x14ac:dyDescent="0.35">
      <c r="A489" t="s">
        <v>39</v>
      </c>
      <c r="B489">
        <f>INDEX('ECOMMERS SALES'!$A:$J,MATCH('index match'!$A489,'ECOMMERS SALES'!$C:$C,0),MATCH('index match'!B$1,ECOMMERS_SALES[#Headers],0))</f>
        <v>1008</v>
      </c>
      <c r="C489" t="str">
        <f>INDEX('ECOMMERS SALES'!$A:$J,MATCH('index match'!$A489,'ECOMMERS SALES'!$C:$C,0),MATCH('index match'!C$1,ECOMMERS_SALES[#Headers],0))</f>
        <v>09-01-2025</v>
      </c>
      <c r="D489" t="str">
        <f>INDEX('ECOMMERS SALES'!$A:$J,MATCH('index match'!$A489,'ECOMMERS SALES'!$C:$C,0),MATCH('index match'!D$1,ECOMMERS_SALES[#Headers],0))</f>
        <v>Fashion</v>
      </c>
      <c r="E489">
        <f>INDEX('ECOMMERS SALES'!$A:$J,MATCH('index match'!$A489,'ECOMMERS SALES'!$C:$C,0),MATCH('index match'!E$1,ECOMMERS_SALES[#Headers],0))</f>
        <v>2</v>
      </c>
      <c r="F489">
        <f>INDEX('ECOMMERS SALES'!$A:$J,MATCH('index match'!$A489,'ECOMMERS SALES'!$C:$C,0),MATCH('index match'!F$1,ECOMMERS_SALES[#Headers],0))</f>
        <v>905</v>
      </c>
      <c r="G489">
        <f>INDEX('ECOMMERS SALES'!$A:$J,MATCH('index match'!$A489,'ECOMMERS SALES'!$C:$C,0),MATCH('index match'!G$1,ECOMMERS_SALES[#Headers],0))</f>
        <v>1810</v>
      </c>
      <c r="H489" t="str">
        <f>INDEX('ECOMMERS SALES'!$A:$J,MATCH('index match'!$A489,'ECOMMERS SALES'!$C:$C,0),MATCH('index match'!H$1,ECOMMERS_SALES[#Headers],0))</f>
        <v>Bangalore</v>
      </c>
      <c r="I489" t="str">
        <f>INDEX('ECOMMERS SALES'!$A:$J,MATCH('index match'!$A489,'ECOMMERS SALES'!$C:$C,0),MATCH('index match'!I$1,ECOMMERS_SALES[#Headers],0))</f>
        <v>New</v>
      </c>
      <c r="J489" t="str">
        <f>INDEX('ECOMMERS SALES'!$A:$J,MATCH('index match'!$A489,'ECOMMERS SALES'!$C:$C,0),MATCH('index match'!J$1,ECOMMERS_SALES[#Headers],0))</f>
        <v>COD</v>
      </c>
    </row>
    <row r="490" spans="1:10" x14ac:dyDescent="0.35">
      <c r="A490" t="s">
        <v>42</v>
      </c>
      <c r="B490">
        <f>INDEX('ECOMMERS SALES'!$A:$J,MATCH('index match'!$A490,'ECOMMERS SALES'!$C:$C,0),MATCH('index match'!B$1,ECOMMERS_SALES[#Headers],0))</f>
        <v>1009</v>
      </c>
      <c r="C490" t="str">
        <f>INDEX('ECOMMERS SALES'!$A:$J,MATCH('index match'!$A490,'ECOMMERS SALES'!$C:$C,0),MATCH('index match'!C$1,ECOMMERS_SALES[#Headers],0))</f>
        <v>10-01-2025</v>
      </c>
      <c r="D490" t="str">
        <f>INDEX('ECOMMERS SALES'!$A:$J,MATCH('index match'!$A490,'ECOMMERS SALES'!$C:$C,0),MATCH('index match'!D$1,ECOMMERS_SALES[#Headers],0))</f>
        <v>Electronics</v>
      </c>
      <c r="E490">
        <f>INDEX('ECOMMERS SALES'!$A:$J,MATCH('index match'!$A490,'ECOMMERS SALES'!$C:$C,0),MATCH('index match'!E$1,ECOMMERS_SALES[#Headers],0))</f>
        <v>1</v>
      </c>
      <c r="F490">
        <f>INDEX('ECOMMERS SALES'!$A:$J,MATCH('index match'!$A490,'ECOMMERS SALES'!$C:$C,0),MATCH('index match'!F$1,ECOMMERS_SALES[#Headers],0))</f>
        <v>8563</v>
      </c>
      <c r="G490">
        <f>INDEX('ECOMMERS SALES'!$A:$J,MATCH('index match'!$A490,'ECOMMERS SALES'!$C:$C,0),MATCH('index match'!G$1,ECOMMERS_SALES[#Headers],0))</f>
        <v>8563</v>
      </c>
      <c r="H490" t="str">
        <f>INDEX('ECOMMERS SALES'!$A:$J,MATCH('index match'!$A490,'ECOMMERS SALES'!$C:$C,0),MATCH('index match'!H$1,ECOMMERS_SALES[#Headers],0))</f>
        <v>Hyderabad</v>
      </c>
      <c r="I490" t="str">
        <f>INDEX('ECOMMERS SALES'!$A:$J,MATCH('index match'!$A490,'ECOMMERS SALES'!$C:$C,0),MATCH('index match'!I$1,ECOMMERS_SALES[#Headers],0))</f>
        <v>Returning</v>
      </c>
      <c r="J490" t="str">
        <f>INDEX('ECOMMERS SALES'!$A:$J,MATCH('index match'!$A490,'ECOMMERS SALES'!$C:$C,0),MATCH('index match'!J$1,ECOMMERS_SALES[#Headers],0))</f>
        <v>Card</v>
      </c>
    </row>
    <row r="491" spans="1:10" x14ac:dyDescent="0.35">
      <c r="A491" t="s">
        <v>44</v>
      </c>
      <c r="B491">
        <f>INDEX('ECOMMERS SALES'!$A:$J,MATCH('index match'!$A491,'ECOMMERS SALES'!$C:$C,0),MATCH('index match'!B$1,ECOMMERS_SALES[#Headers],0))</f>
        <v>1010</v>
      </c>
      <c r="C491" t="str">
        <f>INDEX('ECOMMERS SALES'!$A:$J,MATCH('index match'!$A491,'ECOMMERS SALES'!$C:$C,0),MATCH('index match'!C$1,ECOMMERS_SALES[#Headers],0))</f>
        <v>11-01-2025</v>
      </c>
      <c r="D491" t="str">
        <f>INDEX('ECOMMERS SALES'!$A:$J,MATCH('index match'!$A491,'ECOMMERS SALES'!$C:$C,0),MATCH('index match'!D$1,ECOMMERS_SALES[#Headers],0))</f>
        <v>Other</v>
      </c>
      <c r="E491">
        <f>INDEX('ECOMMERS SALES'!$A:$J,MATCH('index match'!$A491,'ECOMMERS SALES'!$C:$C,0),MATCH('index match'!E$1,ECOMMERS_SALES[#Headers],0))</f>
        <v>1</v>
      </c>
      <c r="F491">
        <f>INDEX('ECOMMERS SALES'!$A:$J,MATCH('index match'!$A491,'ECOMMERS SALES'!$C:$C,0),MATCH('index match'!F$1,ECOMMERS_SALES[#Headers],0))</f>
        <v>268</v>
      </c>
      <c r="G491">
        <f>INDEX('ECOMMERS SALES'!$A:$J,MATCH('index match'!$A491,'ECOMMERS SALES'!$C:$C,0),MATCH('index match'!G$1,ECOMMERS_SALES[#Headers],0))</f>
        <v>268</v>
      </c>
      <c r="H491" t="str">
        <f>INDEX('ECOMMERS SALES'!$A:$J,MATCH('index match'!$A491,'ECOMMERS SALES'!$C:$C,0),MATCH('index match'!H$1,ECOMMERS_SALES[#Headers],0))</f>
        <v>Chennai</v>
      </c>
      <c r="I491" t="str">
        <f>INDEX('ECOMMERS SALES'!$A:$J,MATCH('index match'!$A491,'ECOMMERS SALES'!$C:$C,0),MATCH('index match'!I$1,ECOMMERS_SALES[#Headers],0))</f>
        <v>New</v>
      </c>
      <c r="J491" t="str">
        <f>INDEX('ECOMMERS SALES'!$A:$J,MATCH('index match'!$A491,'ECOMMERS SALES'!$C:$C,0),MATCH('index match'!J$1,ECOMMERS_SALES[#Headers],0))</f>
        <v>UPI</v>
      </c>
    </row>
    <row r="492" spans="1:10" x14ac:dyDescent="0.35">
      <c r="A492" t="s">
        <v>11</v>
      </c>
      <c r="B492">
        <f>INDEX('ECOMMERS SALES'!$A:$J,MATCH('index match'!$A492,'ECOMMERS SALES'!$C:$C,0),MATCH('index match'!B$1,ECOMMERS_SALES[#Headers],0))</f>
        <v>1001</v>
      </c>
      <c r="C492" t="str">
        <f>INDEX('ECOMMERS SALES'!$A:$J,MATCH('index match'!$A492,'ECOMMERS SALES'!$C:$C,0),MATCH('index match'!C$1,ECOMMERS_SALES[#Headers],0))</f>
        <v>02-01-2025</v>
      </c>
      <c r="D492" t="str">
        <f>INDEX('ECOMMERS SALES'!$A:$J,MATCH('index match'!$A492,'ECOMMERS SALES'!$C:$C,0),MATCH('index match'!D$1,ECOMMERS_SALES[#Headers],0))</f>
        <v>Electronics</v>
      </c>
      <c r="E492">
        <f>INDEX('ECOMMERS SALES'!$A:$J,MATCH('index match'!$A492,'ECOMMERS SALES'!$C:$C,0),MATCH('index match'!E$1,ECOMMERS_SALES[#Headers],0))</f>
        <v>2</v>
      </c>
      <c r="F492">
        <f>INDEX('ECOMMERS SALES'!$A:$J,MATCH('index match'!$A492,'ECOMMERS SALES'!$C:$C,0),MATCH('index match'!F$1,ECOMMERS_SALES[#Headers],0))</f>
        <v>50353</v>
      </c>
      <c r="G492">
        <f>INDEX('ECOMMERS SALES'!$A:$J,MATCH('index match'!$A492,'ECOMMERS SALES'!$C:$C,0),MATCH('index match'!G$1,ECOMMERS_SALES[#Headers],0))</f>
        <v>100706</v>
      </c>
      <c r="H492" t="str">
        <f>INDEX('ECOMMERS SALES'!$A:$J,MATCH('index match'!$A492,'ECOMMERS SALES'!$C:$C,0),MATCH('index match'!H$1,ECOMMERS_SALES[#Headers],0))</f>
        <v>Chennai</v>
      </c>
      <c r="I492" t="str">
        <f>INDEX('ECOMMERS SALES'!$A:$J,MATCH('index match'!$A492,'ECOMMERS SALES'!$C:$C,0),MATCH('index match'!I$1,ECOMMERS_SALES[#Headers],0))</f>
        <v>Premimum</v>
      </c>
      <c r="J492" t="str">
        <f>INDEX('ECOMMERS SALES'!$A:$J,MATCH('index match'!$A492,'ECOMMERS SALES'!$C:$C,0),MATCH('index match'!J$1,ECOMMERS_SALES[#Headers],0))</f>
        <v>Card</v>
      </c>
    </row>
    <row r="493" spans="1:10" x14ac:dyDescent="0.35">
      <c r="A493" t="s">
        <v>17</v>
      </c>
      <c r="B493">
        <f>INDEX('ECOMMERS SALES'!$A:$J,MATCH('index match'!$A493,'ECOMMERS SALES'!$C:$C,0),MATCH('index match'!B$1,ECOMMERS_SALES[#Headers],0))</f>
        <v>1002</v>
      </c>
      <c r="C493" t="str">
        <f>INDEX('ECOMMERS SALES'!$A:$J,MATCH('index match'!$A493,'ECOMMERS SALES'!$C:$C,0),MATCH('index match'!C$1,ECOMMERS_SALES[#Headers],0))</f>
        <v>03-01-2025</v>
      </c>
      <c r="D493" t="str">
        <f>INDEX('ECOMMERS SALES'!$A:$J,MATCH('index match'!$A493,'ECOMMERS SALES'!$C:$C,0),MATCH('index match'!D$1,ECOMMERS_SALES[#Headers],0))</f>
        <v>Electronics</v>
      </c>
      <c r="E493">
        <f>INDEX('ECOMMERS SALES'!$A:$J,MATCH('index match'!$A493,'ECOMMERS SALES'!$C:$C,0),MATCH('index match'!E$1,ECOMMERS_SALES[#Headers],0))</f>
        <v>2</v>
      </c>
      <c r="F493">
        <f>INDEX('ECOMMERS SALES'!$A:$J,MATCH('index match'!$A493,'ECOMMERS SALES'!$C:$C,0),MATCH('index match'!F$1,ECOMMERS_SALES[#Headers],0))</f>
        <v>2008</v>
      </c>
      <c r="G493">
        <f>INDEX('ECOMMERS SALES'!$A:$J,MATCH('index match'!$A493,'ECOMMERS SALES'!$C:$C,0),MATCH('index match'!G$1,ECOMMERS_SALES[#Headers],0))</f>
        <v>4016</v>
      </c>
      <c r="H493" t="str">
        <f>INDEX('ECOMMERS SALES'!$A:$J,MATCH('index match'!$A493,'ECOMMERS SALES'!$C:$C,0),MATCH('index match'!H$1,ECOMMERS_SALES[#Headers],0))</f>
        <v>Delhi</v>
      </c>
      <c r="I493" t="str">
        <f>INDEX('ECOMMERS SALES'!$A:$J,MATCH('index match'!$A493,'ECOMMERS SALES'!$C:$C,0),MATCH('index match'!I$1,ECOMMERS_SALES[#Headers],0))</f>
        <v>New</v>
      </c>
      <c r="J493" t="str">
        <f>INDEX('ECOMMERS SALES'!$A:$J,MATCH('index match'!$A493,'ECOMMERS SALES'!$C:$C,0),MATCH('index match'!J$1,ECOMMERS_SALES[#Headers],0))</f>
        <v>UPI</v>
      </c>
    </row>
    <row r="494" spans="1:10" x14ac:dyDescent="0.35">
      <c r="A494" t="s">
        <v>22</v>
      </c>
      <c r="B494">
        <f>INDEX('ECOMMERS SALES'!$A:$J,MATCH('index match'!$A494,'ECOMMERS SALES'!$C:$C,0),MATCH('index match'!B$1,ECOMMERS_SALES[#Headers],0))</f>
        <v>1003</v>
      </c>
      <c r="C494" t="str">
        <f>INDEX('ECOMMERS SALES'!$A:$J,MATCH('index match'!$A494,'ECOMMERS SALES'!$C:$C,0),MATCH('index match'!C$1,ECOMMERS_SALES[#Headers],0))</f>
        <v>04-01-2025</v>
      </c>
      <c r="D494" t="str">
        <f>INDEX('ECOMMERS SALES'!$A:$J,MATCH('index match'!$A494,'ECOMMERS SALES'!$C:$C,0),MATCH('index match'!D$1,ECOMMERS_SALES[#Headers],0))</f>
        <v>Fashion</v>
      </c>
      <c r="E494">
        <f>INDEX('ECOMMERS SALES'!$A:$J,MATCH('index match'!$A494,'ECOMMERS SALES'!$C:$C,0),MATCH('index match'!E$1,ECOMMERS_SALES[#Headers],0))</f>
        <v>1</v>
      </c>
      <c r="F494">
        <f>INDEX('ECOMMERS SALES'!$A:$J,MATCH('index match'!$A494,'ECOMMERS SALES'!$C:$C,0),MATCH('index match'!F$1,ECOMMERS_SALES[#Headers],0))</f>
        <v>4736</v>
      </c>
      <c r="G494">
        <f>INDEX('ECOMMERS SALES'!$A:$J,MATCH('index match'!$A494,'ECOMMERS SALES'!$C:$C,0),MATCH('index match'!G$1,ECOMMERS_SALES[#Headers],0))</f>
        <v>4736</v>
      </c>
      <c r="H494" t="str">
        <f>INDEX('ECOMMERS SALES'!$A:$J,MATCH('index match'!$A494,'ECOMMERS SALES'!$C:$C,0),MATCH('index match'!H$1,ECOMMERS_SALES[#Headers],0))</f>
        <v>Chennai</v>
      </c>
      <c r="I494" t="str">
        <f>INDEX('ECOMMERS SALES'!$A:$J,MATCH('index match'!$A494,'ECOMMERS SALES'!$C:$C,0),MATCH('index match'!I$1,ECOMMERS_SALES[#Headers],0))</f>
        <v>New</v>
      </c>
      <c r="J494" t="str">
        <f>INDEX('ECOMMERS SALES'!$A:$J,MATCH('index match'!$A494,'ECOMMERS SALES'!$C:$C,0),MATCH('index match'!J$1,ECOMMERS_SALES[#Headers],0))</f>
        <v>UPI</v>
      </c>
    </row>
    <row r="495" spans="1:10" x14ac:dyDescent="0.35">
      <c r="A495" t="s">
        <v>25</v>
      </c>
      <c r="B495">
        <f>INDEX('ECOMMERS SALES'!$A:$J,MATCH('index match'!$A495,'ECOMMERS SALES'!$C:$C,0),MATCH('index match'!B$1,ECOMMERS_SALES[#Headers],0))</f>
        <v>1004</v>
      </c>
      <c r="C495" t="str">
        <f>INDEX('ECOMMERS SALES'!$A:$J,MATCH('index match'!$A495,'ECOMMERS SALES'!$C:$C,0),MATCH('index match'!C$1,ECOMMERS_SALES[#Headers],0))</f>
        <v>05-01-2025</v>
      </c>
      <c r="D495" t="str">
        <f>INDEX('ECOMMERS SALES'!$A:$J,MATCH('index match'!$A495,'ECOMMERS SALES'!$C:$C,0),MATCH('index match'!D$1,ECOMMERS_SALES[#Headers],0))</f>
        <v>Other</v>
      </c>
      <c r="E495">
        <f>INDEX('ECOMMERS SALES'!$A:$J,MATCH('index match'!$A495,'ECOMMERS SALES'!$C:$C,0),MATCH('index match'!E$1,ECOMMERS_SALES[#Headers],0))</f>
        <v>2</v>
      </c>
      <c r="F495">
        <f>INDEX('ECOMMERS SALES'!$A:$J,MATCH('index match'!$A495,'ECOMMERS SALES'!$C:$C,0),MATCH('index match'!F$1,ECOMMERS_SALES[#Headers],0))</f>
        <v>10072</v>
      </c>
      <c r="G495">
        <f>INDEX('ECOMMERS SALES'!$A:$J,MATCH('index match'!$A495,'ECOMMERS SALES'!$C:$C,0),MATCH('index match'!G$1,ECOMMERS_SALES[#Headers],0))</f>
        <v>20144</v>
      </c>
      <c r="H495" t="str">
        <f>INDEX('ECOMMERS SALES'!$A:$J,MATCH('index match'!$A495,'ECOMMERS SALES'!$C:$C,0),MATCH('index match'!H$1,ECOMMERS_SALES[#Headers],0))</f>
        <v>Pune</v>
      </c>
      <c r="I495" t="str">
        <f>INDEX('ECOMMERS SALES'!$A:$J,MATCH('index match'!$A495,'ECOMMERS SALES'!$C:$C,0),MATCH('index match'!I$1,ECOMMERS_SALES[#Headers],0))</f>
        <v>Premimum</v>
      </c>
      <c r="J495" t="str">
        <f>INDEX('ECOMMERS SALES'!$A:$J,MATCH('index match'!$A495,'ECOMMERS SALES'!$C:$C,0),MATCH('index match'!J$1,ECOMMERS_SALES[#Headers],0))</f>
        <v>Card</v>
      </c>
    </row>
    <row r="496" spans="1:10" x14ac:dyDescent="0.35">
      <c r="A496" t="s">
        <v>29</v>
      </c>
      <c r="B496">
        <f>INDEX('ECOMMERS SALES'!$A:$J,MATCH('index match'!$A496,'ECOMMERS SALES'!$C:$C,0),MATCH('index match'!B$1,ECOMMERS_SALES[#Headers],0))</f>
        <v>1005</v>
      </c>
      <c r="C496" t="str">
        <f>INDEX('ECOMMERS SALES'!$A:$J,MATCH('index match'!$A496,'ECOMMERS SALES'!$C:$C,0),MATCH('index match'!C$1,ECOMMERS_SALES[#Headers],0))</f>
        <v>06-01-2025</v>
      </c>
      <c r="D496" t="str">
        <f>INDEX('ECOMMERS SALES'!$A:$J,MATCH('index match'!$A496,'ECOMMERS SALES'!$C:$C,0),MATCH('index match'!D$1,ECOMMERS_SALES[#Headers],0))</f>
        <v>Other</v>
      </c>
      <c r="E496">
        <f>INDEX('ECOMMERS SALES'!$A:$J,MATCH('index match'!$A496,'ECOMMERS SALES'!$C:$C,0),MATCH('index match'!E$1,ECOMMERS_SALES[#Headers],0))</f>
        <v>2</v>
      </c>
      <c r="F496">
        <f>INDEX('ECOMMERS SALES'!$A:$J,MATCH('index match'!$A496,'ECOMMERS SALES'!$C:$C,0),MATCH('index match'!F$1,ECOMMERS_SALES[#Headers],0))</f>
        <v>920</v>
      </c>
      <c r="G496">
        <f>INDEX('ECOMMERS SALES'!$A:$J,MATCH('index match'!$A496,'ECOMMERS SALES'!$C:$C,0),MATCH('index match'!G$1,ECOMMERS_SALES[#Headers],0))</f>
        <v>1840</v>
      </c>
      <c r="H496" t="str">
        <f>INDEX('ECOMMERS SALES'!$A:$J,MATCH('index match'!$A496,'ECOMMERS SALES'!$C:$C,0),MATCH('index match'!H$1,ECOMMERS_SALES[#Headers],0))</f>
        <v>Pune</v>
      </c>
      <c r="I496" t="str">
        <f>INDEX('ECOMMERS SALES'!$A:$J,MATCH('index match'!$A496,'ECOMMERS SALES'!$C:$C,0),MATCH('index match'!I$1,ECOMMERS_SALES[#Headers],0))</f>
        <v>New</v>
      </c>
      <c r="J496" t="str">
        <f>INDEX('ECOMMERS SALES'!$A:$J,MATCH('index match'!$A496,'ECOMMERS SALES'!$C:$C,0),MATCH('index match'!J$1,ECOMMERS_SALES[#Headers],0))</f>
        <v>UPI</v>
      </c>
    </row>
    <row r="497" spans="1:10" x14ac:dyDescent="0.35">
      <c r="A497" t="s">
        <v>31</v>
      </c>
      <c r="B497">
        <f>INDEX('ECOMMERS SALES'!$A:$J,MATCH('index match'!$A497,'ECOMMERS SALES'!$C:$C,0),MATCH('index match'!B$1,ECOMMERS_SALES[#Headers],0))</f>
        <v>1006</v>
      </c>
      <c r="C497" t="str">
        <f>INDEX('ECOMMERS SALES'!$A:$J,MATCH('index match'!$A497,'ECOMMERS SALES'!$C:$C,0),MATCH('index match'!C$1,ECOMMERS_SALES[#Headers],0))</f>
        <v>07-01-2025</v>
      </c>
      <c r="D497" t="str">
        <f>INDEX('ECOMMERS SALES'!$A:$J,MATCH('index match'!$A497,'ECOMMERS SALES'!$C:$C,0),MATCH('index match'!D$1,ECOMMERS_SALES[#Headers],0))</f>
        <v>Electronics</v>
      </c>
      <c r="E497">
        <f>INDEX('ECOMMERS SALES'!$A:$J,MATCH('index match'!$A497,'ECOMMERS SALES'!$C:$C,0),MATCH('index match'!E$1,ECOMMERS_SALES[#Headers],0))</f>
        <v>1</v>
      </c>
      <c r="F497">
        <f>INDEX('ECOMMERS SALES'!$A:$J,MATCH('index match'!$A497,'ECOMMERS SALES'!$C:$C,0),MATCH('index match'!F$1,ECOMMERS_SALES[#Headers],0))</f>
        <v>13225</v>
      </c>
      <c r="G497">
        <f>INDEX('ECOMMERS SALES'!$A:$J,MATCH('index match'!$A497,'ECOMMERS SALES'!$C:$C,0),MATCH('index match'!G$1,ECOMMERS_SALES[#Headers],0))</f>
        <v>13225</v>
      </c>
      <c r="H497" t="str">
        <f>INDEX('ECOMMERS SALES'!$A:$J,MATCH('index match'!$A497,'ECOMMERS SALES'!$C:$C,0),MATCH('index match'!H$1,ECOMMERS_SALES[#Headers],0))</f>
        <v>Delhi</v>
      </c>
      <c r="I497" t="str">
        <f>INDEX('ECOMMERS SALES'!$A:$J,MATCH('index match'!$A497,'ECOMMERS SALES'!$C:$C,0),MATCH('index match'!I$1,ECOMMERS_SALES[#Headers],0))</f>
        <v>Returning</v>
      </c>
      <c r="J497" t="str">
        <f>INDEX('ECOMMERS SALES'!$A:$J,MATCH('index match'!$A497,'ECOMMERS SALES'!$C:$C,0),MATCH('index match'!J$1,ECOMMERS_SALES[#Headers],0))</f>
        <v>COD</v>
      </c>
    </row>
    <row r="498" spans="1:10" x14ac:dyDescent="0.35">
      <c r="A498" t="s">
        <v>35</v>
      </c>
      <c r="B498">
        <f>INDEX('ECOMMERS SALES'!$A:$J,MATCH('index match'!$A498,'ECOMMERS SALES'!$C:$C,0),MATCH('index match'!B$1,ECOMMERS_SALES[#Headers],0))</f>
        <v>1007</v>
      </c>
      <c r="C498" t="str">
        <f>INDEX('ECOMMERS SALES'!$A:$J,MATCH('index match'!$A498,'ECOMMERS SALES'!$C:$C,0),MATCH('index match'!C$1,ECOMMERS_SALES[#Headers],0))</f>
        <v>08-01-2025</v>
      </c>
      <c r="D498" t="str">
        <f>INDEX('ECOMMERS SALES'!$A:$J,MATCH('index match'!$A498,'ECOMMERS SALES'!$C:$C,0),MATCH('index match'!D$1,ECOMMERS_SALES[#Headers],0))</f>
        <v>Books</v>
      </c>
      <c r="E498">
        <f>INDEX('ECOMMERS SALES'!$A:$J,MATCH('index match'!$A498,'ECOMMERS SALES'!$C:$C,0),MATCH('index match'!E$1,ECOMMERS_SALES[#Headers],0))</f>
        <v>3</v>
      </c>
      <c r="F498">
        <f>INDEX('ECOMMERS SALES'!$A:$J,MATCH('index match'!$A498,'ECOMMERS SALES'!$C:$C,0),MATCH('index match'!F$1,ECOMMERS_SALES[#Headers],0))</f>
        <v>621</v>
      </c>
      <c r="G498">
        <f>INDEX('ECOMMERS SALES'!$A:$J,MATCH('index match'!$A498,'ECOMMERS SALES'!$C:$C,0),MATCH('index match'!G$1,ECOMMERS_SALES[#Headers],0))</f>
        <v>1863</v>
      </c>
      <c r="H498" t="str">
        <f>INDEX('ECOMMERS SALES'!$A:$J,MATCH('index match'!$A498,'ECOMMERS SALES'!$C:$C,0),MATCH('index match'!H$1,ECOMMERS_SALES[#Headers],0))</f>
        <v>Hyderabad</v>
      </c>
      <c r="I498" t="str">
        <f>INDEX('ECOMMERS SALES'!$A:$J,MATCH('index match'!$A498,'ECOMMERS SALES'!$C:$C,0),MATCH('index match'!I$1,ECOMMERS_SALES[#Headers],0))</f>
        <v>Premimum</v>
      </c>
      <c r="J498" t="str">
        <f>INDEX('ECOMMERS SALES'!$A:$J,MATCH('index match'!$A498,'ECOMMERS SALES'!$C:$C,0),MATCH('index match'!J$1,ECOMMERS_SALES[#Headers],0))</f>
        <v>UPI</v>
      </c>
    </row>
    <row r="499" spans="1:10" x14ac:dyDescent="0.35">
      <c r="A499" t="s">
        <v>39</v>
      </c>
      <c r="B499">
        <f>INDEX('ECOMMERS SALES'!$A:$J,MATCH('index match'!$A499,'ECOMMERS SALES'!$C:$C,0),MATCH('index match'!B$1,ECOMMERS_SALES[#Headers],0))</f>
        <v>1008</v>
      </c>
      <c r="C499" t="str">
        <f>INDEX('ECOMMERS SALES'!$A:$J,MATCH('index match'!$A499,'ECOMMERS SALES'!$C:$C,0),MATCH('index match'!C$1,ECOMMERS_SALES[#Headers],0))</f>
        <v>09-01-2025</v>
      </c>
      <c r="D499" t="str">
        <f>INDEX('ECOMMERS SALES'!$A:$J,MATCH('index match'!$A499,'ECOMMERS SALES'!$C:$C,0),MATCH('index match'!D$1,ECOMMERS_SALES[#Headers],0))</f>
        <v>Fashion</v>
      </c>
      <c r="E499">
        <f>INDEX('ECOMMERS SALES'!$A:$J,MATCH('index match'!$A499,'ECOMMERS SALES'!$C:$C,0),MATCH('index match'!E$1,ECOMMERS_SALES[#Headers],0))</f>
        <v>2</v>
      </c>
      <c r="F499">
        <f>INDEX('ECOMMERS SALES'!$A:$J,MATCH('index match'!$A499,'ECOMMERS SALES'!$C:$C,0),MATCH('index match'!F$1,ECOMMERS_SALES[#Headers],0))</f>
        <v>905</v>
      </c>
      <c r="G499">
        <f>INDEX('ECOMMERS SALES'!$A:$J,MATCH('index match'!$A499,'ECOMMERS SALES'!$C:$C,0),MATCH('index match'!G$1,ECOMMERS_SALES[#Headers],0))</f>
        <v>1810</v>
      </c>
      <c r="H499" t="str">
        <f>INDEX('ECOMMERS SALES'!$A:$J,MATCH('index match'!$A499,'ECOMMERS SALES'!$C:$C,0),MATCH('index match'!H$1,ECOMMERS_SALES[#Headers],0))</f>
        <v>Bangalore</v>
      </c>
      <c r="I499" t="str">
        <f>INDEX('ECOMMERS SALES'!$A:$J,MATCH('index match'!$A499,'ECOMMERS SALES'!$C:$C,0),MATCH('index match'!I$1,ECOMMERS_SALES[#Headers],0))</f>
        <v>New</v>
      </c>
      <c r="J499" t="str">
        <f>INDEX('ECOMMERS SALES'!$A:$J,MATCH('index match'!$A499,'ECOMMERS SALES'!$C:$C,0),MATCH('index match'!J$1,ECOMMERS_SALES[#Headers],0))</f>
        <v>COD</v>
      </c>
    </row>
    <row r="500" spans="1:10" x14ac:dyDescent="0.35">
      <c r="A500" t="s">
        <v>42</v>
      </c>
      <c r="B500">
        <f>INDEX('ECOMMERS SALES'!$A:$J,MATCH('index match'!$A500,'ECOMMERS SALES'!$C:$C,0),MATCH('index match'!B$1,ECOMMERS_SALES[#Headers],0))</f>
        <v>1009</v>
      </c>
      <c r="C500" t="str">
        <f>INDEX('ECOMMERS SALES'!$A:$J,MATCH('index match'!$A500,'ECOMMERS SALES'!$C:$C,0),MATCH('index match'!C$1,ECOMMERS_SALES[#Headers],0))</f>
        <v>10-01-2025</v>
      </c>
      <c r="D500" t="str">
        <f>INDEX('ECOMMERS SALES'!$A:$J,MATCH('index match'!$A500,'ECOMMERS SALES'!$C:$C,0),MATCH('index match'!D$1,ECOMMERS_SALES[#Headers],0))</f>
        <v>Electronics</v>
      </c>
      <c r="E500">
        <f>INDEX('ECOMMERS SALES'!$A:$J,MATCH('index match'!$A500,'ECOMMERS SALES'!$C:$C,0),MATCH('index match'!E$1,ECOMMERS_SALES[#Headers],0))</f>
        <v>1</v>
      </c>
      <c r="F500">
        <f>INDEX('ECOMMERS SALES'!$A:$J,MATCH('index match'!$A500,'ECOMMERS SALES'!$C:$C,0),MATCH('index match'!F$1,ECOMMERS_SALES[#Headers],0))</f>
        <v>8563</v>
      </c>
      <c r="G500">
        <f>INDEX('ECOMMERS SALES'!$A:$J,MATCH('index match'!$A500,'ECOMMERS SALES'!$C:$C,0),MATCH('index match'!G$1,ECOMMERS_SALES[#Headers],0))</f>
        <v>8563</v>
      </c>
      <c r="H500" t="str">
        <f>INDEX('ECOMMERS SALES'!$A:$J,MATCH('index match'!$A500,'ECOMMERS SALES'!$C:$C,0),MATCH('index match'!H$1,ECOMMERS_SALES[#Headers],0))</f>
        <v>Hyderabad</v>
      </c>
      <c r="I500" t="str">
        <f>INDEX('ECOMMERS SALES'!$A:$J,MATCH('index match'!$A500,'ECOMMERS SALES'!$C:$C,0),MATCH('index match'!I$1,ECOMMERS_SALES[#Headers],0))</f>
        <v>Returning</v>
      </c>
      <c r="J500" t="str">
        <f>INDEX('ECOMMERS SALES'!$A:$J,MATCH('index match'!$A500,'ECOMMERS SALES'!$C:$C,0),MATCH('index match'!J$1,ECOMMERS_SALES[#Headers],0))</f>
        <v>Card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DBCA-2A85-48A6-8125-ECB8428191A1}">
  <sheetPr>
    <tabColor theme="5"/>
  </sheetPr>
  <dimension ref="A1:P500"/>
  <sheetViews>
    <sheetView workbookViewId="0">
      <selection activeCell="K12" sqref="K12"/>
    </sheetView>
  </sheetViews>
  <sheetFormatPr defaultRowHeight="14.5" x14ac:dyDescent="0.35"/>
  <cols>
    <col min="1" max="1" width="10.81640625" bestFit="1" customWidth="1"/>
    <col min="2" max="2" width="10.7265625" bestFit="1" customWidth="1"/>
    <col min="9" max="9" width="14.08984375" bestFit="1" customWidth="1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6" x14ac:dyDescent="0.35">
      <c r="A2">
        <v>1001</v>
      </c>
      <c r="B2" t="str">
        <f>VLOOKUP($A2,'ECOMMERS SALES'!$1:$500,MATCH('vlookup match'!B$1,ECOMMERS_SALES[#Headers],0))</f>
        <v>02-01-2025</v>
      </c>
      <c r="C2" t="str">
        <f>VLOOKUP($A2,'ECOMMERS SALES'!$1:$500,MATCH('vlookup match'!C$1,ECOMMERS_SALES[#Headers],0))</f>
        <v>Laptop</v>
      </c>
      <c r="D2" t="str">
        <f>VLOOKUP($A2,'ECOMMERS SALES'!$1:$500,MATCH('vlookup match'!D$1,ECOMMERS_SALES[#Headers],0))</f>
        <v>Electronics</v>
      </c>
      <c r="E2">
        <f>VLOOKUP($A2,'ECOMMERS SALES'!$1:$500,MATCH('vlookup match'!E$1,ECOMMERS_SALES[#Headers],0))</f>
        <v>2</v>
      </c>
      <c r="F2">
        <f>VLOOKUP($A2,'ECOMMERS SALES'!$1:$500,MATCH('vlookup match'!F$1,ECOMMERS_SALES[#Headers],0))</f>
        <v>50353</v>
      </c>
      <c r="G2">
        <f>VLOOKUP($A2,'ECOMMERS SALES'!$1:$500,MATCH('vlookup match'!G$1,ECOMMERS_SALES[#Headers],0))</f>
        <v>100706</v>
      </c>
      <c r="H2" t="str">
        <f>VLOOKUP($A2,'ECOMMERS SALES'!$1:$500,MATCH('vlookup match'!H$1,ECOMMERS_SALES[#Headers],0))</f>
        <v>Chennai</v>
      </c>
      <c r="I2" t="str">
        <f>VLOOKUP($A2,'ECOMMERS SALES'!$1:$500,MATCH('vlookup match'!I$1,ECOMMERS_SALES[#Headers],0))</f>
        <v>Premimum</v>
      </c>
      <c r="J2" t="str">
        <f>VLOOKUP($A2,'ECOMMERS SALES'!$1:$500,MATCH('vlookup match'!J$1,ECOMMERS_SALES[#Headers],0))</f>
        <v>Card</v>
      </c>
    </row>
    <row r="3" spans="1:16" x14ac:dyDescent="0.35">
      <c r="A3">
        <v>1002</v>
      </c>
      <c r="B3" t="str">
        <f>VLOOKUP($A3,'ECOMMERS SALES'!$1:$500,MATCH('vlookup match'!B$1,ECOMMERS_SALES[#Headers],0))</f>
        <v>03-01-2025</v>
      </c>
      <c r="C3" t="str">
        <f>VLOOKUP($A3,'ECOMMERS SALES'!$1:$500,MATCH('vlookup match'!C$1,ECOMMERS_SALES[#Headers],0))</f>
        <v>Headphones</v>
      </c>
      <c r="D3" t="str">
        <f>VLOOKUP($A3,'ECOMMERS SALES'!$1:$500,MATCH('vlookup match'!D$1,ECOMMERS_SALES[#Headers],0))</f>
        <v>Electronics</v>
      </c>
      <c r="E3">
        <f>VLOOKUP($A3,'ECOMMERS SALES'!$1:$500,MATCH('vlookup match'!E$1,ECOMMERS_SALES[#Headers],0))</f>
        <v>2</v>
      </c>
      <c r="F3">
        <f>VLOOKUP($A3,'ECOMMERS SALES'!$1:$500,MATCH('vlookup match'!F$1,ECOMMERS_SALES[#Headers],0))</f>
        <v>2008</v>
      </c>
      <c r="G3">
        <f>VLOOKUP($A3,'ECOMMERS SALES'!$1:$500,MATCH('vlookup match'!G$1,ECOMMERS_SALES[#Headers],0))</f>
        <v>4016</v>
      </c>
      <c r="H3" t="str">
        <f>VLOOKUP($A3,'ECOMMERS SALES'!$1:$500,MATCH('vlookup match'!H$1,ECOMMERS_SALES[#Headers],0))</f>
        <v>Delhi</v>
      </c>
      <c r="I3" t="str">
        <f>VLOOKUP($A3,'ECOMMERS SALES'!$1:$500,MATCH('vlookup match'!I$1,ECOMMERS_SALES[#Headers],0))</f>
        <v>New</v>
      </c>
      <c r="J3" t="str">
        <f>VLOOKUP($A3,'ECOMMERS SALES'!$1:$500,MATCH('vlookup match'!J$1,ECOMMERS_SALES[#Headers],0))</f>
        <v>UPI</v>
      </c>
    </row>
    <row r="4" spans="1:16" x14ac:dyDescent="0.35">
      <c r="A4">
        <v>1003</v>
      </c>
      <c r="B4" t="str">
        <f>VLOOKUP($A4,'ECOMMERS SALES'!$1:$500,MATCH('vlookup match'!B$1,ECOMMERS_SALES[#Headers],0))</f>
        <v>04-01-2025</v>
      </c>
      <c r="C4" t="str">
        <f>VLOOKUP($A4,'ECOMMERS SALES'!$1:$500,MATCH('vlookup match'!C$1,ECOMMERS_SALES[#Headers],0))</f>
        <v>Shoes</v>
      </c>
      <c r="D4" t="str">
        <f>VLOOKUP($A4,'ECOMMERS SALES'!$1:$500,MATCH('vlookup match'!D$1,ECOMMERS_SALES[#Headers],0))</f>
        <v>Fashion</v>
      </c>
      <c r="E4">
        <f>VLOOKUP($A4,'ECOMMERS SALES'!$1:$500,MATCH('vlookup match'!E$1,ECOMMERS_SALES[#Headers],0))</f>
        <v>1</v>
      </c>
      <c r="F4">
        <f>VLOOKUP($A4,'ECOMMERS SALES'!$1:$500,MATCH('vlookup match'!F$1,ECOMMERS_SALES[#Headers],0))</f>
        <v>4736</v>
      </c>
      <c r="G4">
        <f>VLOOKUP($A4,'ECOMMERS SALES'!$1:$500,MATCH('vlookup match'!G$1,ECOMMERS_SALES[#Headers],0))</f>
        <v>4736</v>
      </c>
      <c r="H4" t="str">
        <f>VLOOKUP($A4,'ECOMMERS SALES'!$1:$500,MATCH('vlookup match'!H$1,ECOMMERS_SALES[#Headers],0))</f>
        <v>Chennai</v>
      </c>
      <c r="I4" t="str">
        <f>VLOOKUP($A4,'ECOMMERS SALES'!$1:$500,MATCH('vlookup match'!I$1,ECOMMERS_SALES[#Headers],0))</f>
        <v>New</v>
      </c>
      <c r="J4" t="str">
        <f>VLOOKUP($A4,'ECOMMERS SALES'!$1:$500,MATCH('vlookup match'!J$1,ECOMMERS_SALES[#Headers],0))</f>
        <v>UPI</v>
      </c>
    </row>
    <row r="5" spans="1:16" x14ac:dyDescent="0.35">
      <c r="A5">
        <v>1004</v>
      </c>
      <c r="B5" t="str">
        <f>VLOOKUP($A5,'ECOMMERS SALES'!$1:$500,MATCH('vlookup match'!B$1,ECOMMERS_SALES[#Headers],0))</f>
        <v>05-01-2025</v>
      </c>
      <c r="C5" t="str">
        <f>VLOOKUP($A5,'ECOMMERS SALES'!$1:$500,MATCH('vlookup match'!C$1,ECOMMERS_SALES[#Headers],0))</f>
        <v>Watch</v>
      </c>
      <c r="D5" t="str">
        <f>VLOOKUP($A5,'ECOMMERS SALES'!$1:$500,MATCH('vlookup match'!D$1,ECOMMERS_SALES[#Headers],0))</f>
        <v>Other</v>
      </c>
      <c r="E5">
        <f>VLOOKUP($A5,'ECOMMERS SALES'!$1:$500,MATCH('vlookup match'!E$1,ECOMMERS_SALES[#Headers],0))</f>
        <v>2</v>
      </c>
      <c r="F5">
        <f>VLOOKUP($A5,'ECOMMERS SALES'!$1:$500,MATCH('vlookup match'!F$1,ECOMMERS_SALES[#Headers],0))</f>
        <v>10072</v>
      </c>
      <c r="G5">
        <f>VLOOKUP($A5,'ECOMMERS SALES'!$1:$500,MATCH('vlookup match'!G$1,ECOMMERS_SALES[#Headers],0))</f>
        <v>20144</v>
      </c>
      <c r="H5" t="str">
        <f>VLOOKUP($A5,'ECOMMERS SALES'!$1:$500,MATCH('vlookup match'!H$1,ECOMMERS_SALES[#Headers],0))</f>
        <v>Pune</v>
      </c>
      <c r="I5" t="str">
        <f>VLOOKUP($A5,'ECOMMERS SALES'!$1:$500,MATCH('vlookup match'!I$1,ECOMMERS_SALES[#Headers],0))</f>
        <v>Premimum</v>
      </c>
      <c r="J5" t="str">
        <f>VLOOKUP($A5,'ECOMMERS SALES'!$1:$500,MATCH('vlookup match'!J$1,ECOMMERS_SALES[#Headers],0))</f>
        <v>Card</v>
      </c>
    </row>
    <row r="6" spans="1:16" x14ac:dyDescent="0.35">
      <c r="A6">
        <v>1005</v>
      </c>
      <c r="B6" t="str">
        <f>VLOOKUP($A6,'ECOMMERS SALES'!$1:$500,MATCH('vlookup match'!B$1,ECOMMERS_SALES[#Headers],0))</f>
        <v>06-01-2025</v>
      </c>
      <c r="C6" t="str">
        <f>VLOOKUP($A6,'ECOMMERS SALES'!$1:$500,MATCH('vlookup match'!C$1,ECOMMERS_SALES[#Headers],0))</f>
        <v>Mobile Case</v>
      </c>
      <c r="D6" t="str">
        <f>VLOOKUP($A6,'ECOMMERS SALES'!$1:$500,MATCH('vlookup match'!D$1,ECOMMERS_SALES[#Headers],0))</f>
        <v>Other</v>
      </c>
      <c r="E6">
        <f>VLOOKUP($A6,'ECOMMERS SALES'!$1:$500,MATCH('vlookup match'!E$1,ECOMMERS_SALES[#Headers],0))</f>
        <v>2</v>
      </c>
      <c r="F6">
        <f>VLOOKUP($A6,'ECOMMERS SALES'!$1:$500,MATCH('vlookup match'!F$1,ECOMMERS_SALES[#Headers],0))</f>
        <v>920</v>
      </c>
      <c r="G6">
        <f>VLOOKUP($A6,'ECOMMERS SALES'!$1:$500,MATCH('vlookup match'!G$1,ECOMMERS_SALES[#Headers],0))</f>
        <v>1840</v>
      </c>
      <c r="H6" t="str">
        <f>VLOOKUP($A6,'ECOMMERS SALES'!$1:$500,MATCH('vlookup match'!H$1,ECOMMERS_SALES[#Headers],0))</f>
        <v>Pune</v>
      </c>
      <c r="I6" t="str">
        <f>VLOOKUP($A6,'ECOMMERS SALES'!$1:$500,MATCH('vlookup match'!I$1,ECOMMERS_SALES[#Headers],0))</f>
        <v>New</v>
      </c>
      <c r="J6" t="str">
        <f>VLOOKUP($A6,'ECOMMERS SALES'!$1:$500,MATCH('vlookup match'!J$1,ECOMMERS_SALES[#Headers],0))</f>
        <v>UPI</v>
      </c>
    </row>
    <row r="7" spans="1:16" x14ac:dyDescent="0.35">
      <c r="A7">
        <v>1006</v>
      </c>
      <c r="B7" t="str">
        <f>VLOOKUP($A7,'ECOMMERS SALES'!$1:$500,MATCH('vlookup match'!B$1,ECOMMERS_SALES[#Headers],0))</f>
        <v>07-01-2025</v>
      </c>
      <c r="C7" t="str">
        <f>VLOOKUP($A7,'ECOMMERS SALES'!$1:$500,MATCH('vlookup match'!C$1,ECOMMERS_SALES[#Headers],0))</f>
        <v>Tablet</v>
      </c>
      <c r="D7" t="str">
        <f>VLOOKUP($A7,'ECOMMERS SALES'!$1:$500,MATCH('vlookup match'!D$1,ECOMMERS_SALES[#Headers],0))</f>
        <v>Electronics</v>
      </c>
      <c r="E7">
        <f>VLOOKUP($A7,'ECOMMERS SALES'!$1:$500,MATCH('vlookup match'!E$1,ECOMMERS_SALES[#Headers],0))</f>
        <v>1</v>
      </c>
      <c r="F7">
        <f>VLOOKUP($A7,'ECOMMERS SALES'!$1:$500,MATCH('vlookup match'!F$1,ECOMMERS_SALES[#Headers],0))</f>
        <v>13225</v>
      </c>
      <c r="G7">
        <f>VLOOKUP($A7,'ECOMMERS SALES'!$1:$500,MATCH('vlookup match'!G$1,ECOMMERS_SALES[#Headers],0))</f>
        <v>13225</v>
      </c>
      <c r="H7" t="str">
        <f>VLOOKUP($A7,'ECOMMERS SALES'!$1:$500,MATCH('vlookup match'!H$1,ECOMMERS_SALES[#Headers],0))</f>
        <v>Delhi</v>
      </c>
      <c r="I7" t="str">
        <f>VLOOKUP($A7,'ECOMMERS SALES'!$1:$500,MATCH('vlookup match'!I$1,ECOMMERS_SALES[#Headers],0))</f>
        <v>Returning</v>
      </c>
      <c r="J7" t="str">
        <f>VLOOKUP($A7,'ECOMMERS SALES'!$1:$500,MATCH('vlookup match'!J$1,ECOMMERS_SALES[#Headers],0))</f>
        <v>COD</v>
      </c>
      <c r="P7" s="4"/>
    </row>
    <row r="8" spans="1:16" x14ac:dyDescent="0.35">
      <c r="A8">
        <v>1007</v>
      </c>
      <c r="B8" t="str">
        <f>VLOOKUP($A8,'ECOMMERS SALES'!$1:$500,MATCH('vlookup match'!B$1,ECOMMERS_SALES[#Headers],0))</f>
        <v>08-01-2025</v>
      </c>
      <c r="C8" t="str">
        <f>VLOOKUP($A8,'ECOMMERS SALES'!$1:$500,MATCH('vlookup match'!C$1,ECOMMERS_SALES[#Headers],0))</f>
        <v>Book</v>
      </c>
      <c r="D8" t="str">
        <f>VLOOKUP($A8,'ECOMMERS SALES'!$1:$500,MATCH('vlookup match'!D$1,ECOMMERS_SALES[#Headers],0))</f>
        <v>Books</v>
      </c>
      <c r="E8">
        <f>VLOOKUP($A8,'ECOMMERS SALES'!$1:$500,MATCH('vlookup match'!E$1,ECOMMERS_SALES[#Headers],0))</f>
        <v>3</v>
      </c>
      <c r="F8">
        <f>VLOOKUP($A8,'ECOMMERS SALES'!$1:$500,MATCH('vlookup match'!F$1,ECOMMERS_SALES[#Headers],0))</f>
        <v>621</v>
      </c>
      <c r="G8">
        <f>VLOOKUP($A8,'ECOMMERS SALES'!$1:$500,MATCH('vlookup match'!G$1,ECOMMERS_SALES[#Headers],0))</f>
        <v>1863</v>
      </c>
      <c r="H8" t="str">
        <f>VLOOKUP($A8,'ECOMMERS SALES'!$1:$500,MATCH('vlookup match'!H$1,ECOMMERS_SALES[#Headers],0))</f>
        <v>Hyderabad</v>
      </c>
      <c r="I8" t="str">
        <f>VLOOKUP($A8,'ECOMMERS SALES'!$1:$500,MATCH('vlookup match'!I$1,ECOMMERS_SALES[#Headers],0))</f>
        <v>Premimum</v>
      </c>
      <c r="J8" t="str">
        <f>VLOOKUP($A8,'ECOMMERS SALES'!$1:$500,MATCH('vlookup match'!J$1,ECOMMERS_SALES[#Headers],0))</f>
        <v>UPI</v>
      </c>
    </row>
    <row r="9" spans="1:16" x14ac:dyDescent="0.35">
      <c r="A9">
        <v>1008</v>
      </c>
      <c r="B9" t="str">
        <f>VLOOKUP($A9,'ECOMMERS SALES'!$1:$500,MATCH('vlookup match'!B$1,ECOMMERS_SALES[#Headers],0))</f>
        <v>09-01-2025</v>
      </c>
      <c r="C9" t="str">
        <f>VLOOKUP($A9,'ECOMMERS SALES'!$1:$500,MATCH('vlookup match'!C$1,ECOMMERS_SALES[#Headers],0))</f>
        <v>Backpack</v>
      </c>
      <c r="D9" t="str">
        <f>VLOOKUP($A9,'ECOMMERS SALES'!$1:$500,MATCH('vlookup match'!D$1,ECOMMERS_SALES[#Headers],0))</f>
        <v>Fashion</v>
      </c>
      <c r="E9">
        <f>VLOOKUP($A9,'ECOMMERS SALES'!$1:$500,MATCH('vlookup match'!E$1,ECOMMERS_SALES[#Headers],0))</f>
        <v>2</v>
      </c>
      <c r="F9">
        <f>VLOOKUP($A9,'ECOMMERS SALES'!$1:$500,MATCH('vlookup match'!F$1,ECOMMERS_SALES[#Headers],0))</f>
        <v>905</v>
      </c>
      <c r="G9">
        <f>VLOOKUP($A9,'ECOMMERS SALES'!$1:$500,MATCH('vlookup match'!G$1,ECOMMERS_SALES[#Headers],0))</f>
        <v>1810</v>
      </c>
      <c r="H9" t="str">
        <f>VLOOKUP($A9,'ECOMMERS SALES'!$1:$500,MATCH('vlookup match'!H$1,ECOMMERS_SALES[#Headers],0))</f>
        <v>Bangalore</v>
      </c>
      <c r="I9" t="str">
        <f>VLOOKUP($A9,'ECOMMERS SALES'!$1:$500,MATCH('vlookup match'!I$1,ECOMMERS_SALES[#Headers],0))</f>
        <v>New</v>
      </c>
      <c r="J9" t="str">
        <f>VLOOKUP($A9,'ECOMMERS SALES'!$1:$500,MATCH('vlookup match'!J$1,ECOMMERS_SALES[#Headers],0))</f>
        <v>COD</v>
      </c>
    </row>
    <row r="10" spans="1:16" x14ac:dyDescent="0.35">
      <c r="A10">
        <v>1009</v>
      </c>
      <c r="B10" t="str">
        <f>VLOOKUP($A10,'ECOMMERS SALES'!$1:$500,MATCH('vlookup match'!B$1,ECOMMERS_SALES[#Headers],0))</f>
        <v>10-01-2025</v>
      </c>
      <c r="C10" t="str">
        <f>VLOOKUP($A10,'ECOMMERS SALES'!$1:$500,MATCH('vlookup match'!C$1,ECOMMERS_SALES[#Headers],0))</f>
        <v>Smartwatch</v>
      </c>
      <c r="D10" t="str">
        <f>VLOOKUP($A10,'ECOMMERS SALES'!$1:$500,MATCH('vlookup match'!D$1,ECOMMERS_SALES[#Headers],0))</f>
        <v>Electronics</v>
      </c>
      <c r="E10">
        <f>VLOOKUP($A10,'ECOMMERS SALES'!$1:$500,MATCH('vlookup match'!E$1,ECOMMERS_SALES[#Headers],0))</f>
        <v>1</v>
      </c>
      <c r="F10">
        <f>VLOOKUP($A10,'ECOMMERS SALES'!$1:$500,MATCH('vlookup match'!F$1,ECOMMERS_SALES[#Headers],0))</f>
        <v>8563</v>
      </c>
      <c r="G10">
        <f>VLOOKUP($A10,'ECOMMERS SALES'!$1:$500,MATCH('vlookup match'!G$1,ECOMMERS_SALES[#Headers],0))</f>
        <v>8563</v>
      </c>
      <c r="H10" t="str">
        <f>VLOOKUP($A10,'ECOMMERS SALES'!$1:$500,MATCH('vlookup match'!H$1,ECOMMERS_SALES[#Headers],0))</f>
        <v>Hyderabad</v>
      </c>
      <c r="I10" t="str">
        <f>VLOOKUP($A10,'ECOMMERS SALES'!$1:$500,MATCH('vlookup match'!I$1,ECOMMERS_SALES[#Headers],0))</f>
        <v>Returning</v>
      </c>
      <c r="J10" t="str">
        <f>VLOOKUP($A10,'ECOMMERS SALES'!$1:$500,MATCH('vlookup match'!J$1,ECOMMERS_SALES[#Headers],0))</f>
        <v>Card</v>
      </c>
    </row>
    <row r="11" spans="1:16" x14ac:dyDescent="0.35">
      <c r="A11">
        <v>1010</v>
      </c>
      <c r="B11" t="str">
        <f>VLOOKUP($A11,'ECOMMERS SALES'!$1:$500,MATCH('vlookup match'!B$1,ECOMMERS_SALES[#Headers],0))</f>
        <v>11-01-2025</v>
      </c>
      <c r="C11" t="str">
        <f>VLOOKUP($A11,'ECOMMERS SALES'!$1:$500,MATCH('vlookup match'!C$1,ECOMMERS_SALES[#Headers],0))</f>
        <v>Water Bottle</v>
      </c>
      <c r="D11" t="str">
        <f>VLOOKUP($A11,'ECOMMERS SALES'!$1:$500,MATCH('vlookup match'!D$1,ECOMMERS_SALES[#Headers],0))</f>
        <v>Other</v>
      </c>
      <c r="E11">
        <f>VLOOKUP($A11,'ECOMMERS SALES'!$1:$500,MATCH('vlookup match'!E$1,ECOMMERS_SALES[#Headers],0))</f>
        <v>1</v>
      </c>
      <c r="F11">
        <f>VLOOKUP($A11,'ECOMMERS SALES'!$1:$500,MATCH('vlookup match'!F$1,ECOMMERS_SALES[#Headers],0))</f>
        <v>268</v>
      </c>
      <c r="G11">
        <f>VLOOKUP($A11,'ECOMMERS SALES'!$1:$500,MATCH('vlookup match'!G$1,ECOMMERS_SALES[#Headers],0))</f>
        <v>268</v>
      </c>
      <c r="H11" t="str">
        <f>VLOOKUP($A11,'ECOMMERS SALES'!$1:$500,MATCH('vlookup match'!H$1,ECOMMERS_SALES[#Headers],0))</f>
        <v>Chennai</v>
      </c>
      <c r="I11" t="str">
        <f>VLOOKUP($A11,'ECOMMERS SALES'!$1:$500,MATCH('vlookup match'!I$1,ECOMMERS_SALES[#Headers],0))</f>
        <v>New</v>
      </c>
      <c r="J11" t="str">
        <f>VLOOKUP($A11,'ECOMMERS SALES'!$1:$500,MATCH('vlookup match'!J$1,ECOMMERS_SALES[#Headers],0))</f>
        <v>UPI</v>
      </c>
    </row>
    <row r="12" spans="1:16" x14ac:dyDescent="0.35">
      <c r="A12">
        <v>1011</v>
      </c>
      <c r="B12" t="str">
        <f>VLOOKUP($A12,'ECOMMERS SALES'!$1:$500,MATCH('vlookup match'!B$1,ECOMMERS_SALES[#Headers],0))</f>
        <v>12-01-2025</v>
      </c>
      <c r="C12" t="str">
        <f>VLOOKUP($A12,'ECOMMERS SALES'!$1:$500,MATCH('vlookup match'!C$1,ECOMMERS_SALES[#Headers],0))</f>
        <v>Laptop</v>
      </c>
      <c r="D12" t="str">
        <f>VLOOKUP($A12,'ECOMMERS SALES'!$1:$500,MATCH('vlookup match'!D$1,ECOMMERS_SALES[#Headers],0))</f>
        <v>Electronics</v>
      </c>
      <c r="E12">
        <f>VLOOKUP($A12,'ECOMMERS SALES'!$1:$500,MATCH('vlookup match'!E$1,ECOMMERS_SALES[#Headers],0))</f>
        <v>2</v>
      </c>
      <c r="F12">
        <f>VLOOKUP($A12,'ECOMMERS SALES'!$1:$500,MATCH('vlookup match'!F$1,ECOMMERS_SALES[#Headers],0))</f>
        <v>54018</v>
      </c>
      <c r="G12">
        <f>VLOOKUP($A12,'ECOMMERS SALES'!$1:$500,MATCH('vlookup match'!G$1,ECOMMERS_SALES[#Headers],0))</f>
        <v>108036</v>
      </c>
      <c r="H12" t="str">
        <f>VLOOKUP($A12,'ECOMMERS SALES'!$1:$500,MATCH('vlookup match'!H$1,ECOMMERS_SALES[#Headers],0))</f>
        <v>Hyderabad</v>
      </c>
      <c r="I12" t="str">
        <f>VLOOKUP($A12,'ECOMMERS SALES'!$1:$500,MATCH('vlookup match'!I$1,ECOMMERS_SALES[#Headers],0))</f>
        <v>Returning</v>
      </c>
      <c r="J12" t="str">
        <f>VLOOKUP($A12,'ECOMMERS SALES'!$1:$500,MATCH('vlookup match'!J$1,ECOMMERS_SALES[#Headers],0))</f>
        <v>Card</v>
      </c>
    </row>
    <row r="13" spans="1:16" x14ac:dyDescent="0.35">
      <c r="A13">
        <v>1012</v>
      </c>
      <c r="B13" t="str">
        <f>VLOOKUP($A13,'ECOMMERS SALES'!$1:$500,MATCH('vlookup match'!B$1,ECOMMERS_SALES[#Headers],0))</f>
        <v>13-01-2025</v>
      </c>
      <c r="C13" t="str">
        <f>VLOOKUP($A13,'ECOMMERS SALES'!$1:$500,MATCH('vlookup match'!C$1,ECOMMERS_SALES[#Headers],0))</f>
        <v>Headphones</v>
      </c>
      <c r="D13" t="str">
        <f>VLOOKUP($A13,'ECOMMERS SALES'!$1:$500,MATCH('vlookup match'!D$1,ECOMMERS_SALES[#Headers],0))</f>
        <v>Electronics</v>
      </c>
      <c r="E13">
        <f>VLOOKUP($A13,'ECOMMERS SALES'!$1:$500,MATCH('vlookup match'!E$1,ECOMMERS_SALES[#Headers],0))</f>
        <v>3</v>
      </c>
      <c r="F13">
        <f>VLOOKUP($A13,'ECOMMERS SALES'!$1:$500,MATCH('vlookup match'!F$1,ECOMMERS_SALES[#Headers],0))</f>
        <v>4762</v>
      </c>
      <c r="G13">
        <f>VLOOKUP($A13,'ECOMMERS SALES'!$1:$500,MATCH('vlookup match'!G$1,ECOMMERS_SALES[#Headers],0))</f>
        <v>14286</v>
      </c>
      <c r="H13" t="str">
        <f>VLOOKUP($A13,'ECOMMERS SALES'!$1:$500,MATCH('vlookup match'!H$1,ECOMMERS_SALES[#Headers],0))</f>
        <v>Delhi</v>
      </c>
      <c r="I13" t="str">
        <f>VLOOKUP($A13,'ECOMMERS SALES'!$1:$500,MATCH('vlookup match'!I$1,ECOMMERS_SALES[#Headers],0))</f>
        <v>Returning</v>
      </c>
      <c r="J13" t="str">
        <f>VLOOKUP($A13,'ECOMMERS SALES'!$1:$500,MATCH('vlookup match'!J$1,ECOMMERS_SALES[#Headers],0))</f>
        <v>UPI</v>
      </c>
    </row>
    <row r="14" spans="1:16" x14ac:dyDescent="0.35">
      <c r="A14">
        <v>1013</v>
      </c>
      <c r="B14" t="str">
        <f>VLOOKUP($A14,'ECOMMERS SALES'!$1:$500,MATCH('vlookup match'!B$1,ECOMMERS_SALES[#Headers],0))</f>
        <v>14-01-2025</v>
      </c>
      <c r="C14" t="str">
        <f>VLOOKUP($A14,'ECOMMERS SALES'!$1:$500,MATCH('vlookup match'!C$1,ECOMMERS_SALES[#Headers],0))</f>
        <v>Shoes</v>
      </c>
      <c r="D14" t="str">
        <f>VLOOKUP($A14,'ECOMMERS SALES'!$1:$500,MATCH('vlookup match'!D$1,ECOMMERS_SALES[#Headers],0))</f>
        <v>Fashion</v>
      </c>
      <c r="E14">
        <f>VLOOKUP($A14,'ECOMMERS SALES'!$1:$500,MATCH('vlookup match'!E$1,ECOMMERS_SALES[#Headers],0))</f>
        <v>2</v>
      </c>
      <c r="F14">
        <f>VLOOKUP($A14,'ECOMMERS SALES'!$1:$500,MATCH('vlookup match'!F$1,ECOMMERS_SALES[#Headers],0))</f>
        <v>4880</v>
      </c>
      <c r="G14">
        <f>VLOOKUP($A14,'ECOMMERS SALES'!$1:$500,MATCH('vlookup match'!G$1,ECOMMERS_SALES[#Headers],0))</f>
        <v>9760</v>
      </c>
      <c r="H14" t="str">
        <f>VLOOKUP($A14,'ECOMMERS SALES'!$1:$500,MATCH('vlookup match'!H$1,ECOMMERS_SALES[#Headers],0))</f>
        <v>Pune</v>
      </c>
      <c r="I14" t="str">
        <f>VLOOKUP($A14,'ECOMMERS SALES'!$1:$500,MATCH('vlookup match'!I$1,ECOMMERS_SALES[#Headers],0))</f>
        <v>Returning</v>
      </c>
      <c r="J14" t="str">
        <f>VLOOKUP($A14,'ECOMMERS SALES'!$1:$500,MATCH('vlookup match'!J$1,ECOMMERS_SALES[#Headers],0))</f>
        <v>COD</v>
      </c>
    </row>
    <row r="15" spans="1:16" x14ac:dyDescent="0.35">
      <c r="A15">
        <v>1014</v>
      </c>
      <c r="B15" t="str">
        <f>VLOOKUP($A15,'ECOMMERS SALES'!$1:$500,MATCH('vlookup match'!B$1,ECOMMERS_SALES[#Headers],0))</f>
        <v>15-01-2025</v>
      </c>
      <c r="C15" t="str">
        <f>VLOOKUP($A15,'ECOMMERS SALES'!$1:$500,MATCH('vlookup match'!C$1,ECOMMERS_SALES[#Headers],0))</f>
        <v>Watch</v>
      </c>
      <c r="D15" t="str">
        <f>VLOOKUP($A15,'ECOMMERS SALES'!$1:$500,MATCH('vlookup match'!D$1,ECOMMERS_SALES[#Headers],0))</f>
        <v>Other</v>
      </c>
      <c r="E15">
        <f>VLOOKUP($A15,'ECOMMERS SALES'!$1:$500,MATCH('vlookup match'!E$1,ECOMMERS_SALES[#Headers],0))</f>
        <v>1</v>
      </c>
      <c r="F15">
        <f>VLOOKUP($A15,'ECOMMERS SALES'!$1:$500,MATCH('vlookup match'!F$1,ECOMMERS_SALES[#Headers],0))</f>
        <v>8508</v>
      </c>
      <c r="G15">
        <f>VLOOKUP($A15,'ECOMMERS SALES'!$1:$500,MATCH('vlookup match'!G$1,ECOMMERS_SALES[#Headers],0))</f>
        <v>8508</v>
      </c>
      <c r="H15" t="str">
        <f>VLOOKUP($A15,'ECOMMERS SALES'!$1:$500,MATCH('vlookup match'!H$1,ECOMMERS_SALES[#Headers],0))</f>
        <v>Chennai</v>
      </c>
      <c r="I15" t="str">
        <f>VLOOKUP($A15,'ECOMMERS SALES'!$1:$500,MATCH('vlookup match'!I$1,ECOMMERS_SALES[#Headers],0))</f>
        <v>Returning</v>
      </c>
      <c r="J15" t="str">
        <f>VLOOKUP($A15,'ECOMMERS SALES'!$1:$500,MATCH('vlookup match'!J$1,ECOMMERS_SALES[#Headers],0))</f>
        <v>Card</v>
      </c>
    </row>
    <row r="16" spans="1:16" x14ac:dyDescent="0.35">
      <c r="A16">
        <v>1015</v>
      </c>
      <c r="B16" t="str">
        <f>VLOOKUP($A16,'ECOMMERS SALES'!$1:$500,MATCH('vlookup match'!B$1,ECOMMERS_SALES[#Headers],0))</f>
        <v>16-01-2025</v>
      </c>
      <c r="C16" t="str">
        <f>VLOOKUP($A16,'ECOMMERS SALES'!$1:$500,MATCH('vlookup match'!C$1,ECOMMERS_SALES[#Headers],0))</f>
        <v>Mobile Case</v>
      </c>
      <c r="D16" t="str">
        <f>VLOOKUP($A16,'ECOMMERS SALES'!$1:$500,MATCH('vlookup match'!D$1,ECOMMERS_SALES[#Headers],0))</f>
        <v>Other</v>
      </c>
      <c r="E16">
        <f>VLOOKUP($A16,'ECOMMERS SALES'!$1:$500,MATCH('vlookup match'!E$1,ECOMMERS_SALES[#Headers],0))</f>
        <v>4</v>
      </c>
      <c r="F16">
        <f>VLOOKUP($A16,'ECOMMERS SALES'!$1:$500,MATCH('vlookup match'!F$1,ECOMMERS_SALES[#Headers],0))</f>
        <v>119</v>
      </c>
      <c r="G16">
        <f>VLOOKUP($A16,'ECOMMERS SALES'!$1:$500,MATCH('vlookup match'!G$1,ECOMMERS_SALES[#Headers],0))</f>
        <v>476</v>
      </c>
      <c r="H16" t="str">
        <f>VLOOKUP($A16,'ECOMMERS SALES'!$1:$500,MATCH('vlookup match'!H$1,ECOMMERS_SALES[#Headers],0))</f>
        <v>Chennai</v>
      </c>
      <c r="I16" t="str">
        <f>VLOOKUP($A16,'ECOMMERS SALES'!$1:$500,MATCH('vlookup match'!I$1,ECOMMERS_SALES[#Headers],0))</f>
        <v>New</v>
      </c>
      <c r="J16" t="str">
        <f>VLOOKUP($A16,'ECOMMERS SALES'!$1:$500,MATCH('vlookup match'!J$1,ECOMMERS_SALES[#Headers],0))</f>
        <v>UPI</v>
      </c>
    </row>
    <row r="17" spans="1:10" x14ac:dyDescent="0.35">
      <c r="A17">
        <v>1016</v>
      </c>
      <c r="B17" t="str">
        <f>VLOOKUP($A17,'ECOMMERS SALES'!$1:$500,MATCH('vlookup match'!B$1,ECOMMERS_SALES[#Headers],0))</f>
        <v>17-01-2025</v>
      </c>
      <c r="C17" t="str">
        <f>VLOOKUP($A17,'ECOMMERS SALES'!$1:$500,MATCH('vlookup match'!C$1,ECOMMERS_SALES[#Headers],0))</f>
        <v>Tablet</v>
      </c>
      <c r="D17" t="str">
        <f>VLOOKUP($A17,'ECOMMERS SALES'!$1:$500,MATCH('vlookup match'!D$1,ECOMMERS_SALES[#Headers],0))</f>
        <v>Electronics</v>
      </c>
      <c r="E17">
        <f>VLOOKUP($A17,'ECOMMERS SALES'!$1:$500,MATCH('vlookup match'!E$1,ECOMMERS_SALES[#Headers],0))</f>
        <v>1</v>
      </c>
      <c r="F17">
        <f>VLOOKUP($A17,'ECOMMERS SALES'!$1:$500,MATCH('vlookup match'!F$1,ECOMMERS_SALES[#Headers],0))</f>
        <v>37589</v>
      </c>
      <c r="G17">
        <f>VLOOKUP($A17,'ECOMMERS SALES'!$1:$500,MATCH('vlookup match'!G$1,ECOMMERS_SALES[#Headers],0))</f>
        <v>37589</v>
      </c>
      <c r="H17" t="str">
        <f>VLOOKUP($A17,'ECOMMERS SALES'!$1:$500,MATCH('vlookup match'!H$1,ECOMMERS_SALES[#Headers],0))</f>
        <v>Mumbai</v>
      </c>
      <c r="I17" t="str">
        <f>VLOOKUP($A17,'ECOMMERS SALES'!$1:$500,MATCH('vlookup match'!I$1,ECOMMERS_SALES[#Headers],0))</f>
        <v>New</v>
      </c>
      <c r="J17" t="str">
        <f>VLOOKUP($A17,'ECOMMERS SALES'!$1:$500,MATCH('vlookup match'!J$1,ECOMMERS_SALES[#Headers],0))</f>
        <v>COD</v>
      </c>
    </row>
    <row r="18" spans="1:10" x14ac:dyDescent="0.35">
      <c r="A18">
        <v>1017</v>
      </c>
      <c r="B18" t="str">
        <f>VLOOKUP($A18,'ECOMMERS SALES'!$1:$500,MATCH('vlookup match'!B$1,ECOMMERS_SALES[#Headers],0))</f>
        <v>18-01-2025</v>
      </c>
      <c r="C18" t="str">
        <f>VLOOKUP($A18,'ECOMMERS SALES'!$1:$500,MATCH('vlookup match'!C$1,ECOMMERS_SALES[#Headers],0))</f>
        <v>Book</v>
      </c>
      <c r="D18" t="str">
        <f>VLOOKUP($A18,'ECOMMERS SALES'!$1:$500,MATCH('vlookup match'!D$1,ECOMMERS_SALES[#Headers],0))</f>
        <v>Books</v>
      </c>
      <c r="E18">
        <f>VLOOKUP($A18,'ECOMMERS SALES'!$1:$500,MATCH('vlookup match'!E$1,ECOMMERS_SALES[#Headers],0))</f>
        <v>1</v>
      </c>
      <c r="F18">
        <f>VLOOKUP($A18,'ECOMMERS SALES'!$1:$500,MATCH('vlookup match'!F$1,ECOMMERS_SALES[#Headers],0))</f>
        <v>781</v>
      </c>
      <c r="G18">
        <f>VLOOKUP($A18,'ECOMMERS SALES'!$1:$500,MATCH('vlookup match'!G$1,ECOMMERS_SALES[#Headers],0))</f>
        <v>781</v>
      </c>
      <c r="H18" t="str">
        <f>VLOOKUP($A18,'ECOMMERS SALES'!$1:$500,MATCH('vlookup match'!H$1,ECOMMERS_SALES[#Headers],0))</f>
        <v>Delhi</v>
      </c>
      <c r="I18" t="str">
        <f>VLOOKUP($A18,'ECOMMERS SALES'!$1:$500,MATCH('vlookup match'!I$1,ECOMMERS_SALES[#Headers],0))</f>
        <v>Premimum</v>
      </c>
      <c r="J18" t="str">
        <f>VLOOKUP($A18,'ECOMMERS SALES'!$1:$500,MATCH('vlookup match'!J$1,ECOMMERS_SALES[#Headers],0))</f>
        <v>UPI</v>
      </c>
    </row>
    <row r="19" spans="1:10" x14ac:dyDescent="0.35">
      <c r="A19">
        <v>1018</v>
      </c>
      <c r="B19" t="str">
        <f>VLOOKUP($A19,'ECOMMERS SALES'!$1:$500,MATCH('vlookup match'!B$1,ECOMMERS_SALES[#Headers],0))</f>
        <v>19-01-2025</v>
      </c>
      <c r="C19" t="str">
        <f>VLOOKUP($A19,'ECOMMERS SALES'!$1:$500,MATCH('vlookup match'!C$1,ECOMMERS_SALES[#Headers],0))</f>
        <v>Backpack</v>
      </c>
      <c r="D19" t="str">
        <f>VLOOKUP($A19,'ECOMMERS SALES'!$1:$500,MATCH('vlookup match'!D$1,ECOMMERS_SALES[#Headers],0))</f>
        <v>Fashion</v>
      </c>
      <c r="E19">
        <f>VLOOKUP($A19,'ECOMMERS SALES'!$1:$500,MATCH('vlookup match'!E$1,ECOMMERS_SALES[#Headers],0))</f>
        <v>5</v>
      </c>
      <c r="F19">
        <f>VLOOKUP($A19,'ECOMMERS SALES'!$1:$500,MATCH('vlookup match'!F$1,ECOMMERS_SALES[#Headers],0))</f>
        <v>809</v>
      </c>
      <c r="G19">
        <f>VLOOKUP($A19,'ECOMMERS SALES'!$1:$500,MATCH('vlookup match'!G$1,ECOMMERS_SALES[#Headers],0))</f>
        <v>4045</v>
      </c>
      <c r="H19" t="str">
        <f>VLOOKUP($A19,'ECOMMERS SALES'!$1:$500,MATCH('vlookup match'!H$1,ECOMMERS_SALES[#Headers],0))</f>
        <v>Mumbai</v>
      </c>
      <c r="I19" t="str">
        <f>VLOOKUP($A19,'ECOMMERS SALES'!$1:$500,MATCH('vlookup match'!I$1,ECOMMERS_SALES[#Headers],0))</f>
        <v>Premimum</v>
      </c>
      <c r="J19" t="str">
        <f>VLOOKUP($A19,'ECOMMERS SALES'!$1:$500,MATCH('vlookup match'!J$1,ECOMMERS_SALES[#Headers],0))</f>
        <v>UPI</v>
      </c>
    </row>
    <row r="20" spans="1:10" x14ac:dyDescent="0.35">
      <c r="A20">
        <v>1019</v>
      </c>
      <c r="B20" t="str">
        <f>VLOOKUP($A20,'ECOMMERS SALES'!$1:$500,MATCH('vlookup match'!B$1,ECOMMERS_SALES[#Headers],0))</f>
        <v>20-01-2025</v>
      </c>
      <c r="C20" t="str">
        <f>VLOOKUP($A20,'ECOMMERS SALES'!$1:$500,MATCH('vlookup match'!C$1,ECOMMERS_SALES[#Headers],0))</f>
        <v>Smartwatch</v>
      </c>
      <c r="D20" t="str">
        <f>VLOOKUP($A20,'ECOMMERS SALES'!$1:$500,MATCH('vlookup match'!D$1,ECOMMERS_SALES[#Headers],0))</f>
        <v>Electronics</v>
      </c>
      <c r="E20">
        <f>VLOOKUP($A20,'ECOMMERS SALES'!$1:$500,MATCH('vlookup match'!E$1,ECOMMERS_SALES[#Headers],0))</f>
        <v>2</v>
      </c>
      <c r="F20">
        <f>VLOOKUP($A20,'ECOMMERS SALES'!$1:$500,MATCH('vlookup match'!F$1,ECOMMERS_SALES[#Headers],0))</f>
        <v>4129</v>
      </c>
      <c r="G20">
        <f>VLOOKUP($A20,'ECOMMERS SALES'!$1:$500,MATCH('vlookup match'!G$1,ECOMMERS_SALES[#Headers],0))</f>
        <v>8258</v>
      </c>
      <c r="H20" t="str">
        <f>VLOOKUP($A20,'ECOMMERS SALES'!$1:$500,MATCH('vlookup match'!H$1,ECOMMERS_SALES[#Headers],0))</f>
        <v>Pune</v>
      </c>
      <c r="I20" t="str">
        <f>VLOOKUP($A20,'ECOMMERS SALES'!$1:$500,MATCH('vlookup match'!I$1,ECOMMERS_SALES[#Headers],0))</f>
        <v>Premimum</v>
      </c>
      <c r="J20" t="str">
        <f>VLOOKUP($A20,'ECOMMERS SALES'!$1:$500,MATCH('vlookup match'!J$1,ECOMMERS_SALES[#Headers],0))</f>
        <v>UPI</v>
      </c>
    </row>
    <row r="21" spans="1:10" x14ac:dyDescent="0.35">
      <c r="A21">
        <v>1020</v>
      </c>
      <c r="B21" t="str">
        <f>VLOOKUP($A21,'ECOMMERS SALES'!$1:$500,MATCH('vlookup match'!B$1,ECOMMERS_SALES[#Headers],0))</f>
        <v>21-01-2025</v>
      </c>
      <c r="C21" t="str">
        <f>VLOOKUP($A21,'ECOMMERS SALES'!$1:$500,MATCH('vlookup match'!C$1,ECOMMERS_SALES[#Headers],0))</f>
        <v>Water Bottle</v>
      </c>
      <c r="D21" t="str">
        <f>VLOOKUP($A21,'ECOMMERS SALES'!$1:$500,MATCH('vlookup match'!D$1,ECOMMERS_SALES[#Headers],0))</f>
        <v>Other</v>
      </c>
      <c r="E21">
        <f>VLOOKUP($A21,'ECOMMERS SALES'!$1:$500,MATCH('vlookup match'!E$1,ECOMMERS_SALES[#Headers],0))</f>
        <v>4</v>
      </c>
      <c r="F21">
        <f>VLOOKUP($A21,'ECOMMERS SALES'!$1:$500,MATCH('vlookup match'!F$1,ECOMMERS_SALES[#Headers],0))</f>
        <v>168</v>
      </c>
      <c r="G21">
        <f>VLOOKUP($A21,'ECOMMERS SALES'!$1:$500,MATCH('vlookup match'!G$1,ECOMMERS_SALES[#Headers],0))</f>
        <v>672</v>
      </c>
      <c r="H21" t="str">
        <f>VLOOKUP($A21,'ECOMMERS SALES'!$1:$500,MATCH('vlookup match'!H$1,ECOMMERS_SALES[#Headers],0))</f>
        <v>Delhi</v>
      </c>
      <c r="I21" t="str">
        <f>VLOOKUP($A21,'ECOMMERS SALES'!$1:$500,MATCH('vlookup match'!I$1,ECOMMERS_SALES[#Headers],0))</f>
        <v>Returning</v>
      </c>
      <c r="J21" t="str">
        <f>VLOOKUP($A21,'ECOMMERS SALES'!$1:$500,MATCH('vlookup match'!J$1,ECOMMERS_SALES[#Headers],0))</f>
        <v>COD</v>
      </c>
    </row>
    <row r="22" spans="1:10" x14ac:dyDescent="0.35">
      <c r="A22">
        <v>1021</v>
      </c>
      <c r="B22" t="str">
        <f>VLOOKUP($A22,'ECOMMERS SALES'!$1:$500,MATCH('vlookup match'!B$1,ECOMMERS_SALES[#Headers],0))</f>
        <v>22-01-2025</v>
      </c>
      <c r="C22" t="str">
        <f>VLOOKUP($A22,'ECOMMERS SALES'!$1:$500,MATCH('vlookup match'!C$1,ECOMMERS_SALES[#Headers],0))</f>
        <v>Laptop</v>
      </c>
      <c r="D22" t="str">
        <f>VLOOKUP($A22,'ECOMMERS SALES'!$1:$500,MATCH('vlookup match'!D$1,ECOMMERS_SALES[#Headers],0))</f>
        <v>Electronics</v>
      </c>
      <c r="E22">
        <f>VLOOKUP($A22,'ECOMMERS SALES'!$1:$500,MATCH('vlookup match'!E$1,ECOMMERS_SALES[#Headers],0))</f>
        <v>2</v>
      </c>
      <c r="F22">
        <f>VLOOKUP($A22,'ECOMMERS SALES'!$1:$500,MATCH('vlookup match'!F$1,ECOMMERS_SALES[#Headers],0))</f>
        <v>68516</v>
      </c>
      <c r="G22">
        <f>VLOOKUP($A22,'ECOMMERS SALES'!$1:$500,MATCH('vlookup match'!G$1,ECOMMERS_SALES[#Headers],0))</f>
        <v>137032</v>
      </c>
      <c r="H22" t="str">
        <f>VLOOKUP($A22,'ECOMMERS SALES'!$1:$500,MATCH('vlookup match'!H$1,ECOMMERS_SALES[#Headers],0))</f>
        <v>Pune</v>
      </c>
      <c r="I22" t="str">
        <f>VLOOKUP($A22,'ECOMMERS SALES'!$1:$500,MATCH('vlookup match'!I$1,ECOMMERS_SALES[#Headers],0))</f>
        <v>Premimum</v>
      </c>
      <c r="J22" t="str">
        <f>VLOOKUP($A22,'ECOMMERS SALES'!$1:$500,MATCH('vlookup match'!J$1,ECOMMERS_SALES[#Headers],0))</f>
        <v>COD</v>
      </c>
    </row>
    <row r="23" spans="1:10" x14ac:dyDescent="0.35">
      <c r="A23">
        <v>1022</v>
      </c>
      <c r="B23" t="str">
        <f>VLOOKUP($A23,'ECOMMERS SALES'!$1:$500,MATCH('vlookup match'!B$1,ECOMMERS_SALES[#Headers],0))</f>
        <v>23-01-2025</v>
      </c>
      <c r="C23" t="str">
        <f>VLOOKUP($A23,'ECOMMERS SALES'!$1:$500,MATCH('vlookup match'!C$1,ECOMMERS_SALES[#Headers],0))</f>
        <v>Headphones</v>
      </c>
      <c r="D23" t="str">
        <f>VLOOKUP($A23,'ECOMMERS SALES'!$1:$500,MATCH('vlookup match'!D$1,ECOMMERS_SALES[#Headers],0))</f>
        <v>Electronics</v>
      </c>
      <c r="E23">
        <f>VLOOKUP($A23,'ECOMMERS SALES'!$1:$500,MATCH('vlookup match'!E$1,ECOMMERS_SALES[#Headers],0))</f>
        <v>1</v>
      </c>
      <c r="F23">
        <f>VLOOKUP($A23,'ECOMMERS SALES'!$1:$500,MATCH('vlookup match'!F$1,ECOMMERS_SALES[#Headers],0))</f>
        <v>3985</v>
      </c>
      <c r="G23">
        <f>VLOOKUP($A23,'ECOMMERS SALES'!$1:$500,MATCH('vlookup match'!G$1,ECOMMERS_SALES[#Headers],0))</f>
        <v>3985</v>
      </c>
      <c r="H23" t="str">
        <f>VLOOKUP($A23,'ECOMMERS SALES'!$1:$500,MATCH('vlookup match'!H$1,ECOMMERS_SALES[#Headers],0))</f>
        <v>Mumbai</v>
      </c>
      <c r="I23" t="str">
        <f>VLOOKUP($A23,'ECOMMERS SALES'!$1:$500,MATCH('vlookup match'!I$1,ECOMMERS_SALES[#Headers],0))</f>
        <v>New</v>
      </c>
      <c r="J23" t="str">
        <f>VLOOKUP($A23,'ECOMMERS SALES'!$1:$500,MATCH('vlookup match'!J$1,ECOMMERS_SALES[#Headers],0))</f>
        <v>Card</v>
      </c>
    </row>
    <row r="24" spans="1:10" x14ac:dyDescent="0.35">
      <c r="A24">
        <v>1023</v>
      </c>
      <c r="B24" t="str">
        <f>VLOOKUP($A24,'ECOMMERS SALES'!$1:$500,MATCH('vlookup match'!B$1,ECOMMERS_SALES[#Headers],0))</f>
        <v>24-01-2025</v>
      </c>
      <c r="C24" t="str">
        <f>VLOOKUP($A24,'ECOMMERS SALES'!$1:$500,MATCH('vlookup match'!C$1,ECOMMERS_SALES[#Headers],0))</f>
        <v>Shoes</v>
      </c>
      <c r="D24" t="str">
        <f>VLOOKUP($A24,'ECOMMERS SALES'!$1:$500,MATCH('vlookup match'!D$1,ECOMMERS_SALES[#Headers],0))</f>
        <v>Fashion</v>
      </c>
      <c r="E24">
        <f>VLOOKUP($A24,'ECOMMERS SALES'!$1:$500,MATCH('vlookup match'!E$1,ECOMMERS_SALES[#Headers],0))</f>
        <v>1</v>
      </c>
      <c r="F24">
        <f>VLOOKUP($A24,'ECOMMERS SALES'!$1:$500,MATCH('vlookup match'!F$1,ECOMMERS_SALES[#Headers],0))</f>
        <v>2380</v>
      </c>
      <c r="G24">
        <f>VLOOKUP($A24,'ECOMMERS SALES'!$1:$500,MATCH('vlookup match'!G$1,ECOMMERS_SALES[#Headers],0))</f>
        <v>2380</v>
      </c>
      <c r="H24" t="str">
        <f>VLOOKUP($A24,'ECOMMERS SALES'!$1:$500,MATCH('vlookup match'!H$1,ECOMMERS_SALES[#Headers],0))</f>
        <v>Mumbai</v>
      </c>
      <c r="I24" t="str">
        <f>VLOOKUP($A24,'ECOMMERS SALES'!$1:$500,MATCH('vlookup match'!I$1,ECOMMERS_SALES[#Headers],0))</f>
        <v>Returning</v>
      </c>
      <c r="J24" t="str">
        <f>VLOOKUP($A24,'ECOMMERS SALES'!$1:$500,MATCH('vlookup match'!J$1,ECOMMERS_SALES[#Headers],0))</f>
        <v>UPI</v>
      </c>
    </row>
    <row r="25" spans="1:10" x14ac:dyDescent="0.35">
      <c r="A25">
        <v>1024</v>
      </c>
      <c r="B25" t="str">
        <f>VLOOKUP($A25,'ECOMMERS SALES'!$1:$500,MATCH('vlookup match'!B$1,ECOMMERS_SALES[#Headers],0))</f>
        <v>25-01-2025</v>
      </c>
      <c r="C25" t="str">
        <f>VLOOKUP($A25,'ECOMMERS SALES'!$1:$500,MATCH('vlookup match'!C$1,ECOMMERS_SALES[#Headers],0))</f>
        <v>Watch</v>
      </c>
      <c r="D25" t="str">
        <f>VLOOKUP($A25,'ECOMMERS SALES'!$1:$500,MATCH('vlookup match'!D$1,ECOMMERS_SALES[#Headers],0))</f>
        <v>Other</v>
      </c>
      <c r="E25">
        <f>VLOOKUP($A25,'ECOMMERS SALES'!$1:$500,MATCH('vlookup match'!E$1,ECOMMERS_SALES[#Headers],0))</f>
        <v>3</v>
      </c>
      <c r="F25">
        <f>VLOOKUP($A25,'ECOMMERS SALES'!$1:$500,MATCH('vlookup match'!F$1,ECOMMERS_SALES[#Headers],0))</f>
        <v>13522</v>
      </c>
      <c r="G25">
        <f>VLOOKUP($A25,'ECOMMERS SALES'!$1:$500,MATCH('vlookup match'!G$1,ECOMMERS_SALES[#Headers],0))</f>
        <v>40566</v>
      </c>
      <c r="H25" t="str">
        <f>VLOOKUP($A25,'ECOMMERS SALES'!$1:$500,MATCH('vlookup match'!H$1,ECOMMERS_SALES[#Headers],0))</f>
        <v>Bangalore</v>
      </c>
      <c r="I25" t="str">
        <f>VLOOKUP($A25,'ECOMMERS SALES'!$1:$500,MATCH('vlookup match'!I$1,ECOMMERS_SALES[#Headers],0))</f>
        <v>New</v>
      </c>
      <c r="J25" t="str">
        <f>VLOOKUP($A25,'ECOMMERS SALES'!$1:$500,MATCH('vlookup match'!J$1,ECOMMERS_SALES[#Headers],0))</f>
        <v>UPI</v>
      </c>
    </row>
    <row r="26" spans="1:10" x14ac:dyDescent="0.35">
      <c r="A26">
        <v>1025</v>
      </c>
      <c r="B26" t="str">
        <f>VLOOKUP($A26,'ECOMMERS SALES'!$1:$500,MATCH('vlookup match'!B$1,ECOMMERS_SALES[#Headers],0))</f>
        <v>26-01-2025</v>
      </c>
      <c r="C26" t="str">
        <f>VLOOKUP($A26,'ECOMMERS SALES'!$1:$500,MATCH('vlookup match'!C$1,ECOMMERS_SALES[#Headers],0))</f>
        <v>Mobile Case</v>
      </c>
      <c r="D26" t="str">
        <f>VLOOKUP($A26,'ECOMMERS SALES'!$1:$500,MATCH('vlookup match'!D$1,ECOMMERS_SALES[#Headers],0))</f>
        <v>Other</v>
      </c>
      <c r="E26">
        <f>VLOOKUP($A26,'ECOMMERS SALES'!$1:$500,MATCH('vlookup match'!E$1,ECOMMERS_SALES[#Headers],0))</f>
        <v>1</v>
      </c>
      <c r="F26">
        <f>VLOOKUP($A26,'ECOMMERS SALES'!$1:$500,MATCH('vlookup match'!F$1,ECOMMERS_SALES[#Headers],0))</f>
        <v>340</v>
      </c>
      <c r="G26">
        <f>VLOOKUP($A26,'ECOMMERS SALES'!$1:$500,MATCH('vlookup match'!G$1,ECOMMERS_SALES[#Headers],0))</f>
        <v>340</v>
      </c>
      <c r="H26" t="str">
        <f>VLOOKUP($A26,'ECOMMERS SALES'!$1:$500,MATCH('vlookup match'!H$1,ECOMMERS_SALES[#Headers],0))</f>
        <v>Pune</v>
      </c>
      <c r="I26" t="str">
        <f>VLOOKUP($A26,'ECOMMERS SALES'!$1:$500,MATCH('vlookup match'!I$1,ECOMMERS_SALES[#Headers],0))</f>
        <v>Premimum</v>
      </c>
      <c r="J26" t="str">
        <f>VLOOKUP($A26,'ECOMMERS SALES'!$1:$500,MATCH('vlookup match'!J$1,ECOMMERS_SALES[#Headers],0))</f>
        <v>COD</v>
      </c>
    </row>
    <row r="27" spans="1:10" x14ac:dyDescent="0.35">
      <c r="A27">
        <v>1026</v>
      </c>
      <c r="B27" t="str">
        <f>VLOOKUP($A27,'ECOMMERS SALES'!$1:$500,MATCH('vlookup match'!B$1,ECOMMERS_SALES[#Headers],0))</f>
        <v>27-01-2025</v>
      </c>
      <c r="C27" t="str">
        <f>VLOOKUP($A27,'ECOMMERS SALES'!$1:$500,MATCH('vlookup match'!C$1,ECOMMERS_SALES[#Headers],0))</f>
        <v>Tablet</v>
      </c>
      <c r="D27" t="str">
        <f>VLOOKUP($A27,'ECOMMERS SALES'!$1:$500,MATCH('vlookup match'!D$1,ECOMMERS_SALES[#Headers],0))</f>
        <v>Electronics</v>
      </c>
      <c r="E27">
        <f>VLOOKUP($A27,'ECOMMERS SALES'!$1:$500,MATCH('vlookup match'!E$1,ECOMMERS_SALES[#Headers],0))</f>
        <v>1</v>
      </c>
      <c r="F27">
        <f>VLOOKUP($A27,'ECOMMERS SALES'!$1:$500,MATCH('vlookup match'!F$1,ECOMMERS_SALES[#Headers],0))</f>
        <v>34153</v>
      </c>
      <c r="G27">
        <f>VLOOKUP($A27,'ECOMMERS SALES'!$1:$500,MATCH('vlookup match'!G$1,ECOMMERS_SALES[#Headers],0))</f>
        <v>34153</v>
      </c>
      <c r="H27" t="str">
        <f>VLOOKUP($A27,'ECOMMERS SALES'!$1:$500,MATCH('vlookup match'!H$1,ECOMMERS_SALES[#Headers],0))</f>
        <v>Bangalore</v>
      </c>
      <c r="I27" t="str">
        <f>VLOOKUP($A27,'ECOMMERS SALES'!$1:$500,MATCH('vlookup match'!I$1,ECOMMERS_SALES[#Headers],0))</f>
        <v>Returning</v>
      </c>
      <c r="J27" t="str">
        <f>VLOOKUP($A27,'ECOMMERS SALES'!$1:$500,MATCH('vlookup match'!J$1,ECOMMERS_SALES[#Headers],0))</f>
        <v>UPI</v>
      </c>
    </row>
    <row r="28" spans="1:10" x14ac:dyDescent="0.35">
      <c r="A28">
        <v>1027</v>
      </c>
      <c r="B28" t="str">
        <f>VLOOKUP($A28,'ECOMMERS SALES'!$1:$500,MATCH('vlookup match'!B$1,ECOMMERS_SALES[#Headers],0))</f>
        <v>28-01-2025</v>
      </c>
      <c r="C28" t="str">
        <f>VLOOKUP($A28,'ECOMMERS SALES'!$1:$500,MATCH('vlookup match'!C$1,ECOMMERS_SALES[#Headers],0))</f>
        <v>Book</v>
      </c>
      <c r="D28" t="str">
        <f>VLOOKUP($A28,'ECOMMERS SALES'!$1:$500,MATCH('vlookup match'!D$1,ECOMMERS_SALES[#Headers],0))</f>
        <v>Books</v>
      </c>
      <c r="E28">
        <f>VLOOKUP($A28,'ECOMMERS SALES'!$1:$500,MATCH('vlookup match'!E$1,ECOMMERS_SALES[#Headers],0))</f>
        <v>1</v>
      </c>
      <c r="F28">
        <f>VLOOKUP($A28,'ECOMMERS SALES'!$1:$500,MATCH('vlookup match'!F$1,ECOMMERS_SALES[#Headers],0))</f>
        <v>884</v>
      </c>
      <c r="G28">
        <f>VLOOKUP($A28,'ECOMMERS SALES'!$1:$500,MATCH('vlookup match'!G$1,ECOMMERS_SALES[#Headers],0))</f>
        <v>884</v>
      </c>
      <c r="H28" t="str">
        <f>VLOOKUP($A28,'ECOMMERS SALES'!$1:$500,MATCH('vlookup match'!H$1,ECOMMERS_SALES[#Headers],0))</f>
        <v>Delhi</v>
      </c>
      <c r="I28" t="str">
        <f>VLOOKUP($A28,'ECOMMERS SALES'!$1:$500,MATCH('vlookup match'!I$1,ECOMMERS_SALES[#Headers],0))</f>
        <v>Returning</v>
      </c>
      <c r="J28" t="str">
        <f>VLOOKUP($A28,'ECOMMERS SALES'!$1:$500,MATCH('vlookup match'!J$1,ECOMMERS_SALES[#Headers],0))</f>
        <v>UPI</v>
      </c>
    </row>
    <row r="29" spans="1:10" x14ac:dyDescent="0.35">
      <c r="A29">
        <v>1028</v>
      </c>
      <c r="B29" t="str">
        <f>VLOOKUP($A29,'ECOMMERS SALES'!$1:$500,MATCH('vlookup match'!B$1,ECOMMERS_SALES[#Headers],0))</f>
        <v>29-01-2025</v>
      </c>
      <c r="C29" t="str">
        <f>VLOOKUP($A29,'ECOMMERS SALES'!$1:$500,MATCH('vlookup match'!C$1,ECOMMERS_SALES[#Headers],0))</f>
        <v>Backpack</v>
      </c>
      <c r="D29" t="str">
        <f>VLOOKUP($A29,'ECOMMERS SALES'!$1:$500,MATCH('vlookup match'!D$1,ECOMMERS_SALES[#Headers],0))</f>
        <v>Fashion</v>
      </c>
      <c r="E29">
        <f>VLOOKUP($A29,'ECOMMERS SALES'!$1:$500,MATCH('vlookup match'!E$1,ECOMMERS_SALES[#Headers],0))</f>
        <v>1</v>
      </c>
      <c r="F29">
        <f>VLOOKUP($A29,'ECOMMERS SALES'!$1:$500,MATCH('vlookup match'!F$1,ECOMMERS_SALES[#Headers],0))</f>
        <v>1961</v>
      </c>
      <c r="G29">
        <f>VLOOKUP($A29,'ECOMMERS SALES'!$1:$500,MATCH('vlookup match'!G$1,ECOMMERS_SALES[#Headers],0))</f>
        <v>1961</v>
      </c>
      <c r="H29" t="str">
        <f>VLOOKUP($A29,'ECOMMERS SALES'!$1:$500,MATCH('vlookup match'!H$1,ECOMMERS_SALES[#Headers],0))</f>
        <v>Pune</v>
      </c>
      <c r="I29" t="str">
        <f>VLOOKUP($A29,'ECOMMERS SALES'!$1:$500,MATCH('vlookup match'!I$1,ECOMMERS_SALES[#Headers],0))</f>
        <v>New</v>
      </c>
      <c r="J29" t="str">
        <f>VLOOKUP($A29,'ECOMMERS SALES'!$1:$500,MATCH('vlookup match'!J$1,ECOMMERS_SALES[#Headers],0))</f>
        <v>COD</v>
      </c>
    </row>
    <row r="30" spans="1:10" x14ac:dyDescent="0.35">
      <c r="A30">
        <v>1029</v>
      </c>
      <c r="B30" t="str">
        <f>VLOOKUP($A30,'ECOMMERS SALES'!$1:$500,MATCH('vlookup match'!B$1,ECOMMERS_SALES[#Headers],0))</f>
        <v>30-01-2025</v>
      </c>
      <c r="C30" t="str">
        <f>VLOOKUP($A30,'ECOMMERS SALES'!$1:$500,MATCH('vlookup match'!C$1,ECOMMERS_SALES[#Headers],0))</f>
        <v>Smartwatch</v>
      </c>
      <c r="D30" t="str">
        <f>VLOOKUP($A30,'ECOMMERS SALES'!$1:$500,MATCH('vlookup match'!D$1,ECOMMERS_SALES[#Headers],0))</f>
        <v>Electronics</v>
      </c>
      <c r="E30">
        <f>VLOOKUP($A30,'ECOMMERS SALES'!$1:$500,MATCH('vlookup match'!E$1,ECOMMERS_SALES[#Headers],0))</f>
        <v>1</v>
      </c>
      <c r="F30">
        <f>VLOOKUP($A30,'ECOMMERS SALES'!$1:$500,MATCH('vlookup match'!F$1,ECOMMERS_SALES[#Headers],0))</f>
        <v>7608</v>
      </c>
      <c r="G30">
        <f>VLOOKUP($A30,'ECOMMERS SALES'!$1:$500,MATCH('vlookup match'!G$1,ECOMMERS_SALES[#Headers],0))</f>
        <v>7608</v>
      </c>
      <c r="H30" t="str">
        <f>VLOOKUP($A30,'ECOMMERS SALES'!$1:$500,MATCH('vlookup match'!H$1,ECOMMERS_SALES[#Headers],0))</f>
        <v>Pune</v>
      </c>
      <c r="I30" t="str">
        <f>VLOOKUP($A30,'ECOMMERS SALES'!$1:$500,MATCH('vlookup match'!I$1,ECOMMERS_SALES[#Headers],0))</f>
        <v>Premimum</v>
      </c>
      <c r="J30" t="str">
        <f>VLOOKUP($A30,'ECOMMERS SALES'!$1:$500,MATCH('vlookup match'!J$1,ECOMMERS_SALES[#Headers],0))</f>
        <v>UPI</v>
      </c>
    </row>
    <row r="31" spans="1:10" x14ac:dyDescent="0.35">
      <c r="A31">
        <v>1030</v>
      </c>
      <c r="B31" t="str">
        <f>VLOOKUP($A31,'ECOMMERS SALES'!$1:$500,MATCH('vlookup match'!B$1,ECOMMERS_SALES[#Headers],0))</f>
        <v>31-01-2025</v>
      </c>
      <c r="C31" t="str">
        <f>VLOOKUP($A31,'ECOMMERS SALES'!$1:$500,MATCH('vlookup match'!C$1,ECOMMERS_SALES[#Headers],0))</f>
        <v>Water Bottle</v>
      </c>
      <c r="D31" t="str">
        <f>VLOOKUP($A31,'ECOMMERS SALES'!$1:$500,MATCH('vlookup match'!D$1,ECOMMERS_SALES[#Headers],0))</f>
        <v>Other</v>
      </c>
      <c r="E31">
        <f>VLOOKUP($A31,'ECOMMERS SALES'!$1:$500,MATCH('vlookup match'!E$1,ECOMMERS_SALES[#Headers],0))</f>
        <v>5</v>
      </c>
      <c r="F31">
        <f>VLOOKUP($A31,'ECOMMERS SALES'!$1:$500,MATCH('vlookup match'!F$1,ECOMMERS_SALES[#Headers],0))</f>
        <v>126</v>
      </c>
      <c r="G31">
        <f>VLOOKUP($A31,'ECOMMERS SALES'!$1:$500,MATCH('vlookup match'!G$1,ECOMMERS_SALES[#Headers],0))</f>
        <v>630</v>
      </c>
      <c r="H31" t="str">
        <f>VLOOKUP($A31,'ECOMMERS SALES'!$1:$500,MATCH('vlookup match'!H$1,ECOMMERS_SALES[#Headers],0))</f>
        <v>Hyderabad</v>
      </c>
      <c r="I31" t="str">
        <f>VLOOKUP($A31,'ECOMMERS SALES'!$1:$500,MATCH('vlookup match'!I$1,ECOMMERS_SALES[#Headers],0))</f>
        <v>Premimum</v>
      </c>
      <c r="J31" t="str">
        <f>VLOOKUP($A31,'ECOMMERS SALES'!$1:$500,MATCH('vlookup match'!J$1,ECOMMERS_SALES[#Headers],0))</f>
        <v>COD</v>
      </c>
    </row>
    <row r="32" spans="1:10" x14ac:dyDescent="0.35">
      <c r="A32">
        <v>1031</v>
      </c>
      <c r="B32" t="str">
        <f>VLOOKUP($A32,'ECOMMERS SALES'!$1:$500,MATCH('vlookup match'!B$1,ECOMMERS_SALES[#Headers],0))</f>
        <v>01-02-2025</v>
      </c>
      <c r="C32" t="str">
        <f>VLOOKUP($A32,'ECOMMERS SALES'!$1:$500,MATCH('vlookup match'!C$1,ECOMMERS_SALES[#Headers],0))</f>
        <v>Laptop</v>
      </c>
      <c r="D32" t="str">
        <f>VLOOKUP($A32,'ECOMMERS SALES'!$1:$500,MATCH('vlookup match'!D$1,ECOMMERS_SALES[#Headers],0))</f>
        <v>Electronics</v>
      </c>
      <c r="E32">
        <f>VLOOKUP($A32,'ECOMMERS SALES'!$1:$500,MATCH('vlookup match'!E$1,ECOMMERS_SALES[#Headers],0))</f>
        <v>1</v>
      </c>
      <c r="F32">
        <f>VLOOKUP($A32,'ECOMMERS SALES'!$1:$500,MATCH('vlookup match'!F$1,ECOMMERS_SALES[#Headers],0))</f>
        <v>68088</v>
      </c>
      <c r="G32">
        <f>VLOOKUP($A32,'ECOMMERS SALES'!$1:$500,MATCH('vlookup match'!G$1,ECOMMERS_SALES[#Headers],0))</f>
        <v>68088</v>
      </c>
      <c r="H32" t="str">
        <f>VLOOKUP($A32,'ECOMMERS SALES'!$1:$500,MATCH('vlookup match'!H$1,ECOMMERS_SALES[#Headers],0))</f>
        <v>Hyderabad</v>
      </c>
      <c r="I32" t="str">
        <f>VLOOKUP($A32,'ECOMMERS SALES'!$1:$500,MATCH('vlookup match'!I$1,ECOMMERS_SALES[#Headers],0))</f>
        <v>New</v>
      </c>
      <c r="J32" t="str">
        <f>VLOOKUP($A32,'ECOMMERS SALES'!$1:$500,MATCH('vlookup match'!J$1,ECOMMERS_SALES[#Headers],0))</f>
        <v>COD</v>
      </c>
    </row>
    <row r="33" spans="1:10" x14ac:dyDescent="0.35">
      <c r="A33">
        <v>1032</v>
      </c>
      <c r="B33" t="str">
        <f>VLOOKUP($A33,'ECOMMERS SALES'!$1:$500,MATCH('vlookup match'!B$1,ECOMMERS_SALES[#Headers],0))</f>
        <v>02-02-2025</v>
      </c>
      <c r="C33" t="str">
        <f>VLOOKUP($A33,'ECOMMERS SALES'!$1:$500,MATCH('vlookup match'!C$1,ECOMMERS_SALES[#Headers],0))</f>
        <v>Headphones</v>
      </c>
      <c r="D33" t="str">
        <f>VLOOKUP($A33,'ECOMMERS SALES'!$1:$500,MATCH('vlookup match'!D$1,ECOMMERS_SALES[#Headers],0))</f>
        <v>Electronics</v>
      </c>
      <c r="E33">
        <f>VLOOKUP($A33,'ECOMMERS SALES'!$1:$500,MATCH('vlookup match'!E$1,ECOMMERS_SALES[#Headers],0))</f>
        <v>3</v>
      </c>
      <c r="F33">
        <f>VLOOKUP($A33,'ECOMMERS SALES'!$1:$500,MATCH('vlookup match'!F$1,ECOMMERS_SALES[#Headers],0))</f>
        <v>2723</v>
      </c>
      <c r="G33">
        <f>VLOOKUP($A33,'ECOMMERS SALES'!$1:$500,MATCH('vlookup match'!G$1,ECOMMERS_SALES[#Headers],0))</f>
        <v>8169</v>
      </c>
      <c r="H33" t="str">
        <f>VLOOKUP($A33,'ECOMMERS SALES'!$1:$500,MATCH('vlookup match'!H$1,ECOMMERS_SALES[#Headers],0))</f>
        <v>Delhi</v>
      </c>
      <c r="I33" t="str">
        <f>VLOOKUP($A33,'ECOMMERS SALES'!$1:$500,MATCH('vlookup match'!I$1,ECOMMERS_SALES[#Headers],0))</f>
        <v>New</v>
      </c>
      <c r="J33" t="str">
        <f>VLOOKUP($A33,'ECOMMERS SALES'!$1:$500,MATCH('vlookup match'!J$1,ECOMMERS_SALES[#Headers],0))</f>
        <v>UPI</v>
      </c>
    </row>
    <row r="34" spans="1:10" x14ac:dyDescent="0.35">
      <c r="A34">
        <v>1033</v>
      </c>
      <c r="B34" t="str">
        <f>VLOOKUP($A34,'ECOMMERS SALES'!$1:$500,MATCH('vlookup match'!B$1,ECOMMERS_SALES[#Headers],0))</f>
        <v>03-02-2025</v>
      </c>
      <c r="C34" t="str">
        <f>VLOOKUP($A34,'ECOMMERS SALES'!$1:$500,MATCH('vlookup match'!C$1,ECOMMERS_SALES[#Headers],0))</f>
        <v>Shoes</v>
      </c>
      <c r="D34" t="str">
        <f>VLOOKUP($A34,'ECOMMERS SALES'!$1:$500,MATCH('vlookup match'!D$1,ECOMMERS_SALES[#Headers],0))</f>
        <v>Fashion</v>
      </c>
      <c r="E34">
        <f>VLOOKUP($A34,'ECOMMERS SALES'!$1:$500,MATCH('vlookup match'!E$1,ECOMMERS_SALES[#Headers],0))</f>
        <v>1</v>
      </c>
      <c r="F34">
        <f>VLOOKUP($A34,'ECOMMERS SALES'!$1:$500,MATCH('vlookup match'!F$1,ECOMMERS_SALES[#Headers],0))</f>
        <v>4157</v>
      </c>
      <c r="G34">
        <f>VLOOKUP($A34,'ECOMMERS SALES'!$1:$500,MATCH('vlookup match'!G$1,ECOMMERS_SALES[#Headers],0))</f>
        <v>4157</v>
      </c>
      <c r="H34" t="str">
        <f>VLOOKUP($A34,'ECOMMERS SALES'!$1:$500,MATCH('vlookup match'!H$1,ECOMMERS_SALES[#Headers],0))</f>
        <v>Mumbai</v>
      </c>
      <c r="I34" t="str">
        <f>VLOOKUP($A34,'ECOMMERS SALES'!$1:$500,MATCH('vlookup match'!I$1,ECOMMERS_SALES[#Headers],0))</f>
        <v>New</v>
      </c>
      <c r="J34" t="str">
        <f>VLOOKUP($A34,'ECOMMERS SALES'!$1:$500,MATCH('vlookup match'!J$1,ECOMMERS_SALES[#Headers],0))</f>
        <v>COD</v>
      </c>
    </row>
    <row r="35" spans="1:10" x14ac:dyDescent="0.35">
      <c r="A35">
        <v>1034</v>
      </c>
      <c r="B35" t="str">
        <f>VLOOKUP($A35,'ECOMMERS SALES'!$1:$500,MATCH('vlookup match'!B$1,ECOMMERS_SALES[#Headers],0))</f>
        <v>04-02-2025</v>
      </c>
      <c r="C35" t="str">
        <f>VLOOKUP($A35,'ECOMMERS SALES'!$1:$500,MATCH('vlookup match'!C$1,ECOMMERS_SALES[#Headers],0))</f>
        <v>Watch</v>
      </c>
      <c r="D35" t="str">
        <f>VLOOKUP($A35,'ECOMMERS SALES'!$1:$500,MATCH('vlookup match'!D$1,ECOMMERS_SALES[#Headers],0))</f>
        <v>Other</v>
      </c>
      <c r="E35">
        <f>VLOOKUP($A35,'ECOMMERS SALES'!$1:$500,MATCH('vlookup match'!E$1,ECOMMERS_SALES[#Headers],0))</f>
        <v>3</v>
      </c>
      <c r="F35">
        <f>VLOOKUP($A35,'ECOMMERS SALES'!$1:$500,MATCH('vlookup match'!F$1,ECOMMERS_SALES[#Headers],0))</f>
        <v>3589</v>
      </c>
      <c r="G35">
        <f>VLOOKUP($A35,'ECOMMERS SALES'!$1:$500,MATCH('vlookup match'!G$1,ECOMMERS_SALES[#Headers],0))</f>
        <v>10767</v>
      </c>
      <c r="H35" t="str">
        <f>VLOOKUP($A35,'ECOMMERS SALES'!$1:$500,MATCH('vlookup match'!H$1,ECOMMERS_SALES[#Headers],0))</f>
        <v>Pune</v>
      </c>
      <c r="I35" t="str">
        <f>VLOOKUP($A35,'ECOMMERS SALES'!$1:$500,MATCH('vlookup match'!I$1,ECOMMERS_SALES[#Headers],0))</f>
        <v>Returning</v>
      </c>
      <c r="J35" t="str">
        <f>VLOOKUP($A35,'ECOMMERS SALES'!$1:$500,MATCH('vlookup match'!J$1,ECOMMERS_SALES[#Headers],0))</f>
        <v>UPI</v>
      </c>
    </row>
    <row r="36" spans="1:10" x14ac:dyDescent="0.35">
      <c r="A36">
        <v>1035</v>
      </c>
      <c r="B36" t="str">
        <f>VLOOKUP($A36,'ECOMMERS SALES'!$1:$500,MATCH('vlookup match'!B$1,ECOMMERS_SALES[#Headers],0))</f>
        <v>05-02-2025</v>
      </c>
      <c r="C36" t="str">
        <f>VLOOKUP($A36,'ECOMMERS SALES'!$1:$500,MATCH('vlookup match'!C$1,ECOMMERS_SALES[#Headers],0))</f>
        <v>Mobile Case</v>
      </c>
      <c r="D36" t="str">
        <f>VLOOKUP($A36,'ECOMMERS SALES'!$1:$500,MATCH('vlookup match'!D$1,ECOMMERS_SALES[#Headers],0))</f>
        <v>Other</v>
      </c>
      <c r="E36">
        <f>VLOOKUP($A36,'ECOMMERS SALES'!$1:$500,MATCH('vlookup match'!E$1,ECOMMERS_SALES[#Headers],0))</f>
        <v>3</v>
      </c>
      <c r="F36">
        <f>VLOOKUP($A36,'ECOMMERS SALES'!$1:$500,MATCH('vlookup match'!F$1,ECOMMERS_SALES[#Headers],0))</f>
        <v>414</v>
      </c>
      <c r="G36">
        <f>VLOOKUP($A36,'ECOMMERS SALES'!$1:$500,MATCH('vlookup match'!G$1,ECOMMERS_SALES[#Headers],0))</f>
        <v>1242</v>
      </c>
      <c r="H36" t="str">
        <f>VLOOKUP($A36,'ECOMMERS SALES'!$1:$500,MATCH('vlookup match'!H$1,ECOMMERS_SALES[#Headers],0))</f>
        <v>Delhi</v>
      </c>
      <c r="I36" t="str">
        <f>VLOOKUP($A36,'ECOMMERS SALES'!$1:$500,MATCH('vlookup match'!I$1,ECOMMERS_SALES[#Headers],0))</f>
        <v>Returning</v>
      </c>
      <c r="J36" t="str">
        <f>VLOOKUP($A36,'ECOMMERS SALES'!$1:$500,MATCH('vlookup match'!J$1,ECOMMERS_SALES[#Headers],0))</f>
        <v>UPI</v>
      </c>
    </row>
    <row r="37" spans="1:10" x14ac:dyDescent="0.35">
      <c r="A37">
        <v>1036</v>
      </c>
      <c r="B37" t="str">
        <f>VLOOKUP($A37,'ECOMMERS SALES'!$1:$500,MATCH('vlookup match'!B$1,ECOMMERS_SALES[#Headers],0))</f>
        <v>06-02-2025</v>
      </c>
      <c r="C37" t="str">
        <f>VLOOKUP($A37,'ECOMMERS SALES'!$1:$500,MATCH('vlookup match'!C$1,ECOMMERS_SALES[#Headers],0))</f>
        <v>Tablet</v>
      </c>
      <c r="D37" t="str">
        <f>VLOOKUP($A37,'ECOMMERS SALES'!$1:$500,MATCH('vlookup match'!D$1,ECOMMERS_SALES[#Headers],0))</f>
        <v>Electronics</v>
      </c>
      <c r="E37">
        <f>VLOOKUP($A37,'ECOMMERS SALES'!$1:$500,MATCH('vlookup match'!E$1,ECOMMERS_SALES[#Headers],0))</f>
        <v>2</v>
      </c>
      <c r="F37">
        <f>VLOOKUP($A37,'ECOMMERS SALES'!$1:$500,MATCH('vlookup match'!F$1,ECOMMERS_SALES[#Headers],0))</f>
        <v>15134</v>
      </c>
      <c r="G37">
        <f>VLOOKUP($A37,'ECOMMERS SALES'!$1:$500,MATCH('vlookup match'!G$1,ECOMMERS_SALES[#Headers],0))</f>
        <v>30268</v>
      </c>
      <c r="H37" t="str">
        <f>VLOOKUP($A37,'ECOMMERS SALES'!$1:$500,MATCH('vlookup match'!H$1,ECOMMERS_SALES[#Headers],0))</f>
        <v>Bangalore</v>
      </c>
      <c r="I37" t="str">
        <f>VLOOKUP($A37,'ECOMMERS SALES'!$1:$500,MATCH('vlookup match'!I$1,ECOMMERS_SALES[#Headers],0))</f>
        <v>Returning</v>
      </c>
      <c r="J37" t="str">
        <f>VLOOKUP($A37,'ECOMMERS SALES'!$1:$500,MATCH('vlookup match'!J$1,ECOMMERS_SALES[#Headers],0))</f>
        <v>Card</v>
      </c>
    </row>
    <row r="38" spans="1:10" x14ac:dyDescent="0.35">
      <c r="A38">
        <v>1037</v>
      </c>
      <c r="B38" t="str">
        <f>VLOOKUP($A38,'ECOMMERS SALES'!$1:$500,MATCH('vlookup match'!B$1,ECOMMERS_SALES[#Headers],0))</f>
        <v>07-02-2025</v>
      </c>
      <c r="C38" t="str">
        <f>VLOOKUP($A38,'ECOMMERS SALES'!$1:$500,MATCH('vlookup match'!C$1,ECOMMERS_SALES[#Headers],0))</f>
        <v>Book</v>
      </c>
      <c r="D38" t="str">
        <f>VLOOKUP($A38,'ECOMMERS SALES'!$1:$500,MATCH('vlookup match'!D$1,ECOMMERS_SALES[#Headers],0))</f>
        <v>Books</v>
      </c>
      <c r="E38">
        <f>VLOOKUP($A38,'ECOMMERS SALES'!$1:$500,MATCH('vlookup match'!E$1,ECOMMERS_SALES[#Headers],0))</f>
        <v>5</v>
      </c>
      <c r="F38">
        <f>VLOOKUP($A38,'ECOMMERS SALES'!$1:$500,MATCH('vlookup match'!F$1,ECOMMERS_SALES[#Headers],0))</f>
        <v>605</v>
      </c>
      <c r="G38">
        <f>VLOOKUP($A38,'ECOMMERS SALES'!$1:$500,MATCH('vlookup match'!G$1,ECOMMERS_SALES[#Headers],0))</f>
        <v>3025</v>
      </c>
      <c r="H38" t="str">
        <f>VLOOKUP($A38,'ECOMMERS SALES'!$1:$500,MATCH('vlookup match'!H$1,ECOMMERS_SALES[#Headers],0))</f>
        <v>Hyderabad</v>
      </c>
      <c r="I38" t="str">
        <f>VLOOKUP($A38,'ECOMMERS SALES'!$1:$500,MATCH('vlookup match'!I$1,ECOMMERS_SALES[#Headers],0))</f>
        <v>Returning</v>
      </c>
      <c r="J38" t="str">
        <f>VLOOKUP($A38,'ECOMMERS SALES'!$1:$500,MATCH('vlookup match'!J$1,ECOMMERS_SALES[#Headers],0))</f>
        <v>Card</v>
      </c>
    </row>
    <row r="39" spans="1:10" x14ac:dyDescent="0.35">
      <c r="A39">
        <v>1038</v>
      </c>
      <c r="B39" t="str">
        <f>VLOOKUP($A39,'ECOMMERS SALES'!$1:$500,MATCH('vlookup match'!B$1,ECOMMERS_SALES[#Headers],0))</f>
        <v>08-02-2025</v>
      </c>
      <c r="C39" t="str">
        <f>VLOOKUP($A39,'ECOMMERS SALES'!$1:$500,MATCH('vlookup match'!C$1,ECOMMERS_SALES[#Headers],0))</f>
        <v>Backpack</v>
      </c>
      <c r="D39" t="str">
        <f>VLOOKUP($A39,'ECOMMERS SALES'!$1:$500,MATCH('vlookup match'!D$1,ECOMMERS_SALES[#Headers],0))</f>
        <v>Fashion</v>
      </c>
      <c r="E39">
        <f>VLOOKUP($A39,'ECOMMERS SALES'!$1:$500,MATCH('vlookup match'!E$1,ECOMMERS_SALES[#Headers],0))</f>
        <v>3</v>
      </c>
      <c r="F39">
        <f>VLOOKUP($A39,'ECOMMERS SALES'!$1:$500,MATCH('vlookup match'!F$1,ECOMMERS_SALES[#Headers],0))</f>
        <v>1857</v>
      </c>
      <c r="G39">
        <f>VLOOKUP($A39,'ECOMMERS SALES'!$1:$500,MATCH('vlookup match'!G$1,ECOMMERS_SALES[#Headers],0))</f>
        <v>5571</v>
      </c>
      <c r="H39" t="str">
        <f>VLOOKUP($A39,'ECOMMERS SALES'!$1:$500,MATCH('vlookup match'!H$1,ECOMMERS_SALES[#Headers],0))</f>
        <v>Delhi</v>
      </c>
      <c r="I39" t="str">
        <f>VLOOKUP($A39,'ECOMMERS SALES'!$1:$500,MATCH('vlookup match'!I$1,ECOMMERS_SALES[#Headers],0))</f>
        <v>Returning</v>
      </c>
      <c r="J39" t="str">
        <f>VLOOKUP($A39,'ECOMMERS SALES'!$1:$500,MATCH('vlookup match'!J$1,ECOMMERS_SALES[#Headers],0))</f>
        <v>Card</v>
      </c>
    </row>
    <row r="40" spans="1:10" x14ac:dyDescent="0.35">
      <c r="A40">
        <v>1039</v>
      </c>
      <c r="B40" t="str">
        <f>VLOOKUP($A40,'ECOMMERS SALES'!$1:$500,MATCH('vlookup match'!B$1,ECOMMERS_SALES[#Headers],0))</f>
        <v>09-02-2025</v>
      </c>
      <c r="C40" t="str">
        <f>VLOOKUP($A40,'ECOMMERS SALES'!$1:$500,MATCH('vlookup match'!C$1,ECOMMERS_SALES[#Headers],0))</f>
        <v>Smartwatch</v>
      </c>
      <c r="D40" t="str">
        <f>VLOOKUP($A40,'ECOMMERS SALES'!$1:$500,MATCH('vlookup match'!D$1,ECOMMERS_SALES[#Headers],0))</f>
        <v>Electronics</v>
      </c>
      <c r="E40">
        <f>VLOOKUP($A40,'ECOMMERS SALES'!$1:$500,MATCH('vlookup match'!E$1,ECOMMERS_SALES[#Headers],0))</f>
        <v>1</v>
      </c>
      <c r="F40">
        <f>VLOOKUP($A40,'ECOMMERS SALES'!$1:$500,MATCH('vlookup match'!F$1,ECOMMERS_SALES[#Headers],0))</f>
        <v>5190</v>
      </c>
      <c r="G40">
        <f>VLOOKUP($A40,'ECOMMERS SALES'!$1:$500,MATCH('vlookup match'!G$1,ECOMMERS_SALES[#Headers],0))</f>
        <v>5190</v>
      </c>
      <c r="H40" t="str">
        <f>VLOOKUP($A40,'ECOMMERS SALES'!$1:$500,MATCH('vlookup match'!H$1,ECOMMERS_SALES[#Headers],0))</f>
        <v>Chennai</v>
      </c>
      <c r="I40" t="str">
        <f>VLOOKUP($A40,'ECOMMERS SALES'!$1:$500,MATCH('vlookup match'!I$1,ECOMMERS_SALES[#Headers],0))</f>
        <v>Returning</v>
      </c>
      <c r="J40" t="str">
        <f>VLOOKUP($A40,'ECOMMERS SALES'!$1:$500,MATCH('vlookup match'!J$1,ECOMMERS_SALES[#Headers],0))</f>
        <v>COD</v>
      </c>
    </row>
    <row r="41" spans="1:10" x14ac:dyDescent="0.35">
      <c r="A41">
        <v>1040</v>
      </c>
      <c r="B41" t="str">
        <f>VLOOKUP($A41,'ECOMMERS SALES'!$1:$500,MATCH('vlookup match'!B$1,ECOMMERS_SALES[#Headers],0))</f>
        <v>10-02-2025</v>
      </c>
      <c r="C41" t="str">
        <f>VLOOKUP($A41,'ECOMMERS SALES'!$1:$500,MATCH('vlookup match'!C$1,ECOMMERS_SALES[#Headers],0))</f>
        <v>Water Bottle</v>
      </c>
      <c r="D41" t="str">
        <f>VLOOKUP($A41,'ECOMMERS SALES'!$1:$500,MATCH('vlookup match'!D$1,ECOMMERS_SALES[#Headers],0))</f>
        <v>Other</v>
      </c>
      <c r="E41">
        <f>VLOOKUP($A41,'ECOMMERS SALES'!$1:$500,MATCH('vlookup match'!E$1,ECOMMERS_SALES[#Headers],0))</f>
        <v>4</v>
      </c>
      <c r="F41">
        <f>VLOOKUP($A41,'ECOMMERS SALES'!$1:$500,MATCH('vlookup match'!F$1,ECOMMERS_SALES[#Headers],0))</f>
        <v>338</v>
      </c>
      <c r="G41">
        <f>VLOOKUP($A41,'ECOMMERS SALES'!$1:$500,MATCH('vlookup match'!G$1,ECOMMERS_SALES[#Headers],0))</f>
        <v>1352</v>
      </c>
      <c r="H41" t="str">
        <f>VLOOKUP($A41,'ECOMMERS SALES'!$1:$500,MATCH('vlookup match'!H$1,ECOMMERS_SALES[#Headers],0))</f>
        <v>Bangalore</v>
      </c>
      <c r="I41" t="str">
        <f>VLOOKUP($A41,'ECOMMERS SALES'!$1:$500,MATCH('vlookup match'!I$1,ECOMMERS_SALES[#Headers],0))</f>
        <v>Premimum</v>
      </c>
      <c r="J41" t="str">
        <f>VLOOKUP($A41,'ECOMMERS SALES'!$1:$500,MATCH('vlookup match'!J$1,ECOMMERS_SALES[#Headers],0))</f>
        <v>COD</v>
      </c>
    </row>
    <row r="42" spans="1:10" x14ac:dyDescent="0.35">
      <c r="A42">
        <v>1041</v>
      </c>
      <c r="B42" t="str">
        <f>VLOOKUP($A42,'ECOMMERS SALES'!$1:$500,MATCH('vlookup match'!B$1,ECOMMERS_SALES[#Headers],0))</f>
        <v>11-02-2025</v>
      </c>
      <c r="C42" t="str">
        <f>VLOOKUP($A42,'ECOMMERS SALES'!$1:$500,MATCH('vlookup match'!C$1,ECOMMERS_SALES[#Headers],0))</f>
        <v>Laptop</v>
      </c>
      <c r="D42" t="str">
        <f>VLOOKUP($A42,'ECOMMERS SALES'!$1:$500,MATCH('vlookup match'!D$1,ECOMMERS_SALES[#Headers],0))</f>
        <v>Electronics</v>
      </c>
      <c r="E42">
        <f>VLOOKUP($A42,'ECOMMERS SALES'!$1:$500,MATCH('vlookup match'!E$1,ECOMMERS_SALES[#Headers],0))</f>
        <v>1</v>
      </c>
      <c r="F42">
        <f>VLOOKUP($A42,'ECOMMERS SALES'!$1:$500,MATCH('vlookup match'!F$1,ECOMMERS_SALES[#Headers],0))</f>
        <v>52555</v>
      </c>
      <c r="G42">
        <f>VLOOKUP($A42,'ECOMMERS SALES'!$1:$500,MATCH('vlookup match'!G$1,ECOMMERS_SALES[#Headers],0))</f>
        <v>52555</v>
      </c>
      <c r="H42" t="str">
        <f>VLOOKUP($A42,'ECOMMERS SALES'!$1:$500,MATCH('vlookup match'!H$1,ECOMMERS_SALES[#Headers],0))</f>
        <v>Hyderabad</v>
      </c>
      <c r="I42" t="str">
        <f>VLOOKUP($A42,'ECOMMERS SALES'!$1:$500,MATCH('vlookup match'!I$1,ECOMMERS_SALES[#Headers],0))</f>
        <v>New</v>
      </c>
      <c r="J42" t="str">
        <f>VLOOKUP($A42,'ECOMMERS SALES'!$1:$500,MATCH('vlookup match'!J$1,ECOMMERS_SALES[#Headers],0))</f>
        <v>COD</v>
      </c>
    </row>
    <row r="43" spans="1:10" x14ac:dyDescent="0.35">
      <c r="A43">
        <v>1042</v>
      </c>
      <c r="B43" t="str">
        <f>VLOOKUP($A43,'ECOMMERS SALES'!$1:$500,MATCH('vlookup match'!B$1,ECOMMERS_SALES[#Headers],0))</f>
        <v>12-02-2025</v>
      </c>
      <c r="C43" t="str">
        <f>VLOOKUP($A43,'ECOMMERS SALES'!$1:$500,MATCH('vlookup match'!C$1,ECOMMERS_SALES[#Headers],0))</f>
        <v>Headphones</v>
      </c>
      <c r="D43" t="str">
        <f>VLOOKUP($A43,'ECOMMERS SALES'!$1:$500,MATCH('vlookup match'!D$1,ECOMMERS_SALES[#Headers],0))</f>
        <v>Electronics</v>
      </c>
      <c r="E43">
        <f>VLOOKUP($A43,'ECOMMERS SALES'!$1:$500,MATCH('vlookup match'!E$1,ECOMMERS_SALES[#Headers],0))</f>
        <v>1</v>
      </c>
      <c r="F43">
        <f>VLOOKUP($A43,'ECOMMERS SALES'!$1:$500,MATCH('vlookup match'!F$1,ECOMMERS_SALES[#Headers],0))</f>
        <v>2478</v>
      </c>
      <c r="G43">
        <f>VLOOKUP($A43,'ECOMMERS SALES'!$1:$500,MATCH('vlookup match'!G$1,ECOMMERS_SALES[#Headers],0))</f>
        <v>2478</v>
      </c>
      <c r="H43" t="str">
        <f>VLOOKUP($A43,'ECOMMERS SALES'!$1:$500,MATCH('vlookup match'!H$1,ECOMMERS_SALES[#Headers],0))</f>
        <v>Delhi</v>
      </c>
      <c r="I43" t="str">
        <f>VLOOKUP($A43,'ECOMMERS SALES'!$1:$500,MATCH('vlookup match'!I$1,ECOMMERS_SALES[#Headers],0))</f>
        <v>Returning</v>
      </c>
      <c r="J43" t="str">
        <f>VLOOKUP($A43,'ECOMMERS SALES'!$1:$500,MATCH('vlookup match'!J$1,ECOMMERS_SALES[#Headers],0))</f>
        <v>UPI</v>
      </c>
    </row>
    <row r="44" spans="1:10" x14ac:dyDescent="0.35">
      <c r="A44">
        <v>1043</v>
      </c>
      <c r="B44" t="str">
        <f>VLOOKUP($A44,'ECOMMERS SALES'!$1:$500,MATCH('vlookup match'!B$1,ECOMMERS_SALES[#Headers],0))</f>
        <v>13-02-2025</v>
      </c>
      <c r="C44" t="str">
        <f>VLOOKUP($A44,'ECOMMERS SALES'!$1:$500,MATCH('vlookup match'!C$1,ECOMMERS_SALES[#Headers],0))</f>
        <v>Shoes</v>
      </c>
      <c r="D44" t="str">
        <f>VLOOKUP($A44,'ECOMMERS SALES'!$1:$500,MATCH('vlookup match'!D$1,ECOMMERS_SALES[#Headers],0))</f>
        <v>Fashion</v>
      </c>
      <c r="E44">
        <f>VLOOKUP($A44,'ECOMMERS SALES'!$1:$500,MATCH('vlookup match'!E$1,ECOMMERS_SALES[#Headers],0))</f>
        <v>2</v>
      </c>
      <c r="F44">
        <f>VLOOKUP($A44,'ECOMMERS SALES'!$1:$500,MATCH('vlookup match'!F$1,ECOMMERS_SALES[#Headers],0))</f>
        <v>4368</v>
      </c>
      <c r="G44">
        <f>VLOOKUP($A44,'ECOMMERS SALES'!$1:$500,MATCH('vlookup match'!G$1,ECOMMERS_SALES[#Headers],0))</f>
        <v>8736</v>
      </c>
      <c r="H44" t="str">
        <f>VLOOKUP($A44,'ECOMMERS SALES'!$1:$500,MATCH('vlookup match'!H$1,ECOMMERS_SALES[#Headers],0))</f>
        <v>Chennai</v>
      </c>
      <c r="I44" t="str">
        <f>VLOOKUP($A44,'ECOMMERS SALES'!$1:$500,MATCH('vlookup match'!I$1,ECOMMERS_SALES[#Headers],0))</f>
        <v>Returning</v>
      </c>
      <c r="J44" t="str">
        <f>VLOOKUP($A44,'ECOMMERS SALES'!$1:$500,MATCH('vlookup match'!J$1,ECOMMERS_SALES[#Headers],0))</f>
        <v>COD</v>
      </c>
    </row>
    <row r="45" spans="1:10" x14ac:dyDescent="0.35">
      <c r="A45">
        <v>1044</v>
      </c>
      <c r="B45" t="str">
        <f>VLOOKUP($A45,'ECOMMERS SALES'!$1:$500,MATCH('vlookup match'!B$1,ECOMMERS_SALES[#Headers],0))</f>
        <v>14-02-2025</v>
      </c>
      <c r="C45" t="str">
        <f>VLOOKUP($A45,'ECOMMERS SALES'!$1:$500,MATCH('vlookup match'!C$1,ECOMMERS_SALES[#Headers],0))</f>
        <v>Watch</v>
      </c>
      <c r="D45" t="str">
        <f>VLOOKUP($A45,'ECOMMERS SALES'!$1:$500,MATCH('vlookup match'!D$1,ECOMMERS_SALES[#Headers],0))</f>
        <v>Other</v>
      </c>
      <c r="E45">
        <f>VLOOKUP($A45,'ECOMMERS SALES'!$1:$500,MATCH('vlookup match'!E$1,ECOMMERS_SALES[#Headers],0))</f>
        <v>5</v>
      </c>
      <c r="F45">
        <f>VLOOKUP($A45,'ECOMMERS SALES'!$1:$500,MATCH('vlookup match'!F$1,ECOMMERS_SALES[#Headers],0))</f>
        <v>4294</v>
      </c>
      <c r="G45">
        <f>VLOOKUP($A45,'ECOMMERS SALES'!$1:$500,MATCH('vlookup match'!G$1,ECOMMERS_SALES[#Headers],0))</f>
        <v>21470</v>
      </c>
      <c r="H45" t="str">
        <f>VLOOKUP($A45,'ECOMMERS SALES'!$1:$500,MATCH('vlookup match'!H$1,ECOMMERS_SALES[#Headers],0))</f>
        <v>Pune</v>
      </c>
      <c r="I45" t="str">
        <f>VLOOKUP($A45,'ECOMMERS SALES'!$1:$500,MATCH('vlookup match'!I$1,ECOMMERS_SALES[#Headers],0))</f>
        <v>Returning</v>
      </c>
      <c r="J45" t="str">
        <f>VLOOKUP($A45,'ECOMMERS SALES'!$1:$500,MATCH('vlookup match'!J$1,ECOMMERS_SALES[#Headers],0))</f>
        <v>UPI</v>
      </c>
    </row>
    <row r="46" spans="1:10" x14ac:dyDescent="0.35">
      <c r="A46">
        <v>1045</v>
      </c>
      <c r="B46" t="str">
        <f>VLOOKUP($A46,'ECOMMERS SALES'!$1:$500,MATCH('vlookup match'!B$1,ECOMMERS_SALES[#Headers],0))</f>
        <v>15-02-2025</v>
      </c>
      <c r="C46" t="str">
        <f>VLOOKUP($A46,'ECOMMERS SALES'!$1:$500,MATCH('vlookup match'!C$1,ECOMMERS_SALES[#Headers],0))</f>
        <v>Mobile Case</v>
      </c>
      <c r="D46" t="str">
        <f>VLOOKUP($A46,'ECOMMERS SALES'!$1:$500,MATCH('vlookup match'!D$1,ECOMMERS_SALES[#Headers],0))</f>
        <v>Other</v>
      </c>
      <c r="E46">
        <f>VLOOKUP($A46,'ECOMMERS SALES'!$1:$500,MATCH('vlookup match'!E$1,ECOMMERS_SALES[#Headers],0))</f>
        <v>5</v>
      </c>
      <c r="F46">
        <f>VLOOKUP($A46,'ECOMMERS SALES'!$1:$500,MATCH('vlookup match'!F$1,ECOMMERS_SALES[#Headers],0))</f>
        <v>877</v>
      </c>
      <c r="G46">
        <f>VLOOKUP($A46,'ECOMMERS SALES'!$1:$500,MATCH('vlookup match'!G$1,ECOMMERS_SALES[#Headers],0))</f>
        <v>4385</v>
      </c>
      <c r="H46" t="str">
        <f>VLOOKUP($A46,'ECOMMERS SALES'!$1:$500,MATCH('vlookup match'!H$1,ECOMMERS_SALES[#Headers],0))</f>
        <v>Chennai</v>
      </c>
      <c r="I46" t="str">
        <f>VLOOKUP($A46,'ECOMMERS SALES'!$1:$500,MATCH('vlookup match'!I$1,ECOMMERS_SALES[#Headers],0))</f>
        <v>Premimum</v>
      </c>
      <c r="J46" t="str">
        <f>VLOOKUP($A46,'ECOMMERS SALES'!$1:$500,MATCH('vlookup match'!J$1,ECOMMERS_SALES[#Headers],0))</f>
        <v>Card</v>
      </c>
    </row>
    <row r="47" spans="1:10" x14ac:dyDescent="0.35">
      <c r="A47">
        <v>1046</v>
      </c>
      <c r="B47" t="str">
        <f>VLOOKUP($A47,'ECOMMERS SALES'!$1:$500,MATCH('vlookup match'!B$1,ECOMMERS_SALES[#Headers],0))</f>
        <v>16-02-2025</v>
      </c>
      <c r="C47" t="str">
        <f>VLOOKUP($A47,'ECOMMERS SALES'!$1:$500,MATCH('vlookup match'!C$1,ECOMMERS_SALES[#Headers],0))</f>
        <v>Tablet</v>
      </c>
      <c r="D47" t="str">
        <f>VLOOKUP($A47,'ECOMMERS SALES'!$1:$500,MATCH('vlookup match'!D$1,ECOMMERS_SALES[#Headers],0))</f>
        <v>Electronics</v>
      </c>
      <c r="E47">
        <f>VLOOKUP($A47,'ECOMMERS SALES'!$1:$500,MATCH('vlookup match'!E$1,ECOMMERS_SALES[#Headers],0))</f>
        <v>2</v>
      </c>
      <c r="F47">
        <f>VLOOKUP($A47,'ECOMMERS SALES'!$1:$500,MATCH('vlookup match'!F$1,ECOMMERS_SALES[#Headers],0))</f>
        <v>35059</v>
      </c>
      <c r="G47">
        <f>VLOOKUP($A47,'ECOMMERS SALES'!$1:$500,MATCH('vlookup match'!G$1,ECOMMERS_SALES[#Headers],0))</f>
        <v>70118</v>
      </c>
      <c r="H47" t="str">
        <f>VLOOKUP($A47,'ECOMMERS SALES'!$1:$500,MATCH('vlookup match'!H$1,ECOMMERS_SALES[#Headers],0))</f>
        <v>Hyderabad</v>
      </c>
      <c r="I47" t="str">
        <f>VLOOKUP($A47,'ECOMMERS SALES'!$1:$500,MATCH('vlookup match'!I$1,ECOMMERS_SALES[#Headers],0))</f>
        <v>Premimum</v>
      </c>
      <c r="J47" t="str">
        <f>VLOOKUP($A47,'ECOMMERS SALES'!$1:$500,MATCH('vlookup match'!J$1,ECOMMERS_SALES[#Headers],0))</f>
        <v>UPI</v>
      </c>
    </row>
    <row r="48" spans="1:10" x14ac:dyDescent="0.35">
      <c r="A48">
        <v>1047</v>
      </c>
      <c r="B48" t="str">
        <f>VLOOKUP($A48,'ECOMMERS SALES'!$1:$500,MATCH('vlookup match'!B$1,ECOMMERS_SALES[#Headers],0))</f>
        <v>17-02-2025</v>
      </c>
      <c r="C48" t="str">
        <f>VLOOKUP($A48,'ECOMMERS SALES'!$1:$500,MATCH('vlookup match'!C$1,ECOMMERS_SALES[#Headers],0))</f>
        <v>Book</v>
      </c>
      <c r="D48" t="str">
        <f>VLOOKUP($A48,'ECOMMERS SALES'!$1:$500,MATCH('vlookup match'!D$1,ECOMMERS_SALES[#Headers],0))</f>
        <v>Books</v>
      </c>
      <c r="E48">
        <f>VLOOKUP($A48,'ECOMMERS SALES'!$1:$500,MATCH('vlookup match'!E$1,ECOMMERS_SALES[#Headers],0))</f>
        <v>3</v>
      </c>
      <c r="F48">
        <f>VLOOKUP($A48,'ECOMMERS SALES'!$1:$500,MATCH('vlookup match'!F$1,ECOMMERS_SALES[#Headers],0))</f>
        <v>935</v>
      </c>
      <c r="G48">
        <f>VLOOKUP($A48,'ECOMMERS SALES'!$1:$500,MATCH('vlookup match'!G$1,ECOMMERS_SALES[#Headers],0))</f>
        <v>2805</v>
      </c>
      <c r="H48" t="str">
        <f>VLOOKUP($A48,'ECOMMERS SALES'!$1:$500,MATCH('vlookup match'!H$1,ECOMMERS_SALES[#Headers],0))</f>
        <v>Chennai</v>
      </c>
      <c r="I48" t="str">
        <f>VLOOKUP($A48,'ECOMMERS SALES'!$1:$500,MATCH('vlookup match'!I$1,ECOMMERS_SALES[#Headers],0))</f>
        <v>New</v>
      </c>
      <c r="J48" t="str">
        <f>VLOOKUP($A48,'ECOMMERS SALES'!$1:$500,MATCH('vlookup match'!J$1,ECOMMERS_SALES[#Headers],0))</f>
        <v>UPI</v>
      </c>
    </row>
    <row r="49" spans="1:10" x14ac:dyDescent="0.35">
      <c r="A49">
        <v>1048</v>
      </c>
      <c r="B49" t="str">
        <f>VLOOKUP($A49,'ECOMMERS SALES'!$1:$500,MATCH('vlookup match'!B$1,ECOMMERS_SALES[#Headers],0))</f>
        <v>18-02-2025</v>
      </c>
      <c r="C49" t="str">
        <f>VLOOKUP($A49,'ECOMMERS SALES'!$1:$500,MATCH('vlookup match'!C$1,ECOMMERS_SALES[#Headers],0))</f>
        <v>Backpack</v>
      </c>
      <c r="D49" t="str">
        <f>VLOOKUP($A49,'ECOMMERS SALES'!$1:$500,MATCH('vlookup match'!D$1,ECOMMERS_SALES[#Headers],0))</f>
        <v>Fashion</v>
      </c>
      <c r="E49">
        <f>VLOOKUP($A49,'ECOMMERS SALES'!$1:$500,MATCH('vlookup match'!E$1,ECOMMERS_SALES[#Headers],0))</f>
        <v>1</v>
      </c>
      <c r="F49">
        <f>VLOOKUP($A49,'ECOMMERS SALES'!$1:$500,MATCH('vlookup match'!F$1,ECOMMERS_SALES[#Headers],0))</f>
        <v>1978</v>
      </c>
      <c r="G49">
        <f>VLOOKUP($A49,'ECOMMERS SALES'!$1:$500,MATCH('vlookup match'!G$1,ECOMMERS_SALES[#Headers],0))</f>
        <v>1978</v>
      </c>
      <c r="H49" t="str">
        <f>VLOOKUP($A49,'ECOMMERS SALES'!$1:$500,MATCH('vlookup match'!H$1,ECOMMERS_SALES[#Headers],0))</f>
        <v>Chennai</v>
      </c>
      <c r="I49" t="str">
        <f>VLOOKUP($A49,'ECOMMERS SALES'!$1:$500,MATCH('vlookup match'!I$1,ECOMMERS_SALES[#Headers],0))</f>
        <v>New</v>
      </c>
      <c r="J49" t="str">
        <f>VLOOKUP($A49,'ECOMMERS SALES'!$1:$500,MATCH('vlookup match'!J$1,ECOMMERS_SALES[#Headers],0))</f>
        <v>Card</v>
      </c>
    </row>
    <row r="50" spans="1:10" x14ac:dyDescent="0.35">
      <c r="A50">
        <v>1049</v>
      </c>
      <c r="B50" t="str">
        <f>VLOOKUP($A50,'ECOMMERS SALES'!$1:$500,MATCH('vlookup match'!B$1,ECOMMERS_SALES[#Headers],0))</f>
        <v>19-02-2025</v>
      </c>
      <c r="C50" t="str">
        <f>VLOOKUP($A50,'ECOMMERS SALES'!$1:$500,MATCH('vlookup match'!C$1,ECOMMERS_SALES[#Headers],0))</f>
        <v>Smartwatch</v>
      </c>
      <c r="D50" t="str">
        <f>VLOOKUP($A50,'ECOMMERS SALES'!$1:$500,MATCH('vlookup match'!D$1,ECOMMERS_SALES[#Headers],0))</f>
        <v>Electronics</v>
      </c>
      <c r="E50">
        <f>VLOOKUP($A50,'ECOMMERS SALES'!$1:$500,MATCH('vlookup match'!E$1,ECOMMERS_SALES[#Headers],0))</f>
        <v>2</v>
      </c>
      <c r="F50">
        <f>VLOOKUP($A50,'ECOMMERS SALES'!$1:$500,MATCH('vlookup match'!F$1,ECOMMERS_SALES[#Headers],0))</f>
        <v>14326</v>
      </c>
      <c r="G50">
        <f>VLOOKUP($A50,'ECOMMERS SALES'!$1:$500,MATCH('vlookup match'!G$1,ECOMMERS_SALES[#Headers],0))</f>
        <v>28652</v>
      </c>
      <c r="H50" t="str">
        <f>VLOOKUP($A50,'ECOMMERS SALES'!$1:$500,MATCH('vlookup match'!H$1,ECOMMERS_SALES[#Headers],0))</f>
        <v>Mumbai</v>
      </c>
      <c r="I50" t="str">
        <f>VLOOKUP($A50,'ECOMMERS SALES'!$1:$500,MATCH('vlookup match'!I$1,ECOMMERS_SALES[#Headers],0))</f>
        <v>Premimum</v>
      </c>
      <c r="J50" t="str">
        <f>VLOOKUP($A50,'ECOMMERS SALES'!$1:$500,MATCH('vlookup match'!J$1,ECOMMERS_SALES[#Headers],0))</f>
        <v>Card</v>
      </c>
    </row>
    <row r="51" spans="1:10" x14ac:dyDescent="0.35">
      <c r="A51">
        <v>1050</v>
      </c>
      <c r="B51" t="str">
        <f>VLOOKUP($A51,'ECOMMERS SALES'!$1:$500,MATCH('vlookup match'!B$1,ECOMMERS_SALES[#Headers],0))</f>
        <v>20-02-2025</v>
      </c>
      <c r="C51" t="str">
        <f>VLOOKUP($A51,'ECOMMERS SALES'!$1:$500,MATCH('vlookup match'!C$1,ECOMMERS_SALES[#Headers],0))</f>
        <v>Water Bottle</v>
      </c>
      <c r="D51" t="str">
        <f>VLOOKUP($A51,'ECOMMERS SALES'!$1:$500,MATCH('vlookup match'!D$1,ECOMMERS_SALES[#Headers],0))</f>
        <v>Other</v>
      </c>
      <c r="E51">
        <f>VLOOKUP($A51,'ECOMMERS SALES'!$1:$500,MATCH('vlookup match'!E$1,ECOMMERS_SALES[#Headers],0))</f>
        <v>3</v>
      </c>
      <c r="F51">
        <f>VLOOKUP($A51,'ECOMMERS SALES'!$1:$500,MATCH('vlookup match'!F$1,ECOMMERS_SALES[#Headers],0))</f>
        <v>100</v>
      </c>
      <c r="G51">
        <f>VLOOKUP($A51,'ECOMMERS SALES'!$1:$500,MATCH('vlookup match'!G$1,ECOMMERS_SALES[#Headers],0))</f>
        <v>300</v>
      </c>
      <c r="H51" t="str">
        <f>VLOOKUP($A51,'ECOMMERS SALES'!$1:$500,MATCH('vlookup match'!H$1,ECOMMERS_SALES[#Headers],0))</f>
        <v>Mumbai</v>
      </c>
      <c r="I51" t="str">
        <f>VLOOKUP($A51,'ECOMMERS SALES'!$1:$500,MATCH('vlookup match'!I$1,ECOMMERS_SALES[#Headers],0))</f>
        <v>New</v>
      </c>
      <c r="J51" t="str">
        <f>VLOOKUP($A51,'ECOMMERS SALES'!$1:$500,MATCH('vlookup match'!J$1,ECOMMERS_SALES[#Headers],0))</f>
        <v>Card</v>
      </c>
    </row>
    <row r="52" spans="1:10" x14ac:dyDescent="0.35">
      <c r="A52">
        <v>1051</v>
      </c>
      <c r="B52" t="str">
        <f>VLOOKUP($A52,'ECOMMERS SALES'!$1:$500,MATCH('vlookup match'!B$1,ECOMMERS_SALES[#Headers],0))</f>
        <v>21-02-2025</v>
      </c>
      <c r="C52" t="str">
        <f>VLOOKUP($A52,'ECOMMERS SALES'!$1:$500,MATCH('vlookup match'!C$1,ECOMMERS_SALES[#Headers],0))</f>
        <v>Laptop</v>
      </c>
      <c r="D52" t="str">
        <f>VLOOKUP($A52,'ECOMMERS SALES'!$1:$500,MATCH('vlookup match'!D$1,ECOMMERS_SALES[#Headers],0))</f>
        <v>Electronics</v>
      </c>
      <c r="E52">
        <f>VLOOKUP($A52,'ECOMMERS SALES'!$1:$500,MATCH('vlookup match'!E$1,ECOMMERS_SALES[#Headers],0))</f>
        <v>2</v>
      </c>
      <c r="F52">
        <f>VLOOKUP($A52,'ECOMMERS SALES'!$1:$500,MATCH('vlookup match'!F$1,ECOMMERS_SALES[#Headers],0))</f>
        <v>54846</v>
      </c>
      <c r="G52">
        <f>VLOOKUP($A52,'ECOMMERS SALES'!$1:$500,MATCH('vlookup match'!G$1,ECOMMERS_SALES[#Headers],0))</f>
        <v>109692</v>
      </c>
      <c r="H52" t="str">
        <f>VLOOKUP($A52,'ECOMMERS SALES'!$1:$500,MATCH('vlookup match'!H$1,ECOMMERS_SALES[#Headers],0))</f>
        <v>Chennai</v>
      </c>
      <c r="I52" t="str">
        <f>VLOOKUP($A52,'ECOMMERS SALES'!$1:$500,MATCH('vlookup match'!I$1,ECOMMERS_SALES[#Headers],0))</f>
        <v>New</v>
      </c>
      <c r="J52" t="str">
        <f>VLOOKUP($A52,'ECOMMERS SALES'!$1:$500,MATCH('vlookup match'!J$1,ECOMMERS_SALES[#Headers],0))</f>
        <v>COD</v>
      </c>
    </row>
    <row r="53" spans="1:10" x14ac:dyDescent="0.35">
      <c r="A53">
        <v>1052</v>
      </c>
      <c r="B53" t="str">
        <f>VLOOKUP($A53,'ECOMMERS SALES'!$1:$500,MATCH('vlookup match'!B$1,ECOMMERS_SALES[#Headers],0))</f>
        <v>22-02-2025</v>
      </c>
      <c r="C53" t="str">
        <f>VLOOKUP($A53,'ECOMMERS SALES'!$1:$500,MATCH('vlookup match'!C$1,ECOMMERS_SALES[#Headers],0))</f>
        <v>Headphones</v>
      </c>
      <c r="D53" t="str">
        <f>VLOOKUP($A53,'ECOMMERS SALES'!$1:$500,MATCH('vlookup match'!D$1,ECOMMERS_SALES[#Headers],0))</f>
        <v>Electronics</v>
      </c>
      <c r="E53">
        <f>VLOOKUP($A53,'ECOMMERS SALES'!$1:$500,MATCH('vlookup match'!E$1,ECOMMERS_SALES[#Headers],0))</f>
        <v>3</v>
      </c>
      <c r="F53">
        <f>VLOOKUP($A53,'ECOMMERS SALES'!$1:$500,MATCH('vlookup match'!F$1,ECOMMERS_SALES[#Headers],0))</f>
        <v>4855</v>
      </c>
      <c r="G53">
        <f>VLOOKUP($A53,'ECOMMERS SALES'!$1:$500,MATCH('vlookup match'!G$1,ECOMMERS_SALES[#Headers],0))</f>
        <v>14565</v>
      </c>
      <c r="H53" t="str">
        <f>VLOOKUP($A53,'ECOMMERS SALES'!$1:$500,MATCH('vlookup match'!H$1,ECOMMERS_SALES[#Headers],0))</f>
        <v>Chennai</v>
      </c>
      <c r="I53" t="str">
        <f>VLOOKUP($A53,'ECOMMERS SALES'!$1:$500,MATCH('vlookup match'!I$1,ECOMMERS_SALES[#Headers],0))</f>
        <v>New</v>
      </c>
      <c r="J53" t="str">
        <f>VLOOKUP($A53,'ECOMMERS SALES'!$1:$500,MATCH('vlookup match'!J$1,ECOMMERS_SALES[#Headers],0))</f>
        <v>Card</v>
      </c>
    </row>
    <row r="54" spans="1:10" x14ac:dyDescent="0.35">
      <c r="A54">
        <v>1053</v>
      </c>
      <c r="B54" t="str">
        <f>VLOOKUP($A54,'ECOMMERS SALES'!$1:$500,MATCH('vlookup match'!B$1,ECOMMERS_SALES[#Headers],0))</f>
        <v>23-02-2025</v>
      </c>
      <c r="C54" t="str">
        <f>VLOOKUP($A54,'ECOMMERS SALES'!$1:$500,MATCH('vlookup match'!C$1,ECOMMERS_SALES[#Headers],0))</f>
        <v>Shoes</v>
      </c>
      <c r="D54" t="str">
        <f>VLOOKUP($A54,'ECOMMERS SALES'!$1:$500,MATCH('vlookup match'!D$1,ECOMMERS_SALES[#Headers],0))</f>
        <v>Fashion</v>
      </c>
      <c r="E54">
        <f>VLOOKUP($A54,'ECOMMERS SALES'!$1:$500,MATCH('vlookup match'!E$1,ECOMMERS_SALES[#Headers],0))</f>
        <v>3</v>
      </c>
      <c r="F54">
        <f>VLOOKUP($A54,'ECOMMERS SALES'!$1:$500,MATCH('vlookup match'!F$1,ECOMMERS_SALES[#Headers],0))</f>
        <v>1718</v>
      </c>
      <c r="G54">
        <f>VLOOKUP($A54,'ECOMMERS SALES'!$1:$500,MATCH('vlookup match'!G$1,ECOMMERS_SALES[#Headers],0))</f>
        <v>5154</v>
      </c>
      <c r="H54" t="str">
        <f>VLOOKUP($A54,'ECOMMERS SALES'!$1:$500,MATCH('vlookup match'!H$1,ECOMMERS_SALES[#Headers],0))</f>
        <v>Hyderabad</v>
      </c>
      <c r="I54" t="str">
        <f>VLOOKUP($A54,'ECOMMERS SALES'!$1:$500,MATCH('vlookup match'!I$1,ECOMMERS_SALES[#Headers],0))</f>
        <v>Premimum</v>
      </c>
      <c r="J54" t="str">
        <f>VLOOKUP($A54,'ECOMMERS SALES'!$1:$500,MATCH('vlookup match'!J$1,ECOMMERS_SALES[#Headers],0))</f>
        <v>UPI</v>
      </c>
    </row>
    <row r="55" spans="1:10" x14ac:dyDescent="0.35">
      <c r="A55">
        <v>1054</v>
      </c>
      <c r="B55" t="str">
        <f>VLOOKUP($A55,'ECOMMERS SALES'!$1:$500,MATCH('vlookup match'!B$1,ECOMMERS_SALES[#Headers],0))</f>
        <v>24-02-2025</v>
      </c>
      <c r="C55" t="str">
        <f>VLOOKUP($A55,'ECOMMERS SALES'!$1:$500,MATCH('vlookup match'!C$1,ECOMMERS_SALES[#Headers],0))</f>
        <v>Watch</v>
      </c>
      <c r="D55" t="str">
        <f>VLOOKUP($A55,'ECOMMERS SALES'!$1:$500,MATCH('vlookup match'!D$1,ECOMMERS_SALES[#Headers],0))</f>
        <v>Other</v>
      </c>
      <c r="E55">
        <f>VLOOKUP($A55,'ECOMMERS SALES'!$1:$500,MATCH('vlookup match'!E$1,ECOMMERS_SALES[#Headers],0))</f>
        <v>5</v>
      </c>
      <c r="F55">
        <f>VLOOKUP($A55,'ECOMMERS SALES'!$1:$500,MATCH('vlookup match'!F$1,ECOMMERS_SALES[#Headers],0))</f>
        <v>17415</v>
      </c>
      <c r="G55">
        <f>VLOOKUP($A55,'ECOMMERS SALES'!$1:$500,MATCH('vlookup match'!G$1,ECOMMERS_SALES[#Headers],0))</f>
        <v>87075</v>
      </c>
      <c r="H55" t="str">
        <f>VLOOKUP($A55,'ECOMMERS SALES'!$1:$500,MATCH('vlookup match'!H$1,ECOMMERS_SALES[#Headers],0))</f>
        <v>Pune</v>
      </c>
      <c r="I55" t="str">
        <f>VLOOKUP($A55,'ECOMMERS SALES'!$1:$500,MATCH('vlookup match'!I$1,ECOMMERS_SALES[#Headers],0))</f>
        <v>New</v>
      </c>
      <c r="J55" t="str">
        <f>VLOOKUP($A55,'ECOMMERS SALES'!$1:$500,MATCH('vlookup match'!J$1,ECOMMERS_SALES[#Headers],0))</f>
        <v>COD</v>
      </c>
    </row>
    <row r="56" spans="1:10" x14ac:dyDescent="0.35">
      <c r="A56">
        <v>1055</v>
      </c>
      <c r="B56" t="str">
        <f>VLOOKUP($A56,'ECOMMERS SALES'!$1:$500,MATCH('vlookup match'!B$1,ECOMMERS_SALES[#Headers],0))</f>
        <v>25-02-2025</v>
      </c>
      <c r="C56" t="str">
        <f>VLOOKUP($A56,'ECOMMERS SALES'!$1:$500,MATCH('vlookup match'!C$1,ECOMMERS_SALES[#Headers],0))</f>
        <v>Mobile Case</v>
      </c>
      <c r="D56" t="str">
        <f>VLOOKUP($A56,'ECOMMERS SALES'!$1:$500,MATCH('vlookup match'!D$1,ECOMMERS_SALES[#Headers],0))</f>
        <v>Other</v>
      </c>
      <c r="E56">
        <f>VLOOKUP($A56,'ECOMMERS SALES'!$1:$500,MATCH('vlookup match'!E$1,ECOMMERS_SALES[#Headers],0))</f>
        <v>3</v>
      </c>
      <c r="F56">
        <f>VLOOKUP($A56,'ECOMMERS SALES'!$1:$500,MATCH('vlookup match'!F$1,ECOMMERS_SALES[#Headers],0))</f>
        <v>661</v>
      </c>
      <c r="G56">
        <f>VLOOKUP($A56,'ECOMMERS SALES'!$1:$500,MATCH('vlookup match'!G$1,ECOMMERS_SALES[#Headers],0))</f>
        <v>1983</v>
      </c>
      <c r="H56" t="str">
        <f>VLOOKUP($A56,'ECOMMERS SALES'!$1:$500,MATCH('vlookup match'!H$1,ECOMMERS_SALES[#Headers],0))</f>
        <v>Mumbai</v>
      </c>
      <c r="I56" t="str">
        <f>VLOOKUP($A56,'ECOMMERS SALES'!$1:$500,MATCH('vlookup match'!I$1,ECOMMERS_SALES[#Headers],0))</f>
        <v>New</v>
      </c>
      <c r="J56" t="str">
        <f>VLOOKUP($A56,'ECOMMERS SALES'!$1:$500,MATCH('vlookup match'!J$1,ECOMMERS_SALES[#Headers],0))</f>
        <v>UPI</v>
      </c>
    </row>
    <row r="57" spans="1:10" x14ac:dyDescent="0.35">
      <c r="A57">
        <v>1056</v>
      </c>
      <c r="B57" t="str">
        <f>VLOOKUP($A57,'ECOMMERS SALES'!$1:$500,MATCH('vlookup match'!B$1,ECOMMERS_SALES[#Headers],0))</f>
        <v>26-02-2025</v>
      </c>
      <c r="C57" t="str">
        <f>VLOOKUP($A57,'ECOMMERS SALES'!$1:$500,MATCH('vlookup match'!C$1,ECOMMERS_SALES[#Headers],0))</f>
        <v>Tablet</v>
      </c>
      <c r="D57" t="str">
        <f>VLOOKUP($A57,'ECOMMERS SALES'!$1:$500,MATCH('vlookup match'!D$1,ECOMMERS_SALES[#Headers],0))</f>
        <v>Electronics</v>
      </c>
      <c r="E57">
        <f>VLOOKUP($A57,'ECOMMERS SALES'!$1:$500,MATCH('vlookup match'!E$1,ECOMMERS_SALES[#Headers],0))</f>
        <v>2</v>
      </c>
      <c r="F57">
        <f>VLOOKUP($A57,'ECOMMERS SALES'!$1:$500,MATCH('vlookup match'!F$1,ECOMMERS_SALES[#Headers],0))</f>
        <v>30075</v>
      </c>
      <c r="G57">
        <f>VLOOKUP($A57,'ECOMMERS SALES'!$1:$500,MATCH('vlookup match'!G$1,ECOMMERS_SALES[#Headers],0))</f>
        <v>60150</v>
      </c>
      <c r="H57" t="str">
        <f>VLOOKUP($A57,'ECOMMERS SALES'!$1:$500,MATCH('vlookup match'!H$1,ECOMMERS_SALES[#Headers],0))</f>
        <v>Pune</v>
      </c>
      <c r="I57" t="str">
        <f>VLOOKUP($A57,'ECOMMERS SALES'!$1:$500,MATCH('vlookup match'!I$1,ECOMMERS_SALES[#Headers],0))</f>
        <v>Returning</v>
      </c>
      <c r="J57" t="str">
        <f>VLOOKUP($A57,'ECOMMERS SALES'!$1:$500,MATCH('vlookup match'!J$1,ECOMMERS_SALES[#Headers],0))</f>
        <v>Card</v>
      </c>
    </row>
    <row r="58" spans="1:10" x14ac:dyDescent="0.35">
      <c r="A58">
        <v>1057</v>
      </c>
      <c r="B58" t="str">
        <f>VLOOKUP($A58,'ECOMMERS SALES'!$1:$500,MATCH('vlookup match'!B$1,ECOMMERS_SALES[#Headers],0))</f>
        <v>27-02-2025</v>
      </c>
      <c r="C58" t="str">
        <f>VLOOKUP($A58,'ECOMMERS SALES'!$1:$500,MATCH('vlookup match'!C$1,ECOMMERS_SALES[#Headers],0))</f>
        <v>Book</v>
      </c>
      <c r="D58" t="str">
        <f>VLOOKUP($A58,'ECOMMERS SALES'!$1:$500,MATCH('vlookup match'!D$1,ECOMMERS_SALES[#Headers],0))</f>
        <v>Books</v>
      </c>
      <c r="E58">
        <f>VLOOKUP($A58,'ECOMMERS SALES'!$1:$500,MATCH('vlookup match'!E$1,ECOMMERS_SALES[#Headers],0))</f>
        <v>3</v>
      </c>
      <c r="F58">
        <f>VLOOKUP($A58,'ECOMMERS SALES'!$1:$500,MATCH('vlookup match'!F$1,ECOMMERS_SALES[#Headers],0))</f>
        <v>387</v>
      </c>
      <c r="G58">
        <f>VLOOKUP($A58,'ECOMMERS SALES'!$1:$500,MATCH('vlookup match'!G$1,ECOMMERS_SALES[#Headers],0))</f>
        <v>1161</v>
      </c>
      <c r="H58" t="str">
        <f>VLOOKUP($A58,'ECOMMERS SALES'!$1:$500,MATCH('vlookup match'!H$1,ECOMMERS_SALES[#Headers],0))</f>
        <v>Hyderabad</v>
      </c>
      <c r="I58" t="str">
        <f>VLOOKUP($A58,'ECOMMERS SALES'!$1:$500,MATCH('vlookup match'!I$1,ECOMMERS_SALES[#Headers],0))</f>
        <v>Premimum</v>
      </c>
      <c r="J58" t="str">
        <f>VLOOKUP($A58,'ECOMMERS SALES'!$1:$500,MATCH('vlookup match'!J$1,ECOMMERS_SALES[#Headers],0))</f>
        <v>Card</v>
      </c>
    </row>
    <row r="59" spans="1:10" x14ac:dyDescent="0.35">
      <c r="A59">
        <v>1058</v>
      </c>
      <c r="B59" t="str">
        <f>VLOOKUP($A59,'ECOMMERS SALES'!$1:$500,MATCH('vlookup match'!B$1,ECOMMERS_SALES[#Headers],0))</f>
        <v>28-02-2025</v>
      </c>
      <c r="C59" t="str">
        <f>VLOOKUP($A59,'ECOMMERS SALES'!$1:$500,MATCH('vlookup match'!C$1,ECOMMERS_SALES[#Headers],0))</f>
        <v>Backpack</v>
      </c>
      <c r="D59" t="str">
        <f>VLOOKUP($A59,'ECOMMERS SALES'!$1:$500,MATCH('vlookup match'!D$1,ECOMMERS_SALES[#Headers],0))</f>
        <v>Fashion</v>
      </c>
      <c r="E59">
        <f>VLOOKUP($A59,'ECOMMERS SALES'!$1:$500,MATCH('vlookup match'!E$1,ECOMMERS_SALES[#Headers],0))</f>
        <v>5</v>
      </c>
      <c r="F59">
        <f>VLOOKUP($A59,'ECOMMERS SALES'!$1:$500,MATCH('vlookup match'!F$1,ECOMMERS_SALES[#Headers],0))</f>
        <v>1084</v>
      </c>
      <c r="G59">
        <f>VLOOKUP($A59,'ECOMMERS SALES'!$1:$500,MATCH('vlookup match'!G$1,ECOMMERS_SALES[#Headers],0))</f>
        <v>5420</v>
      </c>
      <c r="H59" t="str">
        <f>VLOOKUP($A59,'ECOMMERS SALES'!$1:$500,MATCH('vlookup match'!H$1,ECOMMERS_SALES[#Headers],0))</f>
        <v>Mumbai</v>
      </c>
      <c r="I59" t="str">
        <f>VLOOKUP($A59,'ECOMMERS SALES'!$1:$500,MATCH('vlookup match'!I$1,ECOMMERS_SALES[#Headers],0))</f>
        <v>New</v>
      </c>
      <c r="J59" t="str">
        <f>VLOOKUP($A59,'ECOMMERS SALES'!$1:$500,MATCH('vlookup match'!J$1,ECOMMERS_SALES[#Headers],0))</f>
        <v>UPI</v>
      </c>
    </row>
    <row r="60" spans="1:10" x14ac:dyDescent="0.35">
      <c r="A60">
        <v>1059</v>
      </c>
      <c r="B60" t="str">
        <f>VLOOKUP($A60,'ECOMMERS SALES'!$1:$500,MATCH('vlookup match'!B$1,ECOMMERS_SALES[#Headers],0))</f>
        <v>01-03-2025</v>
      </c>
      <c r="C60" t="str">
        <f>VLOOKUP($A60,'ECOMMERS SALES'!$1:$500,MATCH('vlookup match'!C$1,ECOMMERS_SALES[#Headers],0))</f>
        <v>Smartwatch</v>
      </c>
      <c r="D60" t="str">
        <f>VLOOKUP($A60,'ECOMMERS SALES'!$1:$500,MATCH('vlookup match'!D$1,ECOMMERS_SALES[#Headers],0))</f>
        <v>Electronics</v>
      </c>
      <c r="E60">
        <f>VLOOKUP($A60,'ECOMMERS SALES'!$1:$500,MATCH('vlookup match'!E$1,ECOMMERS_SALES[#Headers],0))</f>
        <v>1</v>
      </c>
      <c r="F60">
        <f>VLOOKUP($A60,'ECOMMERS SALES'!$1:$500,MATCH('vlookup match'!F$1,ECOMMERS_SALES[#Headers],0))</f>
        <v>11559</v>
      </c>
      <c r="G60">
        <f>VLOOKUP($A60,'ECOMMERS SALES'!$1:$500,MATCH('vlookup match'!G$1,ECOMMERS_SALES[#Headers],0))</f>
        <v>11559</v>
      </c>
      <c r="H60" t="str">
        <f>VLOOKUP($A60,'ECOMMERS SALES'!$1:$500,MATCH('vlookup match'!H$1,ECOMMERS_SALES[#Headers],0))</f>
        <v>Mumbai</v>
      </c>
      <c r="I60" t="str">
        <f>VLOOKUP($A60,'ECOMMERS SALES'!$1:$500,MATCH('vlookup match'!I$1,ECOMMERS_SALES[#Headers],0))</f>
        <v>New</v>
      </c>
      <c r="J60" t="str">
        <f>VLOOKUP($A60,'ECOMMERS SALES'!$1:$500,MATCH('vlookup match'!J$1,ECOMMERS_SALES[#Headers],0))</f>
        <v>Card</v>
      </c>
    </row>
    <row r="61" spans="1:10" x14ac:dyDescent="0.35">
      <c r="A61">
        <v>1060</v>
      </c>
      <c r="B61" t="str">
        <f>VLOOKUP($A61,'ECOMMERS SALES'!$1:$500,MATCH('vlookup match'!B$1,ECOMMERS_SALES[#Headers],0))</f>
        <v>02-03-2025</v>
      </c>
      <c r="C61" t="str">
        <f>VLOOKUP($A61,'ECOMMERS SALES'!$1:$500,MATCH('vlookup match'!C$1,ECOMMERS_SALES[#Headers],0))</f>
        <v>Water Bottle</v>
      </c>
      <c r="D61" t="str">
        <f>VLOOKUP($A61,'ECOMMERS SALES'!$1:$500,MATCH('vlookup match'!D$1,ECOMMERS_SALES[#Headers],0))</f>
        <v>Other</v>
      </c>
      <c r="E61">
        <f>VLOOKUP($A61,'ECOMMERS SALES'!$1:$500,MATCH('vlookup match'!E$1,ECOMMERS_SALES[#Headers],0))</f>
        <v>5</v>
      </c>
      <c r="F61">
        <f>VLOOKUP($A61,'ECOMMERS SALES'!$1:$500,MATCH('vlookup match'!F$1,ECOMMERS_SALES[#Headers],0))</f>
        <v>717</v>
      </c>
      <c r="G61">
        <f>VLOOKUP($A61,'ECOMMERS SALES'!$1:$500,MATCH('vlookup match'!G$1,ECOMMERS_SALES[#Headers],0))</f>
        <v>3585</v>
      </c>
      <c r="H61" t="str">
        <f>VLOOKUP($A61,'ECOMMERS SALES'!$1:$500,MATCH('vlookup match'!H$1,ECOMMERS_SALES[#Headers],0))</f>
        <v>Delhi</v>
      </c>
      <c r="I61" t="str">
        <f>VLOOKUP($A61,'ECOMMERS SALES'!$1:$500,MATCH('vlookup match'!I$1,ECOMMERS_SALES[#Headers],0))</f>
        <v>Premimum</v>
      </c>
      <c r="J61" t="str">
        <f>VLOOKUP($A61,'ECOMMERS SALES'!$1:$500,MATCH('vlookup match'!J$1,ECOMMERS_SALES[#Headers],0))</f>
        <v>UPI</v>
      </c>
    </row>
    <row r="62" spans="1:10" x14ac:dyDescent="0.35">
      <c r="A62">
        <v>1061</v>
      </c>
      <c r="B62" t="str">
        <f>VLOOKUP($A62,'ECOMMERS SALES'!$1:$500,MATCH('vlookup match'!B$1,ECOMMERS_SALES[#Headers],0))</f>
        <v>03-03-2025</v>
      </c>
      <c r="C62" t="str">
        <f>VLOOKUP($A62,'ECOMMERS SALES'!$1:$500,MATCH('vlookup match'!C$1,ECOMMERS_SALES[#Headers],0))</f>
        <v>Laptop</v>
      </c>
      <c r="D62" t="str">
        <f>VLOOKUP($A62,'ECOMMERS SALES'!$1:$500,MATCH('vlookup match'!D$1,ECOMMERS_SALES[#Headers],0))</f>
        <v>Electronics</v>
      </c>
      <c r="E62">
        <f>VLOOKUP($A62,'ECOMMERS SALES'!$1:$500,MATCH('vlookup match'!E$1,ECOMMERS_SALES[#Headers],0))</f>
        <v>2</v>
      </c>
      <c r="F62">
        <f>VLOOKUP($A62,'ECOMMERS SALES'!$1:$500,MATCH('vlookup match'!F$1,ECOMMERS_SALES[#Headers],0))</f>
        <v>51590</v>
      </c>
      <c r="G62">
        <f>VLOOKUP($A62,'ECOMMERS SALES'!$1:$500,MATCH('vlookup match'!G$1,ECOMMERS_SALES[#Headers],0))</f>
        <v>103180</v>
      </c>
      <c r="H62" t="str">
        <f>VLOOKUP($A62,'ECOMMERS SALES'!$1:$500,MATCH('vlookup match'!H$1,ECOMMERS_SALES[#Headers],0))</f>
        <v>Pune</v>
      </c>
      <c r="I62" t="str">
        <f>VLOOKUP($A62,'ECOMMERS SALES'!$1:$500,MATCH('vlookup match'!I$1,ECOMMERS_SALES[#Headers],0))</f>
        <v>Returning</v>
      </c>
      <c r="J62" t="str">
        <f>VLOOKUP($A62,'ECOMMERS SALES'!$1:$500,MATCH('vlookup match'!J$1,ECOMMERS_SALES[#Headers],0))</f>
        <v>COD</v>
      </c>
    </row>
    <row r="63" spans="1:10" x14ac:dyDescent="0.35">
      <c r="A63">
        <v>1062</v>
      </c>
      <c r="B63" t="str">
        <f>VLOOKUP($A63,'ECOMMERS SALES'!$1:$500,MATCH('vlookup match'!B$1,ECOMMERS_SALES[#Headers],0))</f>
        <v>04-03-2025</v>
      </c>
      <c r="C63" t="str">
        <f>VLOOKUP($A63,'ECOMMERS SALES'!$1:$500,MATCH('vlookup match'!C$1,ECOMMERS_SALES[#Headers],0))</f>
        <v>Headphones</v>
      </c>
      <c r="D63" t="str">
        <f>VLOOKUP($A63,'ECOMMERS SALES'!$1:$500,MATCH('vlookup match'!D$1,ECOMMERS_SALES[#Headers],0))</f>
        <v>Electronics</v>
      </c>
      <c r="E63">
        <f>VLOOKUP($A63,'ECOMMERS SALES'!$1:$500,MATCH('vlookup match'!E$1,ECOMMERS_SALES[#Headers],0))</f>
        <v>2</v>
      </c>
      <c r="F63">
        <f>VLOOKUP($A63,'ECOMMERS SALES'!$1:$500,MATCH('vlookup match'!F$1,ECOMMERS_SALES[#Headers],0))</f>
        <v>2555</v>
      </c>
      <c r="G63">
        <f>VLOOKUP($A63,'ECOMMERS SALES'!$1:$500,MATCH('vlookup match'!G$1,ECOMMERS_SALES[#Headers],0))</f>
        <v>5110</v>
      </c>
      <c r="H63" t="str">
        <f>VLOOKUP($A63,'ECOMMERS SALES'!$1:$500,MATCH('vlookup match'!H$1,ECOMMERS_SALES[#Headers],0))</f>
        <v>Bangalore</v>
      </c>
      <c r="I63" t="str">
        <f>VLOOKUP($A63,'ECOMMERS SALES'!$1:$500,MATCH('vlookup match'!I$1,ECOMMERS_SALES[#Headers],0))</f>
        <v>New</v>
      </c>
      <c r="J63" t="str">
        <f>VLOOKUP($A63,'ECOMMERS SALES'!$1:$500,MATCH('vlookup match'!J$1,ECOMMERS_SALES[#Headers],0))</f>
        <v>UPI</v>
      </c>
    </row>
    <row r="64" spans="1:10" x14ac:dyDescent="0.35">
      <c r="A64">
        <v>1063</v>
      </c>
      <c r="B64" t="str">
        <f>VLOOKUP($A64,'ECOMMERS SALES'!$1:$500,MATCH('vlookup match'!B$1,ECOMMERS_SALES[#Headers],0))</f>
        <v>05-03-2025</v>
      </c>
      <c r="C64" t="str">
        <f>VLOOKUP($A64,'ECOMMERS SALES'!$1:$500,MATCH('vlookup match'!C$1,ECOMMERS_SALES[#Headers],0))</f>
        <v>Shoes</v>
      </c>
      <c r="D64" t="str">
        <f>VLOOKUP($A64,'ECOMMERS SALES'!$1:$500,MATCH('vlookup match'!D$1,ECOMMERS_SALES[#Headers],0))</f>
        <v>Fashion</v>
      </c>
      <c r="E64">
        <f>VLOOKUP($A64,'ECOMMERS SALES'!$1:$500,MATCH('vlookup match'!E$1,ECOMMERS_SALES[#Headers],0))</f>
        <v>3</v>
      </c>
      <c r="F64">
        <f>VLOOKUP($A64,'ECOMMERS SALES'!$1:$500,MATCH('vlookup match'!F$1,ECOMMERS_SALES[#Headers],0))</f>
        <v>3601</v>
      </c>
      <c r="G64">
        <f>VLOOKUP($A64,'ECOMMERS SALES'!$1:$500,MATCH('vlookup match'!G$1,ECOMMERS_SALES[#Headers],0))</f>
        <v>10803</v>
      </c>
      <c r="H64" t="str">
        <f>VLOOKUP($A64,'ECOMMERS SALES'!$1:$500,MATCH('vlookup match'!H$1,ECOMMERS_SALES[#Headers],0))</f>
        <v>Pune</v>
      </c>
      <c r="I64" t="str">
        <f>VLOOKUP($A64,'ECOMMERS SALES'!$1:$500,MATCH('vlookup match'!I$1,ECOMMERS_SALES[#Headers],0))</f>
        <v>New</v>
      </c>
      <c r="J64" t="str">
        <f>VLOOKUP($A64,'ECOMMERS SALES'!$1:$500,MATCH('vlookup match'!J$1,ECOMMERS_SALES[#Headers],0))</f>
        <v>COD</v>
      </c>
    </row>
    <row r="65" spans="1:10" x14ac:dyDescent="0.35">
      <c r="A65">
        <v>1064</v>
      </c>
      <c r="B65" t="str">
        <f>VLOOKUP($A65,'ECOMMERS SALES'!$1:$500,MATCH('vlookup match'!B$1,ECOMMERS_SALES[#Headers],0))</f>
        <v>06-03-2025</v>
      </c>
      <c r="C65" t="str">
        <f>VLOOKUP($A65,'ECOMMERS SALES'!$1:$500,MATCH('vlookup match'!C$1,ECOMMERS_SALES[#Headers],0))</f>
        <v>Watch</v>
      </c>
      <c r="D65" t="str">
        <f>VLOOKUP($A65,'ECOMMERS SALES'!$1:$500,MATCH('vlookup match'!D$1,ECOMMERS_SALES[#Headers],0))</f>
        <v>Other</v>
      </c>
      <c r="E65">
        <f>VLOOKUP($A65,'ECOMMERS SALES'!$1:$500,MATCH('vlookup match'!E$1,ECOMMERS_SALES[#Headers],0))</f>
        <v>5</v>
      </c>
      <c r="F65">
        <f>VLOOKUP($A65,'ECOMMERS SALES'!$1:$500,MATCH('vlookup match'!F$1,ECOMMERS_SALES[#Headers],0))</f>
        <v>9924</v>
      </c>
      <c r="G65">
        <f>VLOOKUP($A65,'ECOMMERS SALES'!$1:$500,MATCH('vlookup match'!G$1,ECOMMERS_SALES[#Headers],0))</f>
        <v>49620</v>
      </c>
      <c r="H65" t="str">
        <f>VLOOKUP($A65,'ECOMMERS SALES'!$1:$500,MATCH('vlookup match'!H$1,ECOMMERS_SALES[#Headers],0))</f>
        <v>Chennai</v>
      </c>
      <c r="I65" t="str">
        <f>VLOOKUP($A65,'ECOMMERS SALES'!$1:$500,MATCH('vlookup match'!I$1,ECOMMERS_SALES[#Headers],0))</f>
        <v>Premimum</v>
      </c>
      <c r="J65" t="str">
        <f>VLOOKUP($A65,'ECOMMERS SALES'!$1:$500,MATCH('vlookup match'!J$1,ECOMMERS_SALES[#Headers],0))</f>
        <v>UPI</v>
      </c>
    </row>
    <row r="66" spans="1:10" x14ac:dyDescent="0.35">
      <c r="A66">
        <v>1065</v>
      </c>
      <c r="B66" t="str">
        <f>VLOOKUP($A66,'ECOMMERS SALES'!$1:$500,MATCH('vlookup match'!B$1,ECOMMERS_SALES[#Headers],0))</f>
        <v>07-03-2025</v>
      </c>
      <c r="C66" t="str">
        <f>VLOOKUP($A66,'ECOMMERS SALES'!$1:$500,MATCH('vlookup match'!C$1,ECOMMERS_SALES[#Headers],0))</f>
        <v>Mobile Case</v>
      </c>
      <c r="D66" t="str">
        <f>VLOOKUP($A66,'ECOMMERS SALES'!$1:$500,MATCH('vlookup match'!D$1,ECOMMERS_SALES[#Headers],0))</f>
        <v>Other</v>
      </c>
      <c r="E66">
        <f>VLOOKUP($A66,'ECOMMERS SALES'!$1:$500,MATCH('vlookup match'!E$1,ECOMMERS_SALES[#Headers],0))</f>
        <v>5</v>
      </c>
      <c r="F66">
        <f>VLOOKUP($A66,'ECOMMERS SALES'!$1:$500,MATCH('vlookup match'!F$1,ECOMMERS_SALES[#Headers],0))</f>
        <v>511</v>
      </c>
      <c r="G66">
        <f>VLOOKUP($A66,'ECOMMERS SALES'!$1:$500,MATCH('vlookup match'!G$1,ECOMMERS_SALES[#Headers],0))</f>
        <v>2555</v>
      </c>
      <c r="H66" t="str">
        <f>VLOOKUP($A66,'ECOMMERS SALES'!$1:$500,MATCH('vlookup match'!H$1,ECOMMERS_SALES[#Headers],0))</f>
        <v>Delhi</v>
      </c>
      <c r="I66" t="str">
        <f>VLOOKUP($A66,'ECOMMERS SALES'!$1:$500,MATCH('vlookup match'!I$1,ECOMMERS_SALES[#Headers],0))</f>
        <v>Returning</v>
      </c>
      <c r="J66" t="str">
        <f>VLOOKUP($A66,'ECOMMERS SALES'!$1:$500,MATCH('vlookup match'!J$1,ECOMMERS_SALES[#Headers],0))</f>
        <v>COD</v>
      </c>
    </row>
    <row r="67" spans="1:10" x14ac:dyDescent="0.35">
      <c r="A67">
        <v>1066</v>
      </c>
      <c r="B67" t="str">
        <f>VLOOKUP($A67,'ECOMMERS SALES'!$1:$500,MATCH('vlookup match'!B$1,ECOMMERS_SALES[#Headers],0))</f>
        <v>08-03-2025</v>
      </c>
      <c r="C67" t="str">
        <f>VLOOKUP($A67,'ECOMMERS SALES'!$1:$500,MATCH('vlookup match'!C$1,ECOMMERS_SALES[#Headers],0))</f>
        <v>Tablet</v>
      </c>
      <c r="D67" t="str">
        <f>VLOOKUP($A67,'ECOMMERS SALES'!$1:$500,MATCH('vlookup match'!D$1,ECOMMERS_SALES[#Headers],0))</f>
        <v>Electronics</v>
      </c>
      <c r="E67">
        <f>VLOOKUP($A67,'ECOMMERS SALES'!$1:$500,MATCH('vlookup match'!E$1,ECOMMERS_SALES[#Headers],0))</f>
        <v>1</v>
      </c>
      <c r="F67">
        <f>VLOOKUP($A67,'ECOMMERS SALES'!$1:$500,MATCH('vlookup match'!F$1,ECOMMERS_SALES[#Headers],0))</f>
        <v>29247</v>
      </c>
      <c r="G67">
        <f>VLOOKUP($A67,'ECOMMERS SALES'!$1:$500,MATCH('vlookup match'!G$1,ECOMMERS_SALES[#Headers],0))</f>
        <v>29247</v>
      </c>
      <c r="H67" t="str">
        <f>VLOOKUP($A67,'ECOMMERS SALES'!$1:$500,MATCH('vlookup match'!H$1,ECOMMERS_SALES[#Headers],0))</f>
        <v>Delhi</v>
      </c>
      <c r="I67" t="str">
        <f>VLOOKUP($A67,'ECOMMERS SALES'!$1:$500,MATCH('vlookup match'!I$1,ECOMMERS_SALES[#Headers],0))</f>
        <v>New</v>
      </c>
      <c r="J67" t="str">
        <f>VLOOKUP($A67,'ECOMMERS SALES'!$1:$500,MATCH('vlookup match'!J$1,ECOMMERS_SALES[#Headers],0))</f>
        <v>COD</v>
      </c>
    </row>
    <row r="68" spans="1:10" x14ac:dyDescent="0.35">
      <c r="A68">
        <v>1067</v>
      </c>
      <c r="B68" t="str">
        <f>VLOOKUP($A68,'ECOMMERS SALES'!$1:$500,MATCH('vlookup match'!B$1,ECOMMERS_SALES[#Headers],0))</f>
        <v>09-03-2025</v>
      </c>
      <c r="C68" t="str">
        <f>VLOOKUP($A68,'ECOMMERS SALES'!$1:$500,MATCH('vlookup match'!C$1,ECOMMERS_SALES[#Headers],0))</f>
        <v>Book</v>
      </c>
      <c r="D68" t="str">
        <f>VLOOKUP($A68,'ECOMMERS SALES'!$1:$500,MATCH('vlookup match'!D$1,ECOMMERS_SALES[#Headers],0))</f>
        <v>Books</v>
      </c>
      <c r="E68">
        <f>VLOOKUP($A68,'ECOMMERS SALES'!$1:$500,MATCH('vlookup match'!E$1,ECOMMERS_SALES[#Headers],0))</f>
        <v>4</v>
      </c>
      <c r="F68">
        <f>VLOOKUP($A68,'ECOMMERS SALES'!$1:$500,MATCH('vlookup match'!F$1,ECOMMERS_SALES[#Headers],0))</f>
        <v>699</v>
      </c>
      <c r="G68">
        <f>VLOOKUP($A68,'ECOMMERS SALES'!$1:$500,MATCH('vlookup match'!G$1,ECOMMERS_SALES[#Headers],0))</f>
        <v>2796</v>
      </c>
      <c r="H68" t="str">
        <f>VLOOKUP($A68,'ECOMMERS SALES'!$1:$500,MATCH('vlookup match'!H$1,ECOMMERS_SALES[#Headers],0))</f>
        <v>Pune</v>
      </c>
      <c r="I68" t="str">
        <f>VLOOKUP($A68,'ECOMMERS SALES'!$1:$500,MATCH('vlookup match'!I$1,ECOMMERS_SALES[#Headers],0))</f>
        <v>Premimum</v>
      </c>
      <c r="J68" t="str">
        <f>VLOOKUP($A68,'ECOMMERS SALES'!$1:$500,MATCH('vlookup match'!J$1,ECOMMERS_SALES[#Headers],0))</f>
        <v>UPI</v>
      </c>
    </row>
    <row r="69" spans="1:10" x14ac:dyDescent="0.35">
      <c r="A69">
        <v>1068</v>
      </c>
      <c r="B69" t="str">
        <f>VLOOKUP($A69,'ECOMMERS SALES'!$1:$500,MATCH('vlookup match'!B$1,ECOMMERS_SALES[#Headers],0))</f>
        <v>10-03-2025</v>
      </c>
      <c r="C69" t="str">
        <f>VLOOKUP($A69,'ECOMMERS SALES'!$1:$500,MATCH('vlookup match'!C$1,ECOMMERS_SALES[#Headers],0))</f>
        <v>Backpack</v>
      </c>
      <c r="D69" t="str">
        <f>VLOOKUP($A69,'ECOMMERS SALES'!$1:$500,MATCH('vlookup match'!D$1,ECOMMERS_SALES[#Headers],0))</f>
        <v>Fashion</v>
      </c>
      <c r="E69">
        <f>VLOOKUP($A69,'ECOMMERS SALES'!$1:$500,MATCH('vlookup match'!E$1,ECOMMERS_SALES[#Headers],0))</f>
        <v>5</v>
      </c>
      <c r="F69">
        <f>VLOOKUP($A69,'ECOMMERS SALES'!$1:$500,MATCH('vlookup match'!F$1,ECOMMERS_SALES[#Headers],0))</f>
        <v>566</v>
      </c>
      <c r="G69">
        <f>VLOOKUP($A69,'ECOMMERS SALES'!$1:$500,MATCH('vlookup match'!G$1,ECOMMERS_SALES[#Headers],0))</f>
        <v>2830</v>
      </c>
      <c r="H69" t="str">
        <f>VLOOKUP($A69,'ECOMMERS SALES'!$1:$500,MATCH('vlookup match'!H$1,ECOMMERS_SALES[#Headers],0))</f>
        <v>Hyderabad</v>
      </c>
      <c r="I69" t="str">
        <f>VLOOKUP($A69,'ECOMMERS SALES'!$1:$500,MATCH('vlookup match'!I$1,ECOMMERS_SALES[#Headers],0))</f>
        <v>Returning</v>
      </c>
      <c r="J69" t="str">
        <f>VLOOKUP($A69,'ECOMMERS SALES'!$1:$500,MATCH('vlookup match'!J$1,ECOMMERS_SALES[#Headers],0))</f>
        <v>COD</v>
      </c>
    </row>
    <row r="70" spans="1:10" x14ac:dyDescent="0.35">
      <c r="A70">
        <v>1069</v>
      </c>
      <c r="B70" t="str">
        <f>VLOOKUP($A70,'ECOMMERS SALES'!$1:$500,MATCH('vlookup match'!B$1,ECOMMERS_SALES[#Headers],0))</f>
        <v>11-03-2025</v>
      </c>
      <c r="C70" t="str">
        <f>VLOOKUP($A70,'ECOMMERS SALES'!$1:$500,MATCH('vlookup match'!C$1,ECOMMERS_SALES[#Headers],0))</f>
        <v>Smartwatch</v>
      </c>
      <c r="D70" t="str">
        <f>VLOOKUP($A70,'ECOMMERS SALES'!$1:$500,MATCH('vlookup match'!D$1,ECOMMERS_SALES[#Headers],0))</f>
        <v>Electronics</v>
      </c>
      <c r="E70">
        <f>VLOOKUP($A70,'ECOMMERS SALES'!$1:$500,MATCH('vlookup match'!E$1,ECOMMERS_SALES[#Headers],0))</f>
        <v>1</v>
      </c>
      <c r="F70">
        <f>VLOOKUP($A70,'ECOMMERS SALES'!$1:$500,MATCH('vlookup match'!F$1,ECOMMERS_SALES[#Headers],0))</f>
        <v>5629</v>
      </c>
      <c r="G70">
        <f>VLOOKUP($A70,'ECOMMERS SALES'!$1:$500,MATCH('vlookup match'!G$1,ECOMMERS_SALES[#Headers],0))</f>
        <v>5629</v>
      </c>
      <c r="H70" t="str">
        <f>VLOOKUP($A70,'ECOMMERS SALES'!$1:$500,MATCH('vlookup match'!H$1,ECOMMERS_SALES[#Headers],0))</f>
        <v>Bangalore</v>
      </c>
      <c r="I70" t="str">
        <f>VLOOKUP($A70,'ECOMMERS SALES'!$1:$500,MATCH('vlookup match'!I$1,ECOMMERS_SALES[#Headers],0))</f>
        <v>Premimum</v>
      </c>
      <c r="J70" t="str">
        <f>VLOOKUP($A70,'ECOMMERS SALES'!$1:$500,MATCH('vlookup match'!J$1,ECOMMERS_SALES[#Headers],0))</f>
        <v>UPI</v>
      </c>
    </row>
    <row r="71" spans="1:10" x14ac:dyDescent="0.35">
      <c r="A71">
        <v>1070</v>
      </c>
      <c r="B71" t="str">
        <f>VLOOKUP($A71,'ECOMMERS SALES'!$1:$500,MATCH('vlookup match'!B$1,ECOMMERS_SALES[#Headers],0))</f>
        <v>12-03-2025</v>
      </c>
      <c r="C71" t="str">
        <f>VLOOKUP($A71,'ECOMMERS SALES'!$1:$500,MATCH('vlookup match'!C$1,ECOMMERS_SALES[#Headers],0))</f>
        <v>Water Bottle</v>
      </c>
      <c r="D71" t="str">
        <f>VLOOKUP($A71,'ECOMMERS SALES'!$1:$500,MATCH('vlookup match'!D$1,ECOMMERS_SALES[#Headers],0))</f>
        <v>Other</v>
      </c>
      <c r="E71">
        <f>VLOOKUP($A71,'ECOMMERS SALES'!$1:$500,MATCH('vlookup match'!E$1,ECOMMERS_SALES[#Headers],0))</f>
        <v>3</v>
      </c>
      <c r="F71">
        <f>VLOOKUP($A71,'ECOMMERS SALES'!$1:$500,MATCH('vlookup match'!F$1,ECOMMERS_SALES[#Headers],0))</f>
        <v>579</v>
      </c>
      <c r="G71">
        <f>VLOOKUP($A71,'ECOMMERS SALES'!$1:$500,MATCH('vlookup match'!G$1,ECOMMERS_SALES[#Headers],0))</f>
        <v>1737</v>
      </c>
      <c r="H71" t="str">
        <f>VLOOKUP($A71,'ECOMMERS SALES'!$1:$500,MATCH('vlookup match'!H$1,ECOMMERS_SALES[#Headers],0))</f>
        <v>Delhi</v>
      </c>
      <c r="I71" t="str">
        <f>VLOOKUP($A71,'ECOMMERS SALES'!$1:$500,MATCH('vlookup match'!I$1,ECOMMERS_SALES[#Headers],0))</f>
        <v>Returning</v>
      </c>
      <c r="J71" t="str">
        <f>VLOOKUP($A71,'ECOMMERS SALES'!$1:$500,MATCH('vlookup match'!J$1,ECOMMERS_SALES[#Headers],0))</f>
        <v>Card</v>
      </c>
    </row>
    <row r="72" spans="1:10" x14ac:dyDescent="0.35">
      <c r="A72">
        <v>1071</v>
      </c>
      <c r="B72" t="str">
        <f>VLOOKUP($A72,'ECOMMERS SALES'!$1:$500,MATCH('vlookup match'!B$1,ECOMMERS_SALES[#Headers],0))</f>
        <v>13-03-2025</v>
      </c>
      <c r="C72" t="str">
        <f>VLOOKUP($A72,'ECOMMERS SALES'!$1:$500,MATCH('vlookup match'!C$1,ECOMMERS_SALES[#Headers],0))</f>
        <v>Laptop</v>
      </c>
      <c r="D72" t="str">
        <f>VLOOKUP($A72,'ECOMMERS SALES'!$1:$500,MATCH('vlookup match'!D$1,ECOMMERS_SALES[#Headers],0))</f>
        <v>Electronics</v>
      </c>
      <c r="E72">
        <f>VLOOKUP($A72,'ECOMMERS SALES'!$1:$500,MATCH('vlookup match'!E$1,ECOMMERS_SALES[#Headers],0))</f>
        <v>2</v>
      </c>
      <c r="F72">
        <f>VLOOKUP($A72,'ECOMMERS SALES'!$1:$500,MATCH('vlookup match'!F$1,ECOMMERS_SALES[#Headers],0))</f>
        <v>58940</v>
      </c>
      <c r="G72">
        <f>VLOOKUP($A72,'ECOMMERS SALES'!$1:$500,MATCH('vlookup match'!G$1,ECOMMERS_SALES[#Headers],0))</f>
        <v>117880</v>
      </c>
      <c r="H72" t="str">
        <f>VLOOKUP($A72,'ECOMMERS SALES'!$1:$500,MATCH('vlookup match'!H$1,ECOMMERS_SALES[#Headers],0))</f>
        <v>Pune</v>
      </c>
      <c r="I72" t="str">
        <f>VLOOKUP($A72,'ECOMMERS SALES'!$1:$500,MATCH('vlookup match'!I$1,ECOMMERS_SALES[#Headers],0))</f>
        <v>New</v>
      </c>
      <c r="J72" t="str">
        <f>VLOOKUP($A72,'ECOMMERS SALES'!$1:$500,MATCH('vlookup match'!J$1,ECOMMERS_SALES[#Headers],0))</f>
        <v>Card</v>
      </c>
    </row>
    <row r="73" spans="1:10" x14ac:dyDescent="0.35">
      <c r="A73">
        <v>1072</v>
      </c>
      <c r="B73" t="str">
        <f>VLOOKUP($A73,'ECOMMERS SALES'!$1:$500,MATCH('vlookup match'!B$1,ECOMMERS_SALES[#Headers],0))</f>
        <v>14-03-2025</v>
      </c>
      <c r="C73" t="str">
        <f>VLOOKUP($A73,'ECOMMERS SALES'!$1:$500,MATCH('vlookup match'!C$1,ECOMMERS_SALES[#Headers],0))</f>
        <v>Headphones</v>
      </c>
      <c r="D73" t="str">
        <f>VLOOKUP($A73,'ECOMMERS SALES'!$1:$500,MATCH('vlookup match'!D$1,ECOMMERS_SALES[#Headers],0))</f>
        <v>Electronics</v>
      </c>
      <c r="E73">
        <f>VLOOKUP($A73,'ECOMMERS SALES'!$1:$500,MATCH('vlookup match'!E$1,ECOMMERS_SALES[#Headers],0))</f>
        <v>1</v>
      </c>
      <c r="F73">
        <f>VLOOKUP($A73,'ECOMMERS SALES'!$1:$500,MATCH('vlookup match'!F$1,ECOMMERS_SALES[#Headers],0))</f>
        <v>3615</v>
      </c>
      <c r="G73">
        <f>VLOOKUP($A73,'ECOMMERS SALES'!$1:$500,MATCH('vlookup match'!G$1,ECOMMERS_SALES[#Headers],0))</f>
        <v>3615</v>
      </c>
      <c r="H73" t="str">
        <f>VLOOKUP($A73,'ECOMMERS SALES'!$1:$500,MATCH('vlookup match'!H$1,ECOMMERS_SALES[#Headers],0))</f>
        <v>Pune</v>
      </c>
      <c r="I73" t="str">
        <f>VLOOKUP($A73,'ECOMMERS SALES'!$1:$500,MATCH('vlookup match'!I$1,ECOMMERS_SALES[#Headers],0))</f>
        <v>New</v>
      </c>
      <c r="J73" t="str">
        <f>VLOOKUP($A73,'ECOMMERS SALES'!$1:$500,MATCH('vlookup match'!J$1,ECOMMERS_SALES[#Headers],0))</f>
        <v>UPI</v>
      </c>
    </row>
    <row r="74" spans="1:10" x14ac:dyDescent="0.35">
      <c r="A74">
        <v>1073</v>
      </c>
      <c r="B74" t="str">
        <f>VLOOKUP($A74,'ECOMMERS SALES'!$1:$500,MATCH('vlookup match'!B$1,ECOMMERS_SALES[#Headers],0))</f>
        <v>15-03-2025</v>
      </c>
      <c r="C74" t="str">
        <f>VLOOKUP($A74,'ECOMMERS SALES'!$1:$500,MATCH('vlookup match'!C$1,ECOMMERS_SALES[#Headers],0))</f>
        <v>Shoes</v>
      </c>
      <c r="D74" t="str">
        <f>VLOOKUP($A74,'ECOMMERS SALES'!$1:$500,MATCH('vlookup match'!D$1,ECOMMERS_SALES[#Headers],0))</f>
        <v>Fashion</v>
      </c>
      <c r="E74">
        <f>VLOOKUP($A74,'ECOMMERS SALES'!$1:$500,MATCH('vlookup match'!E$1,ECOMMERS_SALES[#Headers],0))</f>
        <v>3</v>
      </c>
      <c r="F74">
        <f>VLOOKUP($A74,'ECOMMERS SALES'!$1:$500,MATCH('vlookup match'!F$1,ECOMMERS_SALES[#Headers],0))</f>
        <v>3472</v>
      </c>
      <c r="G74">
        <f>VLOOKUP($A74,'ECOMMERS SALES'!$1:$500,MATCH('vlookup match'!G$1,ECOMMERS_SALES[#Headers],0))</f>
        <v>10416</v>
      </c>
      <c r="H74" t="str">
        <f>VLOOKUP($A74,'ECOMMERS SALES'!$1:$500,MATCH('vlookup match'!H$1,ECOMMERS_SALES[#Headers],0))</f>
        <v>Delhi</v>
      </c>
      <c r="I74" t="str">
        <f>VLOOKUP($A74,'ECOMMERS SALES'!$1:$500,MATCH('vlookup match'!I$1,ECOMMERS_SALES[#Headers],0))</f>
        <v>Premimum</v>
      </c>
      <c r="J74" t="str">
        <f>VLOOKUP($A74,'ECOMMERS SALES'!$1:$500,MATCH('vlookup match'!J$1,ECOMMERS_SALES[#Headers],0))</f>
        <v>COD</v>
      </c>
    </row>
    <row r="75" spans="1:10" x14ac:dyDescent="0.35">
      <c r="A75">
        <v>1074</v>
      </c>
      <c r="B75" t="str">
        <f>VLOOKUP($A75,'ECOMMERS SALES'!$1:$500,MATCH('vlookup match'!B$1,ECOMMERS_SALES[#Headers],0))</f>
        <v>16-03-2025</v>
      </c>
      <c r="C75" t="str">
        <f>VLOOKUP($A75,'ECOMMERS SALES'!$1:$500,MATCH('vlookup match'!C$1,ECOMMERS_SALES[#Headers],0))</f>
        <v>Watch</v>
      </c>
      <c r="D75" t="str">
        <f>VLOOKUP($A75,'ECOMMERS SALES'!$1:$500,MATCH('vlookup match'!D$1,ECOMMERS_SALES[#Headers],0))</f>
        <v>Other</v>
      </c>
      <c r="E75">
        <f>VLOOKUP($A75,'ECOMMERS SALES'!$1:$500,MATCH('vlookup match'!E$1,ECOMMERS_SALES[#Headers],0))</f>
        <v>1</v>
      </c>
      <c r="F75">
        <f>VLOOKUP($A75,'ECOMMERS SALES'!$1:$500,MATCH('vlookup match'!F$1,ECOMMERS_SALES[#Headers],0))</f>
        <v>2976</v>
      </c>
      <c r="G75">
        <f>VLOOKUP($A75,'ECOMMERS SALES'!$1:$500,MATCH('vlookup match'!G$1,ECOMMERS_SALES[#Headers],0))</f>
        <v>2976</v>
      </c>
      <c r="H75" t="str">
        <f>VLOOKUP($A75,'ECOMMERS SALES'!$1:$500,MATCH('vlookup match'!H$1,ECOMMERS_SALES[#Headers],0))</f>
        <v>Delhi</v>
      </c>
      <c r="I75" t="str">
        <f>VLOOKUP($A75,'ECOMMERS SALES'!$1:$500,MATCH('vlookup match'!I$1,ECOMMERS_SALES[#Headers],0))</f>
        <v>Returning</v>
      </c>
      <c r="J75" t="str">
        <f>VLOOKUP($A75,'ECOMMERS SALES'!$1:$500,MATCH('vlookup match'!J$1,ECOMMERS_SALES[#Headers],0))</f>
        <v>Card</v>
      </c>
    </row>
    <row r="76" spans="1:10" x14ac:dyDescent="0.35">
      <c r="A76">
        <v>1075</v>
      </c>
      <c r="B76" t="str">
        <f>VLOOKUP($A76,'ECOMMERS SALES'!$1:$500,MATCH('vlookup match'!B$1,ECOMMERS_SALES[#Headers],0))</f>
        <v>17-03-2025</v>
      </c>
      <c r="C76" t="str">
        <f>VLOOKUP($A76,'ECOMMERS SALES'!$1:$500,MATCH('vlookup match'!C$1,ECOMMERS_SALES[#Headers],0))</f>
        <v>Mobile Case</v>
      </c>
      <c r="D76" t="str">
        <f>VLOOKUP($A76,'ECOMMERS SALES'!$1:$500,MATCH('vlookup match'!D$1,ECOMMERS_SALES[#Headers],0))</f>
        <v>Other</v>
      </c>
      <c r="E76">
        <f>VLOOKUP($A76,'ECOMMERS SALES'!$1:$500,MATCH('vlookup match'!E$1,ECOMMERS_SALES[#Headers],0))</f>
        <v>3</v>
      </c>
      <c r="F76">
        <f>VLOOKUP($A76,'ECOMMERS SALES'!$1:$500,MATCH('vlookup match'!F$1,ECOMMERS_SALES[#Headers],0))</f>
        <v>359</v>
      </c>
      <c r="G76">
        <f>VLOOKUP($A76,'ECOMMERS SALES'!$1:$500,MATCH('vlookup match'!G$1,ECOMMERS_SALES[#Headers],0))</f>
        <v>1077</v>
      </c>
      <c r="H76" t="str">
        <f>VLOOKUP($A76,'ECOMMERS SALES'!$1:$500,MATCH('vlookup match'!H$1,ECOMMERS_SALES[#Headers],0))</f>
        <v>Bangalore</v>
      </c>
      <c r="I76" t="str">
        <f>VLOOKUP($A76,'ECOMMERS SALES'!$1:$500,MATCH('vlookup match'!I$1,ECOMMERS_SALES[#Headers],0))</f>
        <v>Premimum</v>
      </c>
      <c r="J76" t="str">
        <f>VLOOKUP($A76,'ECOMMERS SALES'!$1:$500,MATCH('vlookup match'!J$1,ECOMMERS_SALES[#Headers],0))</f>
        <v>Card</v>
      </c>
    </row>
    <row r="77" spans="1:10" x14ac:dyDescent="0.35">
      <c r="A77">
        <v>1076</v>
      </c>
      <c r="B77" t="str">
        <f>VLOOKUP($A77,'ECOMMERS SALES'!$1:$500,MATCH('vlookup match'!B$1,ECOMMERS_SALES[#Headers],0))</f>
        <v>18-03-2025</v>
      </c>
      <c r="C77" t="str">
        <f>VLOOKUP($A77,'ECOMMERS SALES'!$1:$500,MATCH('vlookup match'!C$1,ECOMMERS_SALES[#Headers],0))</f>
        <v>Tablet</v>
      </c>
      <c r="D77" t="str">
        <f>VLOOKUP($A77,'ECOMMERS SALES'!$1:$500,MATCH('vlookup match'!D$1,ECOMMERS_SALES[#Headers],0))</f>
        <v>Electronics</v>
      </c>
      <c r="E77">
        <f>VLOOKUP($A77,'ECOMMERS SALES'!$1:$500,MATCH('vlookup match'!E$1,ECOMMERS_SALES[#Headers],0))</f>
        <v>1</v>
      </c>
      <c r="F77">
        <f>VLOOKUP($A77,'ECOMMERS SALES'!$1:$500,MATCH('vlookup match'!F$1,ECOMMERS_SALES[#Headers],0))</f>
        <v>20775</v>
      </c>
      <c r="G77">
        <f>VLOOKUP($A77,'ECOMMERS SALES'!$1:$500,MATCH('vlookup match'!G$1,ECOMMERS_SALES[#Headers],0))</f>
        <v>20775</v>
      </c>
      <c r="H77" t="str">
        <f>VLOOKUP($A77,'ECOMMERS SALES'!$1:$500,MATCH('vlookup match'!H$1,ECOMMERS_SALES[#Headers],0))</f>
        <v>Bangalore</v>
      </c>
      <c r="I77" t="str">
        <f>VLOOKUP($A77,'ECOMMERS SALES'!$1:$500,MATCH('vlookup match'!I$1,ECOMMERS_SALES[#Headers],0))</f>
        <v>New</v>
      </c>
      <c r="J77" t="str">
        <f>VLOOKUP($A77,'ECOMMERS SALES'!$1:$500,MATCH('vlookup match'!J$1,ECOMMERS_SALES[#Headers],0))</f>
        <v>COD</v>
      </c>
    </row>
    <row r="78" spans="1:10" x14ac:dyDescent="0.35">
      <c r="A78">
        <v>1077</v>
      </c>
      <c r="B78" t="str">
        <f>VLOOKUP($A78,'ECOMMERS SALES'!$1:$500,MATCH('vlookup match'!B$1,ECOMMERS_SALES[#Headers],0))</f>
        <v>19-03-2025</v>
      </c>
      <c r="C78" t="str">
        <f>VLOOKUP($A78,'ECOMMERS SALES'!$1:$500,MATCH('vlookup match'!C$1,ECOMMERS_SALES[#Headers],0))</f>
        <v>Book</v>
      </c>
      <c r="D78" t="str">
        <f>VLOOKUP($A78,'ECOMMERS SALES'!$1:$500,MATCH('vlookup match'!D$1,ECOMMERS_SALES[#Headers],0))</f>
        <v>Books</v>
      </c>
      <c r="E78">
        <f>VLOOKUP($A78,'ECOMMERS SALES'!$1:$500,MATCH('vlookup match'!E$1,ECOMMERS_SALES[#Headers],0))</f>
        <v>4</v>
      </c>
      <c r="F78">
        <f>VLOOKUP($A78,'ECOMMERS SALES'!$1:$500,MATCH('vlookup match'!F$1,ECOMMERS_SALES[#Headers],0))</f>
        <v>920</v>
      </c>
      <c r="G78">
        <f>VLOOKUP($A78,'ECOMMERS SALES'!$1:$500,MATCH('vlookup match'!G$1,ECOMMERS_SALES[#Headers],0))</f>
        <v>3680</v>
      </c>
      <c r="H78" t="str">
        <f>VLOOKUP($A78,'ECOMMERS SALES'!$1:$500,MATCH('vlookup match'!H$1,ECOMMERS_SALES[#Headers],0))</f>
        <v>Delhi</v>
      </c>
      <c r="I78" t="str">
        <f>VLOOKUP($A78,'ECOMMERS SALES'!$1:$500,MATCH('vlookup match'!I$1,ECOMMERS_SALES[#Headers],0))</f>
        <v>New</v>
      </c>
      <c r="J78" t="str">
        <f>VLOOKUP($A78,'ECOMMERS SALES'!$1:$500,MATCH('vlookup match'!J$1,ECOMMERS_SALES[#Headers],0))</f>
        <v>Card</v>
      </c>
    </row>
    <row r="79" spans="1:10" x14ac:dyDescent="0.35">
      <c r="A79">
        <v>1078</v>
      </c>
      <c r="B79" t="str">
        <f>VLOOKUP($A79,'ECOMMERS SALES'!$1:$500,MATCH('vlookup match'!B$1,ECOMMERS_SALES[#Headers],0))</f>
        <v>20-03-2025</v>
      </c>
      <c r="C79" t="str">
        <f>VLOOKUP($A79,'ECOMMERS SALES'!$1:$500,MATCH('vlookup match'!C$1,ECOMMERS_SALES[#Headers],0))</f>
        <v>Backpack</v>
      </c>
      <c r="D79" t="str">
        <f>VLOOKUP($A79,'ECOMMERS SALES'!$1:$500,MATCH('vlookup match'!D$1,ECOMMERS_SALES[#Headers],0))</f>
        <v>Fashion</v>
      </c>
      <c r="E79">
        <f>VLOOKUP($A79,'ECOMMERS SALES'!$1:$500,MATCH('vlookup match'!E$1,ECOMMERS_SALES[#Headers],0))</f>
        <v>2</v>
      </c>
      <c r="F79">
        <f>VLOOKUP($A79,'ECOMMERS SALES'!$1:$500,MATCH('vlookup match'!F$1,ECOMMERS_SALES[#Headers],0))</f>
        <v>907</v>
      </c>
      <c r="G79">
        <f>VLOOKUP($A79,'ECOMMERS SALES'!$1:$500,MATCH('vlookup match'!G$1,ECOMMERS_SALES[#Headers],0))</f>
        <v>1814</v>
      </c>
      <c r="H79" t="str">
        <f>VLOOKUP($A79,'ECOMMERS SALES'!$1:$500,MATCH('vlookup match'!H$1,ECOMMERS_SALES[#Headers],0))</f>
        <v>Pune</v>
      </c>
      <c r="I79" t="str">
        <f>VLOOKUP($A79,'ECOMMERS SALES'!$1:$500,MATCH('vlookup match'!I$1,ECOMMERS_SALES[#Headers],0))</f>
        <v>Premimum</v>
      </c>
      <c r="J79" t="str">
        <f>VLOOKUP($A79,'ECOMMERS SALES'!$1:$500,MATCH('vlookup match'!J$1,ECOMMERS_SALES[#Headers],0))</f>
        <v>UPI</v>
      </c>
    </row>
    <row r="80" spans="1:10" x14ac:dyDescent="0.35">
      <c r="A80">
        <v>1079</v>
      </c>
      <c r="B80" t="str">
        <f>VLOOKUP($A80,'ECOMMERS SALES'!$1:$500,MATCH('vlookup match'!B$1,ECOMMERS_SALES[#Headers],0))</f>
        <v>21-03-2025</v>
      </c>
      <c r="C80" t="str">
        <f>VLOOKUP($A80,'ECOMMERS SALES'!$1:$500,MATCH('vlookup match'!C$1,ECOMMERS_SALES[#Headers],0))</f>
        <v>Smartwatch</v>
      </c>
      <c r="D80" t="str">
        <f>VLOOKUP($A80,'ECOMMERS SALES'!$1:$500,MATCH('vlookup match'!D$1,ECOMMERS_SALES[#Headers],0))</f>
        <v>Electronics</v>
      </c>
      <c r="E80">
        <f>VLOOKUP($A80,'ECOMMERS SALES'!$1:$500,MATCH('vlookup match'!E$1,ECOMMERS_SALES[#Headers],0))</f>
        <v>1</v>
      </c>
      <c r="F80">
        <f>VLOOKUP($A80,'ECOMMERS SALES'!$1:$500,MATCH('vlookup match'!F$1,ECOMMERS_SALES[#Headers],0))</f>
        <v>13388</v>
      </c>
      <c r="G80">
        <f>VLOOKUP($A80,'ECOMMERS SALES'!$1:$500,MATCH('vlookup match'!G$1,ECOMMERS_SALES[#Headers],0))</f>
        <v>13388</v>
      </c>
      <c r="H80" t="str">
        <f>VLOOKUP($A80,'ECOMMERS SALES'!$1:$500,MATCH('vlookup match'!H$1,ECOMMERS_SALES[#Headers],0))</f>
        <v>Pune</v>
      </c>
      <c r="I80" t="str">
        <f>VLOOKUP($A80,'ECOMMERS SALES'!$1:$500,MATCH('vlookup match'!I$1,ECOMMERS_SALES[#Headers],0))</f>
        <v>Returning</v>
      </c>
      <c r="J80" t="str">
        <f>VLOOKUP($A80,'ECOMMERS SALES'!$1:$500,MATCH('vlookup match'!J$1,ECOMMERS_SALES[#Headers],0))</f>
        <v>COD</v>
      </c>
    </row>
    <row r="81" spans="1:10" x14ac:dyDescent="0.35">
      <c r="A81">
        <v>1080</v>
      </c>
      <c r="B81" t="str">
        <f>VLOOKUP($A81,'ECOMMERS SALES'!$1:$500,MATCH('vlookup match'!B$1,ECOMMERS_SALES[#Headers],0))</f>
        <v>22-03-2025</v>
      </c>
      <c r="C81" t="str">
        <f>VLOOKUP($A81,'ECOMMERS SALES'!$1:$500,MATCH('vlookup match'!C$1,ECOMMERS_SALES[#Headers],0))</f>
        <v>Water Bottle</v>
      </c>
      <c r="D81" t="str">
        <f>VLOOKUP($A81,'ECOMMERS SALES'!$1:$500,MATCH('vlookup match'!D$1,ECOMMERS_SALES[#Headers],0))</f>
        <v>Other</v>
      </c>
      <c r="E81">
        <f>VLOOKUP($A81,'ECOMMERS SALES'!$1:$500,MATCH('vlookup match'!E$1,ECOMMERS_SALES[#Headers],0))</f>
        <v>2</v>
      </c>
      <c r="F81">
        <f>VLOOKUP($A81,'ECOMMERS SALES'!$1:$500,MATCH('vlookup match'!F$1,ECOMMERS_SALES[#Headers],0))</f>
        <v>372</v>
      </c>
      <c r="G81">
        <f>VLOOKUP($A81,'ECOMMERS SALES'!$1:$500,MATCH('vlookup match'!G$1,ECOMMERS_SALES[#Headers],0))</f>
        <v>744</v>
      </c>
      <c r="H81" t="str">
        <f>VLOOKUP($A81,'ECOMMERS SALES'!$1:$500,MATCH('vlookup match'!H$1,ECOMMERS_SALES[#Headers],0))</f>
        <v>Hyderabad</v>
      </c>
      <c r="I81" t="str">
        <f>VLOOKUP($A81,'ECOMMERS SALES'!$1:$500,MATCH('vlookup match'!I$1,ECOMMERS_SALES[#Headers],0))</f>
        <v>New</v>
      </c>
      <c r="J81" t="str">
        <f>VLOOKUP($A81,'ECOMMERS SALES'!$1:$500,MATCH('vlookup match'!J$1,ECOMMERS_SALES[#Headers],0))</f>
        <v>UPI</v>
      </c>
    </row>
    <row r="82" spans="1:10" x14ac:dyDescent="0.35">
      <c r="A82">
        <v>1081</v>
      </c>
      <c r="B82" t="str">
        <f>VLOOKUP($A82,'ECOMMERS SALES'!$1:$500,MATCH('vlookup match'!B$1,ECOMMERS_SALES[#Headers],0))</f>
        <v>23-03-2025</v>
      </c>
      <c r="C82" t="str">
        <f>VLOOKUP($A82,'ECOMMERS SALES'!$1:$500,MATCH('vlookup match'!C$1,ECOMMERS_SALES[#Headers],0))</f>
        <v>Laptop</v>
      </c>
      <c r="D82" t="str">
        <f>VLOOKUP($A82,'ECOMMERS SALES'!$1:$500,MATCH('vlookup match'!D$1,ECOMMERS_SALES[#Headers],0))</f>
        <v>Electronics</v>
      </c>
      <c r="E82">
        <f>VLOOKUP($A82,'ECOMMERS SALES'!$1:$500,MATCH('vlookup match'!E$1,ECOMMERS_SALES[#Headers],0))</f>
        <v>1</v>
      </c>
      <c r="F82">
        <f>VLOOKUP($A82,'ECOMMERS SALES'!$1:$500,MATCH('vlookup match'!F$1,ECOMMERS_SALES[#Headers],0))</f>
        <v>44531</v>
      </c>
      <c r="G82">
        <f>VLOOKUP($A82,'ECOMMERS SALES'!$1:$500,MATCH('vlookup match'!G$1,ECOMMERS_SALES[#Headers],0))</f>
        <v>44531</v>
      </c>
      <c r="H82" t="str">
        <f>VLOOKUP($A82,'ECOMMERS SALES'!$1:$500,MATCH('vlookup match'!H$1,ECOMMERS_SALES[#Headers],0))</f>
        <v>Delhi</v>
      </c>
      <c r="I82" t="str">
        <f>VLOOKUP($A82,'ECOMMERS SALES'!$1:$500,MATCH('vlookup match'!I$1,ECOMMERS_SALES[#Headers],0))</f>
        <v>Premimum</v>
      </c>
      <c r="J82" t="str">
        <f>VLOOKUP($A82,'ECOMMERS SALES'!$1:$500,MATCH('vlookup match'!J$1,ECOMMERS_SALES[#Headers],0))</f>
        <v>COD</v>
      </c>
    </row>
    <row r="83" spans="1:10" x14ac:dyDescent="0.35">
      <c r="A83">
        <v>1082</v>
      </c>
      <c r="B83" t="str">
        <f>VLOOKUP($A83,'ECOMMERS SALES'!$1:$500,MATCH('vlookup match'!B$1,ECOMMERS_SALES[#Headers],0))</f>
        <v>24-03-2025</v>
      </c>
      <c r="C83" t="str">
        <f>VLOOKUP($A83,'ECOMMERS SALES'!$1:$500,MATCH('vlookup match'!C$1,ECOMMERS_SALES[#Headers],0))</f>
        <v>Headphones</v>
      </c>
      <c r="D83" t="str">
        <f>VLOOKUP($A83,'ECOMMERS SALES'!$1:$500,MATCH('vlookup match'!D$1,ECOMMERS_SALES[#Headers],0))</f>
        <v>Electronics</v>
      </c>
      <c r="E83">
        <f>VLOOKUP($A83,'ECOMMERS SALES'!$1:$500,MATCH('vlookup match'!E$1,ECOMMERS_SALES[#Headers],0))</f>
        <v>2</v>
      </c>
      <c r="F83">
        <f>VLOOKUP($A83,'ECOMMERS SALES'!$1:$500,MATCH('vlookup match'!F$1,ECOMMERS_SALES[#Headers],0))</f>
        <v>1963</v>
      </c>
      <c r="G83">
        <f>VLOOKUP($A83,'ECOMMERS SALES'!$1:$500,MATCH('vlookup match'!G$1,ECOMMERS_SALES[#Headers],0))</f>
        <v>3926</v>
      </c>
      <c r="H83" t="str">
        <f>VLOOKUP($A83,'ECOMMERS SALES'!$1:$500,MATCH('vlookup match'!H$1,ECOMMERS_SALES[#Headers],0))</f>
        <v>Hyderabad</v>
      </c>
      <c r="I83" t="str">
        <f>VLOOKUP($A83,'ECOMMERS SALES'!$1:$500,MATCH('vlookup match'!I$1,ECOMMERS_SALES[#Headers],0))</f>
        <v>Premimum</v>
      </c>
      <c r="J83" t="str">
        <f>VLOOKUP($A83,'ECOMMERS SALES'!$1:$500,MATCH('vlookup match'!J$1,ECOMMERS_SALES[#Headers],0))</f>
        <v>Card</v>
      </c>
    </row>
    <row r="84" spans="1:10" x14ac:dyDescent="0.35">
      <c r="A84">
        <v>1083</v>
      </c>
      <c r="B84" t="str">
        <f>VLOOKUP($A84,'ECOMMERS SALES'!$1:$500,MATCH('vlookup match'!B$1,ECOMMERS_SALES[#Headers],0))</f>
        <v>25-03-2025</v>
      </c>
      <c r="C84" t="str">
        <f>VLOOKUP($A84,'ECOMMERS SALES'!$1:$500,MATCH('vlookup match'!C$1,ECOMMERS_SALES[#Headers],0))</f>
        <v>Shoes</v>
      </c>
      <c r="D84" t="str">
        <f>VLOOKUP($A84,'ECOMMERS SALES'!$1:$500,MATCH('vlookup match'!D$1,ECOMMERS_SALES[#Headers],0))</f>
        <v>Fashion</v>
      </c>
      <c r="E84">
        <f>VLOOKUP($A84,'ECOMMERS SALES'!$1:$500,MATCH('vlookup match'!E$1,ECOMMERS_SALES[#Headers],0))</f>
        <v>1</v>
      </c>
      <c r="F84">
        <f>VLOOKUP($A84,'ECOMMERS SALES'!$1:$500,MATCH('vlookup match'!F$1,ECOMMERS_SALES[#Headers],0))</f>
        <v>2483</v>
      </c>
      <c r="G84">
        <f>VLOOKUP($A84,'ECOMMERS SALES'!$1:$500,MATCH('vlookup match'!G$1,ECOMMERS_SALES[#Headers],0))</f>
        <v>2483</v>
      </c>
      <c r="H84" t="str">
        <f>VLOOKUP($A84,'ECOMMERS SALES'!$1:$500,MATCH('vlookup match'!H$1,ECOMMERS_SALES[#Headers],0))</f>
        <v>Pune</v>
      </c>
      <c r="I84" t="str">
        <f>VLOOKUP($A84,'ECOMMERS SALES'!$1:$500,MATCH('vlookup match'!I$1,ECOMMERS_SALES[#Headers],0))</f>
        <v>New</v>
      </c>
      <c r="J84" t="str">
        <f>VLOOKUP($A84,'ECOMMERS SALES'!$1:$500,MATCH('vlookup match'!J$1,ECOMMERS_SALES[#Headers],0))</f>
        <v>Card</v>
      </c>
    </row>
    <row r="85" spans="1:10" x14ac:dyDescent="0.35">
      <c r="A85">
        <v>1084</v>
      </c>
      <c r="B85" t="str">
        <f>VLOOKUP($A85,'ECOMMERS SALES'!$1:$500,MATCH('vlookup match'!B$1,ECOMMERS_SALES[#Headers],0))</f>
        <v>26-03-2025</v>
      </c>
      <c r="C85" t="str">
        <f>VLOOKUP($A85,'ECOMMERS SALES'!$1:$500,MATCH('vlookup match'!C$1,ECOMMERS_SALES[#Headers],0))</f>
        <v>Watch</v>
      </c>
      <c r="D85" t="str">
        <f>VLOOKUP($A85,'ECOMMERS SALES'!$1:$500,MATCH('vlookup match'!D$1,ECOMMERS_SALES[#Headers],0))</f>
        <v>Other</v>
      </c>
      <c r="E85">
        <f>VLOOKUP($A85,'ECOMMERS SALES'!$1:$500,MATCH('vlookup match'!E$1,ECOMMERS_SALES[#Headers],0))</f>
        <v>5</v>
      </c>
      <c r="F85">
        <f>VLOOKUP($A85,'ECOMMERS SALES'!$1:$500,MATCH('vlookup match'!F$1,ECOMMERS_SALES[#Headers],0))</f>
        <v>18677</v>
      </c>
      <c r="G85">
        <f>VLOOKUP($A85,'ECOMMERS SALES'!$1:$500,MATCH('vlookup match'!G$1,ECOMMERS_SALES[#Headers],0))</f>
        <v>93385</v>
      </c>
      <c r="H85" t="str">
        <f>VLOOKUP($A85,'ECOMMERS SALES'!$1:$500,MATCH('vlookup match'!H$1,ECOMMERS_SALES[#Headers],0))</f>
        <v>Mumbai</v>
      </c>
      <c r="I85" t="str">
        <f>VLOOKUP($A85,'ECOMMERS SALES'!$1:$500,MATCH('vlookup match'!I$1,ECOMMERS_SALES[#Headers],0))</f>
        <v>New</v>
      </c>
      <c r="J85" t="str">
        <f>VLOOKUP($A85,'ECOMMERS SALES'!$1:$500,MATCH('vlookup match'!J$1,ECOMMERS_SALES[#Headers],0))</f>
        <v>COD</v>
      </c>
    </row>
    <row r="86" spans="1:10" x14ac:dyDescent="0.35">
      <c r="A86">
        <v>1085</v>
      </c>
      <c r="B86" t="str">
        <f>VLOOKUP($A86,'ECOMMERS SALES'!$1:$500,MATCH('vlookup match'!B$1,ECOMMERS_SALES[#Headers],0))</f>
        <v>27-03-2025</v>
      </c>
      <c r="C86" t="str">
        <f>VLOOKUP($A86,'ECOMMERS SALES'!$1:$500,MATCH('vlookup match'!C$1,ECOMMERS_SALES[#Headers],0))</f>
        <v>Mobile Case</v>
      </c>
      <c r="D86" t="str">
        <f>VLOOKUP($A86,'ECOMMERS SALES'!$1:$500,MATCH('vlookup match'!D$1,ECOMMERS_SALES[#Headers],0))</f>
        <v>Other</v>
      </c>
      <c r="E86">
        <f>VLOOKUP($A86,'ECOMMERS SALES'!$1:$500,MATCH('vlookup match'!E$1,ECOMMERS_SALES[#Headers],0))</f>
        <v>1</v>
      </c>
      <c r="F86">
        <f>VLOOKUP($A86,'ECOMMERS SALES'!$1:$500,MATCH('vlookup match'!F$1,ECOMMERS_SALES[#Headers],0))</f>
        <v>583</v>
      </c>
      <c r="G86">
        <f>VLOOKUP($A86,'ECOMMERS SALES'!$1:$500,MATCH('vlookup match'!G$1,ECOMMERS_SALES[#Headers],0))</f>
        <v>583</v>
      </c>
      <c r="H86" t="str">
        <f>VLOOKUP($A86,'ECOMMERS SALES'!$1:$500,MATCH('vlookup match'!H$1,ECOMMERS_SALES[#Headers],0))</f>
        <v>Pune</v>
      </c>
      <c r="I86" t="str">
        <f>VLOOKUP($A86,'ECOMMERS SALES'!$1:$500,MATCH('vlookup match'!I$1,ECOMMERS_SALES[#Headers],0))</f>
        <v>New</v>
      </c>
      <c r="J86" t="str">
        <f>VLOOKUP($A86,'ECOMMERS SALES'!$1:$500,MATCH('vlookup match'!J$1,ECOMMERS_SALES[#Headers],0))</f>
        <v>Card</v>
      </c>
    </row>
    <row r="87" spans="1:10" x14ac:dyDescent="0.35">
      <c r="A87">
        <v>1086</v>
      </c>
      <c r="B87" t="str">
        <f>VLOOKUP($A87,'ECOMMERS SALES'!$1:$500,MATCH('vlookup match'!B$1,ECOMMERS_SALES[#Headers],0))</f>
        <v>28-03-2025</v>
      </c>
      <c r="C87" t="str">
        <f>VLOOKUP($A87,'ECOMMERS SALES'!$1:$500,MATCH('vlookup match'!C$1,ECOMMERS_SALES[#Headers],0))</f>
        <v>Tablet</v>
      </c>
      <c r="D87" t="str">
        <f>VLOOKUP($A87,'ECOMMERS SALES'!$1:$500,MATCH('vlookup match'!D$1,ECOMMERS_SALES[#Headers],0))</f>
        <v>Electronics</v>
      </c>
      <c r="E87">
        <f>VLOOKUP($A87,'ECOMMERS SALES'!$1:$500,MATCH('vlookup match'!E$1,ECOMMERS_SALES[#Headers],0))</f>
        <v>1</v>
      </c>
      <c r="F87">
        <f>VLOOKUP($A87,'ECOMMERS SALES'!$1:$500,MATCH('vlookup match'!F$1,ECOMMERS_SALES[#Headers],0))</f>
        <v>34775</v>
      </c>
      <c r="G87">
        <f>VLOOKUP($A87,'ECOMMERS SALES'!$1:$500,MATCH('vlookup match'!G$1,ECOMMERS_SALES[#Headers],0))</f>
        <v>34775</v>
      </c>
      <c r="H87" t="str">
        <f>VLOOKUP($A87,'ECOMMERS SALES'!$1:$500,MATCH('vlookup match'!H$1,ECOMMERS_SALES[#Headers],0))</f>
        <v>Pune</v>
      </c>
      <c r="I87" t="str">
        <f>VLOOKUP($A87,'ECOMMERS SALES'!$1:$500,MATCH('vlookup match'!I$1,ECOMMERS_SALES[#Headers],0))</f>
        <v>Returning</v>
      </c>
      <c r="J87" t="str">
        <f>VLOOKUP($A87,'ECOMMERS SALES'!$1:$500,MATCH('vlookup match'!J$1,ECOMMERS_SALES[#Headers],0))</f>
        <v>Card</v>
      </c>
    </row>
    <row r="88" spans="1:10" x14ac:dyDescent="0.35">
      <c r="A88">
        <v>1087</v>
      </c>
      <c r="B88" t="str">
        <f>VLOOKUP($A88,'ECOMMERS SALES'!$1:$500,MATCH('vlookup match'!B$1,ECOMMERS_SALES[#Headers],0))</f>
        <v>29-03-2025</v>
      </c>
      <c r="C88" t="str">
        <f>VLOOKUP($A88,'ECOMMERS SALES'!$1:$500,MATCH('vlookup match'!C$1,ECOMMERS_SALES[#Headers],0))</f>
        <v>Book</v>
      </c>
      <c r="D88" t="str">
        <f>VLOOKUP($A88,'ECOMMERS SALES'!$1:$500,MATCH('vlookup match'!D$1,ECOMMERS_SALES[#Headers],0))</f>
        <v>Books</v>
      </c>
      <c r="E88">
        <f>VLOOKUP($A88,'ECOMMERS SALES'!$1:$500,MATCH('vlookup match'!E$1,ECOMMERS_SALES[#Headers],0))</f>
        <v>3</v>
      </c>
      <c r="F88">
        <f>VLOOKUP($A88,'ECOMMERS SALES'!$1:$500,MATCH('vlookup match'!F$1,ECOMMERS_SALES[#Headers],0))</f>
        <v>635</v>
      </c>
      <c r="G88">
        <f>VLOOKUP($A88,'ECOMMERS SALES'!$1:$500,MATCH('vlookup match'!G$1,ECOMMERS_SALES[#Headers],0))</f>
        <v>1905</v>
      </c>
      <c r="H88" t="str">
        <f>VLOOKUP($A88,'ECOMMERS SALES'!$1:$500,MATCH('vlookup match'!H$1,ECOMMERS_SALES[#Headers],0))</f>
        <v>Pune</v>
      </c>
      <c r="I88" t="str">
        <f>VLOOKUP($A88,'ECOMMERS SALES'!$1:$500,MATCH('vlookup match'!I$1,ECOMMERS_SALES[#Headers],0))</f>
        <v>New</v>
      </c>
      <c r="J88" t="str">
        <f>VLOOKUP($A88,'ECOMMERS SALES'!$1:$500,MATCH('vlookup match'!J$1,ECOMMERS_SALES[#Headers],0))</f>
        <v>Card</v>
      </c>
    </row>
    <row r="89" spans="1:10" x14ac:dyDescent="0.35">
      <c r="A89">
        <v>1088</v>
      </c>
      <c r="B89" t="str">
        <f>VLOOKUP($A89,'ECOMMERS SALES'!$1:$500,MATCH('vlookup match'!B$1,ECOMMERS_SALES[#Headers],0))</f>
        <v>30-03-2025</v>
      </c>
      <c r="C89" t="str">
        <f>VLOOKUP($A89,'ECOMMERS SALES'!$1:$500,MATCH('vlookup match'!C$1,ECOMMERS_SALES[#Headers],0))</f>
        <v>Backpack</v>
      </c>
      <c r="D89" t="str">
        <f>VLOOKUP($A89,'ECOMMERS SALES'!$1:$500,MATCH('vlookup match'!D$1,ECOMMERS_SALES[#Headers],0))</f>
        <v>Fashion</v>
      </c>
      <c r="E89">
        <f>VLOOKUP($A89,'ECOMMERS SALES'!$1:$500,MATCH('vlookup match'!E$1,ECOMMERS_SALES[#Headers],0))</f>
        <v>5</v>
      </c>
      <c r="F89">
        <f>VLOOKUP($A89,'ECOMMERS SALES'!$1:$500,MATCH('vlookup match'!F$1,ECOMMERS_SALES[#Headers],0))</f>
        <v>527</v>
      </c>
      <c r="G89">
        <f>VLOOKUP($A89,'ECOMMERS SALES'!$1:$500,MATCH('vlookup match'!G$1,ECOMMERS_SALES[#Headers],0))</f>
        <v>2635</v>
      </c>
      <c r="H89" t="str">
        <f>VLOOKUP($A89,'ECOMMERS SALES'!$1:$500,MATCH('vlookup match'!H$1,ECOMMERS_SALES[#Headers],0))</f>
        <v>Pune</v>
      </c>
      <c r="I89" t="str">
        <f>VLOOKUP($A89,'ECOMMERS SALES'!$1:$500,MATCH('vlookup match'!I$1,ECOMMERS_SALES[#Headers],0))</f>
        <v>Returning</v>
      </c>
      <c r="J89" t="str">
        <f>VLOOKUP($A89,'ECOMMERS SALES'!$1:$500,MATCH('vlookup match'!J$1,ECOMMERS_SALES[#Headers],0))</f>
        <v>COD</v>
      </c>
    </row>
    <row r="90" spans="1:10" x14ac:dyDescent="0.35">
      <c r="A90">
        <v>1089</v>
      </c>
      <c r="B90" t="str">
        <f>VLOOKUP($A90,'ECOMMERS SALES'!$1:$500,MATCH('vlookup match'!B$1,ECOMMERS_SALES[#Headers],0))</f>
        <v>31-03-2025</v>
      </c>
      <c r="C90" t="str">
        <f>VLOOKUP($A90,'ECOMMERS SALES'!$1:$500,MATCH('vlookup match'!C$1,ECOMMERS_SALES[#Headers],0))</f>
        <v>Smartwatch</v>
      </c>
      <c r="D90" t="str">
        <f>VLOOKUP($A90,'ECOMMERS SALES'!$1:$500,MATCH('vlookup match'!D$1,ECOMMERS_SALES[#Headers],0))</f>
        <v>Electronics</v>
      </c>
      <c r="E90">
        <f>VLOOKUP($A90,'ECOMMERS SALES'!$1:$500,MATCH('vlookup match'!E$1,ECOMMERS_SALES[#Headers],0))</f>
        <v>2</v>
      </c>
      <c r="F90">
        <f>VLOOKUP($A90,'ECOMMERS SALES'!$1:$500,MATCH('vlookup match'!F$1,ECOMMERS_SALES[#Headers],0))</f>
        <v>3327</v>
      </c>
      <c r="G90">
        <f>VLOOKUP($A90,'ECOMMERS SALES'!$1:$500,MATCH('vlookup match'!G$1,ECOMMERS_SALES[#Headers],0))</f>
        <v>6654</v>
      </c>
      <c r="H90" t="str">
        <f>VLOOKUP($A90,'ECOMMERS SALES'!$1:$500,MATCH('vlookup match'!H$1,ECOMMERS_SALES[#Headers],0))</f>
        <v>Mumbai</v>
      </c>
      <c r="I90" t="str">
        <f>VLOOKUP($A90,'ECOMMERS SALES'!$1:$500,MATCH('vlookup match'!I$1,ECOMMERS_SALES[#Headers],0))</f>
        <v>Returning</v>
      </c>
      <c r="J90" t="str">
        <f>VLOOKUP($A90,'ECOMMERS SALES'!$1:$500,MATCH('vlookup match'!J$1,ECOMMERS_SALES[#Headers],0))</f>
        <v>COD</v>
      </c>
    </row>
    <row r="91" spans="1:10" x14ac:dyDescent="0.35">
      <c r="A91">
        <v>1090</v>
      </c>
      <c r="B91" t="str">
        <f>VLOOKUP($A91,'ECOMMERS SALES'!$1:$500,MATCH('vlookup match'!B$1,ECOMMERS_SALES[#Headers],0))</f>
        <v>01-04-2025</v>
      </c>
      <c r="C91" t="str">
        <f>VLOOKUP($A91,'ECOMMERS SALES'!$1:$500,MATCH('vlookup match'!C$1,ECOMMERS_SALES[#Headers],0))</f>
        <v>Water Bottle</v>
      </c>
      <c r="D91" t="str">
        <f>VLOOKUP($A91,'ECOMMERS SALES'!$1:$500,MATCH('vlookup match'!D$1,ECOMMERS_SALES[#Headers],0))</f>
        <v>Other</v>
      </c>
      <c r="E91">
        <f>VLOOKUP($A91,'ECOMMERS SALES'!$1:$500,MATCH('vlookup match'!E$1,ECOMMERS_SALES[#Headers],0))</f>
        <v>1</v>
      </c>
      <c r="F91">
        <f>VLOOKUP($A91,'ECOMMERS SALES'!$1:$500,MATCH('vlookup match'!F$1,ECOMMERS_SALES[#Headers],0))</f>
        <v>383</v>
      </c>
      <c r="G91">
        <f>VLOOKUP($A91,'ECOMMERS SALES'!$1:$500,MATCH('vlookup match'!G$1,ECOMMERS_SALES[#Headers],0))</f>
        <v>383</v>
      </c>
      <c r="H91" t="str">
        <f>VLOOKUP($A91,'ECOMMERS SALES'!$1:$500,MATCH('vlookup match'!H$1,ECOMMERS_SALES[#Headers],0))</f>
        <v>Hyderabad</v>
      </c>
      <c r="I91" t="str">
        <f>VLOOKUP($A91,'ECOMMERS SALES'!$1:$500,MATCH('vlookup match'!I$1,ECOMMERS_SALES[#Headers],0))</f>
        <v>New</v>
      </c>
      <c r="J91" t="str">
        <f>VLOOKUP($A91,'ECOMMERS SALES'!$1:$500,MATCH('vlookup match'!J$1,ECOMMERS_SALES[#Headers],0))</f>
        <v>UPI</v>
      </c>
    </row>
    <row r="92" spans="1:10" x14ac:dyDescent="0.35">
      <c r="A92">
        <v>1091</v>
      </c>
      <c r="B92" t="str">
        <f>VLOOKUP($A92,'ECOMMERS SALES'!$1:$500,MATCH('vlookup match'!B$1,ECOMMERS_SALES[#Headers],0))</f>
        <v>02-04-2025</v>
      </c>
      <c r="C92" t="str">
        <f>VLOOKUP($A92,'ECOMMERS SALES'!$1:$500,MATCH('vlookup match'!C$1,ECOMMERS_SALES[#Headers],0))</f>
        <v>Laptop</v>
      </c>
      <c r="D92" t="str">
        <f>VLOOKUP($A92,'ECOMMERS SALES'!$1:$500,MATCH('vlookup match'!D$1,ECOMMERS_SALES[#Headers],0))</f>
        <v>Electronics</v>
      </c>
      <c r="E92">
        <f>VLOOKUP($A92,'ECOMMERS SALES'!$1:$500,MATCH('vlookup match'!E$1,ECOMMERS_SALES[#Headers],0))</f>
        <v>1</v>
      </c>
      <c r="F92">
        <f>VLOOKUP($A92,'ECOMMERS SALES'!$1:$500,MATCH('vlookup match'!F$1,ECOMMERS_SALES[#Headers],0))</f>
        <v>61156</v>
      </c>
      <c r="G92">
        <f>VLOOKUP($A92,'ECOMMERS SALES'!$1:$500,MATCH('vlookup match'!G$1,ECOMMERS_SALES[#Headers],0))</f>
        <v>61156</v>
      </c>
      <c r="H92" t="str">
        <f>VLOOKUP($A92,'ECOMMERS SALES'!$1:$500,MATCH('vlookup match'!H$1,ECOMMERS_SALES[#Headers],0))</f>
        <v>Chennai</v>
      </c>
      <c r="I92" t="str">
        <f>VLOOKUP($A92,'ECOMMERS SALES'!$1:$500,MATCH('vlookup match'!I$1,ECOMMERS_SALES[#Headers],0))</f>
        <v>Premimum</v>
      </c>
      <c r="J92" t="str">
        <f>VLOOKUP($A92,'ECOMMERS SALES'!$1:$500,MATCH('vlookup match'!J$1,ECOMMERS_SALES[#Headers],0))</f>
        <v>UPI</v>
      </c>
    </row>
    <row r="93" spans="1:10" x14ac:dyDescent="0.35">
      <c r="A93">
        <v>1092</v>
      </c>
      <c r="B93" t="str">
        <f>VLOOKUP($A93,'ECOMMERS SALES'!$1:$500,MATCH('vlookup match'!B$1,ECOMMERS_SALES[#Headers],0))</f>
        <v>03-04-2025</v>
      </c>
      <c r="C93" t="str">
        <f>VLOOKUP($A93,'ECOMMERS SALES'!$1:$500,MATCH('vlookup match'!C$1,ECOMMERS_SALES[#Headers],0))</f>
        <v>Headphones</v>
      </c>
      <c r="D93" t="str">
        <f>VLOOKUP($A93,'ECOMMERS SALES'!$1:$500,MATCH('vlookup match'!D$1,ECOMMERS_SALES[#Headers],0))</f>
        <v>Electronics</v>
      </c>
      <c r="E93">
        <f>VLOOKUP($A93,'ECOMMERS SALES'!$1:$500,MATCH('vlookup match'!E$1,ECOMMERS_SALES[#Headers],0))</f>
        <v>1</v>
      </c>
      <c r="F93">
        <f>VLOOKUP($A93,'ECOMMERS SALES'!$1:$500,MATCH('vlookup match'!F$1,ECOMMERS_SALES[#Headers],0))</f>
        <v>3607</v>
      </c>
      <c r="G93">
        <f>VLOOKUP($A93,'ECOMMERS SALES'!$1:$500,MATCH('vlookup match'!G$1,ECOMMERS_SALES[#Headers],0))</f>
        <v>3607</v>
      </c>
      <c r="H93" t="str">
        <f>VLOOKUP($A93,'ECOMMERS SALES'!$1:$500,MATCH('vlookup match'!H$1,ECOMMERS_SALES[#Headers],0))</f>
        <v>Delhi</v>
      </c>
      <c r="I93" t="str">
        <f>VLOOKUP($A93,'ECOMMERS SALES'!$1:$500,MATCH('vlookup match'!I$1,ECOMMERS_SALES[#Headers],0))</f>
        <v>Returning</v>
      </c>
      <c r="J93" t="str">
        <f>VLOOKUP($A93,'ECOMMERS SALES'!$1:$500,MATCH('vlookup match'!J$1,ECOMMERS_SALES[#Headers],0))</f>
        <v>COD</v>
      </c>
    </row>
    <row r="94" spans="1:10" x14ac:dyDescent="0.35">
      <c r="A94">
        <v>1093</v>
      </c>
      <c r="B94" t="str">
        <f>VLOOKUP($A94,'ECOMMERS SALES'!$1:$500,MATCH('vlookup match'!B$1,ECOMMERS_SALES[#Headers],0))</f>
        <v>04-04-2025</v>
      </c>
      <c r="C94" t="str">
        <f>VLOOKUP($A94,'ECOMMERS SALES'!$1:$500,MATCH('vlookup match'!C$1,ECOMMERS_SALES[#Headers],0))</f>
        <v>Shoes</v>
      </c>
      <c r="D94" t="str">
        <f>VLOOKUP($A94,'ECOMMERS SALES'!$1:$500,MATCH('vlookup match'!D$1,ECOMMERS_SALES[#Headers],0))</f>
        <v>Fashion</v>
      </c>
      <c r="E94">
        <f>VLOOKUP($A94,'ECOMMERS SALES'!$1:$500,MATCH('vlookup match'!E$1,ECOMMERS_SALES[#Headers],0))</f>
        <v>3</v>
      </c>
      <c r="F94">
        <f>VLOOKUP($A94,'ECOMMERS SALES'!$1:$500,MATCH('vlookup match'!F$1,ECOMMERS_SALES[#Headers],0))</f>
        <v>3055</v>
      </c>
      <c r="G94">
        <f>VLOOKUP($A94,'ECOMMERS SALES'!$1:$500,MATCH('vlookup match'!G$1,ECOMMERS_SALES[#Headers],0))</f>
        <v>9165</v>
      </c>
      <c r="H94" t="str">
        <f>VLOOKUP($A94,'ECOMMERS SALES'!$1:$500,MATCH('vlookup match'!H$1,ECOMMERS_SALES[#Headers],0))</f>
        <v>Pune</v>
      </c>
      <c r="I94" t="str">
        <f>VLOOKUP($A94,'ECOMMERS SALES'!$1:$500,MATCH('vlookup match'!I$1,ECOMMERS_SALES[#Headers],0))</f>
        <v>Premimum</v>
      </c>
      <c r="J94" t="str">
        <f>VLOOKUP($A94,'ECOMMERS SALES'!$1:$500,MATCH('vlookup match'!J$1,ECOMMERS_SALES[#Headers],0))</f>
        <v>COD</v>
      </c>
    </row>
    <row r="95" spans="1:10" x14ac:dyDescent="0.35">
      <c r="A95">
        <v>1094</v>
      </c>
      <c r="B95" t="str">
        <f>VLOOKUP($A95,'ECOMMERS SALES'!$1:$500,MATCH('vlookup match'!B$1,ECOMMERS_SALES[#Headers],0))</f>
        <v>05-04-2025</v>
      </c>
      <c r="C95" t="str">
        <f>VLOOKUP($A95,'ECOMMERS SALES'!$1:$500,MATCH('vlookup match'!C$1,ECOMMERS_SALES[#Headers],0))</f>
        <v>Watch</v>
      </c>
      <c r="D95" t="str">
        <f>VLOOKUP($A95,'ECOMMERS SALES'!$1:$500,MATCH('vlookup match'!D$1,ECOMMERS_SALES[#Headers],0))</f>
        <v>Other</v>
      </c>
      <c r="E95">
        <f>VLOOKUP($A95,'ECOMMERS SALES'!$1:$500,MATCH('vlookup match'!E$1,ECOMMERS_SALES[#Headers],0))</f>
        <v>4</v>
      </c>
      <c r="F95">
        <f>VLOOKUP($A95,'ECOMMERS SALES'!$1:$500,MATCH('vlookup match'!F$1,ECOMMERS_SALES[#Headers],0))</f>
        <v>18106</v>
      </c>
      <c r="G95">
        <f>VLOOKUP($A95,'ECOMMERS SALES'!$1:$500,MATCH('vlookup match'!G$1,ECOMMERS_SALES[#Headers],0))</f>
        <v>72424</v>
      </c>
      <c r="H95" t="str">
        <f>VLOOKUP($A95,'ECOMMERS SALES'!$1:$500,MATCH('vlookup match'!H$1,ECOMMERS_SALES[#Headers],0))</f>
        <v>Pune</v>
      </c>
      <c r="I95" t="str">
        <f>VLOOKUP($A95,'ECOMMERS SALES'!$1:$500,MATCH('vlookup match'!I$1,ECOMMERS_SALES[#Headers],0))</f>
        <v>New</v>
      </c>
      <c r="J95" t="str">
        <f>VLOOKUP($A95,'ECOMMERS SALES'!$1:$500,MATCH('vlookup match'!J$1,ECOMMERS_SALES[#Headers],0))</f>
        <v>COD</v>
      </c>
    </row>
    <row r="96" spans="1:10" x14ac:dyDescent="0.35">
      <c r="A96">
        <v>1095</v>
      </c>
      <c r="B96" t="str">
        <f>VLOOKUP($A96,'ECOMMERS SALES'!$1:$500,MATCH('vlookup match'!B$1,ECOMMERS_SALES[#Headers],0))</f>
        <v>06-04-2025</v>
      </c>
      <c r="C96" t="str">
        <f>VLOOKUP($A96,'ECOMMERS SALES'!$1:$500,MATCH('vlookup match'!C$1,ECOMMERS_SALES[#Headers],0))</f>
        <v>Mobile Case</v>
      </c>
      <c r="D96" t="str">
        <f>VLOOKUP($A96,'ECOMMERS SALES'!$1:$500,MATCH('vlookup match'!D$1,ECOMMERS_SALES[#Headers],0))</f>
        <v>Other</v>
      </c>
      <c r="E96">
        <f>VLOOKUP($A96,'ECOMMERS SALES'!$1:$500,MATCH('vlookup match'!E$1,ECOMMERS_SALES[#Headers],0))</f>
        <v>5</v>
      </c>
      <c r="F96">
        <f>VLOOKUP($A96,'ECOMMERS SALES'!$1:$500,MATCH('vlookup match'!F$1,ECOMMERS_SALES[#Headers],0))</f>
        <v>103</v>
      </c>
      <c r="G96">
        <f>VLOOKUP($A96,'ECOMMERS SALES'!$1:$500,MATCH('vlookup match'!G$1,ECOMMERS_SALES[#Headers],0))</f>
        <v>515</v>
      </c>
      <c r="H96" t="str">
        <f>VLOOKUP($A96,'ECOMMERS SALES'!$1:$500,MATCH('vlookup match'!H$1,ECOMMERS_SALES[#Headers],0))</f>
        <v>Delhi</v>
      </c>
      <c r="I96" t="str">
        <f>VLOOKUP($A96,'ECOMMERS SALES'!$1:$500,MATCH('vlookup match'!I$1,ECOMMERS_SALES[#Headers],0))</f>
        <v>Premimum</v>
      </c>
      <c r="J96" t="str">
        <f>VLOOKUP($A96,'ECOMMERS SALES'!$1:$500,MATCH('vlookup match'!J$1,ECOMMERS_SALES[#Headers],0))</f>
        <v>UPI</v>
      </c>
    </row>
    <row r="97" spans="1:10" x14ac:dyDescent="0.35">
      <c r="A97">
        <v>1096</v>
      </c>
      <c r="B97" t="str">
        <f>VLOOKUP($A97,'ECOMMERS SALES'!$1:$500,MATCH('vlookup match'!B$1,ECOMMERS_SALES[#Headers],0))</f>
        <v>07-04-2025</v>
      </c>
      <c r="C97" t="str">
        <f>VLOOKUP($A97,'ECOMMERS SALES'!$1:$500,MATCH('vlookup match'!C$1,ECOMMERS_SALES[#Headers],0))</f>
        <v>Tablet</v>
      </c>
      <c r="D97" t="str">
        <f>VLOOKUP($A97,'ECOMMERS SALES'!$1:$500,MATCH('vlookup match'!D$1,ECOMMERS_SALES[#Headers],0))</f>
        <v>Electronics</v>
      </c>
      <c r="E97">
        <f>VLOOKUP($A97,'ECOMMERS SALES'!$1:$500,MATCH('vlookup match'!E$1,ECOMMERS_SALES[#Headers],0))</f>
        <v>1</v>
      </c>
      <c r="F97">
        <f>VLOOKUP($A97,'ECOMMERS SALES'!$1:$500,MATCH('vlookup match'!F$1,ECOMMERS_SALES[#Headers],0))</f>
        <v>13217</v>
      </c>
      <c r="G97">
        <f>VLOOKUP($A97,'ECOMMERS SALES'!$1:$500,MATCH('vlookup match'!G$1,ECOMMERS_SALES[#Headers],0))</f>
        <v>13217</v>
      </c>
      <c r="H97" t="str">
        <f>VLOOKUP($A97,'ECOMMERS SALES'!$1:$500,MATCH('vlookup match'!H$1,ECOMMERS_SALES[#Headers],0))</f>
        <v>Pune</v>
      </c>
      <c r="I97" t="str">
        <f>VLOOKUP($A97,'ECOMMERS SALES'!$1:$500,MATCH('vlookup match'!I$1,ECOMMERS_SALES[#Headers],0))</f>
        <v>Returning</v>
      </c>
      <c r="J97" t="str">
        <f>VLOOKUP($A97,'ECOMMERS SALES'!$1:$500,MATCH('vlookup match'!J$1,ECOMMERS_SALES[#Headers],0))</f>
        <v>Card</v>
      </c>
    </row>
    <row r="98" spans="1:10" x14ac:dyDescent="0.35">
      <c r="A98">
        <v>1097</v>
      </c>
      <c r="B98" t="str">
        <f>VLOOKUP($A98,'ECOMMERS SALES'!$1:$500,MATCH('vlookup match'!B$1,ECOMMERS_SALES[#Headers],0))</f>
        <v>08-04-2025</v>
      </c>
      <c r="C98" t="str">
        <f>VLOOKUP($A98,'ECOMMERS SALES'!$1:$500,MATCH('vlookup match'!C$1,ECOMMERS_SALES[#Headers],0))</f>
        <v>Book</v>
      </c>
      <c r="D98" t="str">
        <f>VLOOKUP($A98,'ECOMMERS SALES'!$1:$500,MATCH('vlookup match'!D$1,ECOMMERS_SALES[#Headers],0))</f>
        <v>Books</v>
      </c>
      <c r="E98">
        <f>VLOOKUP($A98,'ECOMMERS SALES'!$1:$500,MATCH('vlookup match'!E$1,ECOMMERS_SALES[#Headers],0))</f>
        <v>2</v>
      </c>
      <c r="F98">
        <f>VLOOKUP($A98,'ECOMMERS SALES'!$1:$500,MATCH('vlookup match'!F$1,ECOMMERS_SALES[#Headers],0))</f>
        <v>511</v>
      </c>
      <c r="G98">
        <f>VLOOKUP($A98,'ECOMMERS SALES'!$1:$500,MATCH('vlookup match'!G$1,ECOMMERS_SALES[#Headers],0))</f>
        <v>1022</v>
      </c>
      <c r="H98" t="str">
        <f>VLOOKUP($A98,'ECOMMERS SALES'!$1:$500,MATCH('vlookup match'!H$1,ECOMMERS_SALES[#Headers],0))</f>
        <v>Hyderabad</v>
      </c>
      <c r="I98" t="str">
        <f>VLOOKUP($A98,'ECOMMERS SALES'!$1:$500,MATCH('vlookup match'!I$1,ECOMMERS_SALES[#Headers],0))</f>
        <v>Premimum</v>
      </c>
      <c r="J98" t="str">
        <f>VLOOKUP($A98,'ECOMMERS SALES'!$1:$500,MATCH('vlookup match'!J$1,ECOMMERS_SALES[#Headers],0))</f>
        <v>COD</v>
      </c>
    </row>
    <row r="99" spans="1:10" x14ac:dyDescent="0.35">
      <c r="A99">
        <v>1098</v>
      </c>
      <c r="B99" t="str">
        <f>VLOOKUP($A99,'ECOMMERS SALES'!$1:$500,MATCH('vlookup match'!B$1,ECOMMERS_SALES[#Headers],0))</f>
        <v>09-04-2025</v>
      </c>
      <c r="C99" t="str">
        <f>VLOOKUP($A99,'ECOMMERS SALES'!$1:$500,MATCH('vlookup match'!C$1,ECOMMERS_SALES[#Headers],0))</f>
        <v>Backpack</v>
      </c>
      <c r="D99" t="str">
        <f>VLOOKUP($A99,'ECOMMERS SALES'!$1:$500,MATCH('vlookup match'!D$1,ECOMMERS_SALES[#Headers],0))</f>
        <v>Fashion</v>
      </c>
      <c r="E99">
        <f>VLOOKUP($A99,'ECOMMERS SALES'!$1:$500,MATCH('vlookup match'!E$1,ECOMMERS_SALES[#Headers],0))</f>
        <v>2</v>
      </c>
      <c r="F99">
        <f>VLOOKUP($A99,'ECOMMERS SALES'!$1:$500,MATCH('vlookup match'!F$1,ECOMMERS_SALES[#Headers],0))</f>
        <v>513</v>
      </c>
      <c r="G99">
        <f>VLOOKUP($A99,'ECOMMERS SALES'!$1:$500,MATCH('vlookup match'!G$1,ECOMMERS_SALES[#Headers],0))</f>
        <v>1026</v>
      </c>
      <c r="H99" t="str">
        <f>VLOOKUP($A99,'ECOMMERS SALES'!$1:$500,MATCH('vlookup match'!H$1,ECOMMERS_SALES[#Headers],0))</f>
        <v>Mumbai</v>
      </c>
      <c r="I99" t="str">
        <f>VLOOKUP($A99,'ECOMMERS SALES'!$1:$500,MATCH('vlookup match'!I$1,ECOMMERS_SALES[#Headers],0))</f>
        <v>Premimum</v>
      </c>
      <c r="J99" t="str">
        <f>VLOOKUP($A99,'ECOMMERS SALES'!$1:$500,MATCH('vlookup match'!J$1,ECOMMERS_SALES[#Headers],0))</f>
        <v>UPI</v>
      </c>
    </row>
    <row r="100" spans="1:10" x14ac:dyDescent="0.35">
      <c r="A100">
        <v>1099</v>
      </c>
      <c r="B100" t="str">
        <f>VLOOKUP($A100,'ECOMMERS SALES'!$1:$500,MATCH('vlookup match'!B$1,ECOMMERS_SALES[#Headers],0))</f>
        <v>10-04-2025</v>
      </c>
      <c r="C100" t="str">
        <f>VLOOKUP($A100,'ECOMMERS SALES'!$1:$500,MATCH('vlookup match'!C$1,ECOMMERS_SALES[#Headers],0))</f>
        <v>Smartwatch</v>
      </c>
      <c r="D100" t="str">
        <f>VLOOKUP($A100,'ECOMMERS SALES'!$1:$500,MATCH('vlookup match'!D$1,ECOMMERS_SALES[#Headers],0))</f>
        <v>Electronics</v>
      </c>
      <c r="E100">
        <f>VLOOKUP($A100,'ECOMMERS SALES'!$1:$500,MATCH('vlookup match'!E$1,ECOMMERS_SALES[#Headers],0))</f>
        <v>2</v>
      </c>
      <c r="F100">
        <f>VLOOKUP($A100,'ECOMMERS SALES'!$1:$500,MATCH('vlookup match'!F$1,ECOMMERS_SALES[#Headers],0))</f>
        <v>6283</v>
      </c>
      <c r="G100">
        <f>VLOOKUP($A100,'ECOMMERS SALES'!$1:$500,MATCH('vlookup match'!G$1,ECOMMERS_SALES[#Headers],0))</f>
        <v>12566</v>
      </c>
      <c r="H100" t="str">
        <f>VLOOKUP($A100,'ECOMMERS SALES'!$1:$500,MATCH('vlookup match'!H$1,ECOMMERS_SALES[#Headers],0))</f>
        <v>Chennai</v>
      </c>
      <c r="I100" t="str">
        <f>VLOOKUP($A100,'ECOMMERS SALES'!$1:$500,MATCH('vlookup match'!I$1,ECOMMERS_SALES[#Headers],0))</f>
        <v>Premimum</v>
      </c>
      <c r="J100" t="str">
        <f>VLOOKUP($A100,'ECOMMERS SALES'!$1:$500,MATCH('vlookup match'!J$1,ECOMMERS_SALES[#Headers],0))</f>
        <v>UPI</v>
      </c>
    </row>
    <row r="101" spans="1:10" x14ac:dyDescent="0.35">
      <c r="A101">
        <v>1100</v>
      </c>
      <c r="B101" t="str">
        <f>VLOOKUP($A101,'ECOMMERS SALES'!$1:$500,MATCH('vlookup match'!B$1,ECOMMERS_SALES[#Headers],0))</f>
        <v>11-04-2025</v>
      </c>
      <c r="C101" t="str">
        <f>VLOOKUP($A101,'ECOMMERS SALES'!$1:$500,MATCH('vlookup match'!C$1,ECOMMERS_SALES[#Headers],0))</f>
        <v>Water Bottle</v>
      </c>
      <c r="D101" t="str">
        <f>VLOOKUP($A101,'ECOMMERS SALES'!$1:$500,MATCH('vlookup match'!D$1,ECOMMERS_SALES[#Headers],0))</f>
        <v>Other</v>
      </c>
      <c r="E101">
        <f>VLOOKUP($A101,'ECOMMERS SALES'!$1:$500,MATCH('vlookup match'!E$1,ECOMMERS_SALES[#Headers],0))</f>
        <v>4</v>
      </c>
      <c r="F101">
        <f>VLOOKUP($A101,'ECOMMERS SALES'!$1:$500,MATCH('vlookup match'!F$1,ECOMMERS_SALES[#Headers],0))</f>
        <v>552</v>
      </c>
      <c r="G101">
        <f>VLOOKUP($A101,'ECOMMERS SALES'!$1:$500,MATCH('vlookup match'!G$1,ECOMMERS_SALES[#Headers],0))</f>
        <v>2208</v>
      </c>
      <c r="H101" t="str">
        <f>VLOOKUP($A101,'ECOMMERS SALES'!$1:$500,MATCH('vlookup match'!H$1,ECOMMERS_SALES[#Headers],0))</f>
        <v>Delhi</v>
      </c>
      <c r="I101" t="str">
        <f>VLOOKUP($A101,'ECOMMERS SALES'!$1:$500,MATCH('vlookup match'!I$1,ECOMMERS_SALES[#Headers],0))</f>
        <v>Premimum</v>
      </c>
      <c r="J101" t="str">
        <f>VLOOKUP($A101,'ECOMMERS SALES'!$1:$500,MATCH('vlookup match'!J$1,ECOMMERS_SALES[#Headers],0))</f>
        <v>COD</v>
      </c>
    </row>
    <row r="102" spans="1:10" x14ac:dyDescent="0.35">
      <c r="A102">
        <v>1101</v>
      </c>
      <c r="B102" t="str">
        <f>VLOOKUP($A102,'ECOMMERS SALES'!$1:$500,MATCH('vlookup match'!B$1,ECOMMERS_SALES[#Headers],0))</f>
        <v>12-04-2025</v>
      </c>
      <c r="C102" t="str">
        <f>VLOOKUP($A102,'ECOMMERS SALES'!$1:$500,MATCH('vlookup match'!C$1,ECOMMERS_SALES[#Headers],0))</f>
        <v>Laptop</v>
      </c>
      <c r="D102" t="str">
        <f>VLOOKUP($A102,'ECOMMERS SALES'!$1:$500,MATCH('vlookup match'!D$1,ECOMMERS_SALES[#Headers],0))</f>
        <v>Electronics</v>
      </c>
      <c r="E102">
        <f>VLOOKUP($A102,'ECOMMERS SALES'!$1:$500,MATCH('vlookup match'!E$1,ECOMMERS_SALES[#Headers],0))</f>
        <v>1</v>
      </c>
      <c r="F102">
        <f>VLOOKUP($A102,'ECOMMERS SALES'!$1:$500,MATCH('vlookup match'!F$1,ECOMMERS_SALES[#Headers],0))</f>
        <v>56441</v>
      </c>
      <c r="G102">
        <f>VLOOKUP($A102,'ECOMMERS SALES'!$1:$500,MATCH('vlookup match'!G$1,ECOMMERS_SALES[#Headers],0))</f>
        <v>56441</v>
      </c>
      <c r="H102" t="str">
        <f>VLOOKUP($A102,'ECOMMERS SALES'!$1:$500,MATCH('vlookup match'!H$1,ECOMMERS_SALES[#Headers],0))</f>
        <v>Chennai</v>
      </c>
      <c r="I102" t="str">
        <f>VLOOKUP($A102,'ECOMMERS SALES'!$1:$500,MATCH('vlookup match'!I$1,ECOMMERS_SALES[#Headers],0))</f>
        <v>Returning</v>
      </c>
      <c r="J102" t="str">
        <f>VLOOKUP($A102,'ECOMMERS SALES'!$1:$500,MATCH('vlookup match'!J$1,ECOMMERS_SALES[#Headers],0))</f>
        <v>Card</v>
      </c>
    </row>
    <row r="103" spans="1:10" x14ac:dyDescent="0.35">
      <c r="A103">
        <v>1102</v>
      </c>
      <c r="B103" t="str">
        <f>VLOOKUP($A103,'ECOMMERS SALES'!$1:$500,MATCH('vlookup match'!B$1,ECOMMERS_SALES[#Headers],0))</f>
        <v>13-04-2025</v>
      </c>
      <c r="C103" t="str">
        <f>VLOOKUP($A103,'ECOMMERS SALES'!$1:$500,MATCH('vlookup match'!C$1,ECOMMERS_SALES[#Headers],0))</f>
        <v>Headphones</v>
      </c>
      <c r="D103" t="str">
        <f>VLOOKUP($A103,'ECOMMERS SALES'!$1:$500,MATCH('vlookup match'!D$1,ECOMMERS_SALES[#Headers],0))</f>
        <v>Electronics</v>
      </c>
      <c r="E103">
        <f>VLOOKUP($A103,'ECOMMERS SALES'!$1:$500,MATCH('vlookup match'!E$1,ECOMMERS_SALES[#Headers],0))</f>
        <v>2</v>
      </c>
      <c r="F103">
        <f>VLOOKUP($A103,'ECOMMERS SALES'!$1:$500,MATCH('vlookup match'!F$1,ECOMMERS_SALES[#Headers],0))</f>
        <v>4833</v>
      </c>
      <c r="G103">
        <f>VLOOKUP($A103,'ECOMMERS SALES'!$1:$500,MATCH('vlookup match'!G$1,ECOMMERS_SALES[#Headers],0))</f>
        <v>9666</v>
      </c>
      <c r="H103" t="str">
        <f>VLOOKUP($A103,'ECOMMERS SALES'!$1:$500,MATCH('vlookup match'!H$1,ECOMMERS_SALES[#Headers],0))</f>
        <v>Hyderabad</v>
      </c>
      <c r="I103" t="str">
        <f>VLOOKUP($A103,'ECOMMERS SALES'!$1:$500,MATCH('vlookup match'!I$1,ECOMMERS_SALES[#Headers],0))</f>
        <v>Premimum</v>
      </c>
      <c r="J103" t="str">
        <f>VLOOKUP($A103,'ECOMMERS SALES'!$1:$500,MATCH('vlookup match'!J$1,ECOMMERS_SALES[#Headers],0))</f>
        <v>UPI</v>
      </c>
    </row>
    <row r="104" spans="1:10" x14ac:dyDescent="0.35">
      <c r="A104">
        <v>1103</v>
      </c>
      <c r="B104" t="str">
        <f>VLOOKUP($A104,'ECOMMERS SALES'!$1:$500,MATCH('vlookup match'!B$1,ECOMMERS_SALES[#Headers],0))</f>
        <v>14-04-2025</v>
      </c>
      <c r="C104" t="str">
        <f>VLOOKUP($A104,'ECOMMERS SALES'!$1:$500,MATCH('vlookup match'!C$1,ECOMMERS_SALES[#Headers],0))</f>
        <v>Shoes</v>
      </c>
      <c r="D104" t="str">
        <f>VLOOKUP($A104,'ECOMMERS SALES'!$1:$500,MATCH('vlookup match'!D$1,ECOMMERS_SALES[#Headers],0))</f>
        <v>Fashion</v>
      </c>
      <c r="E104">
        <f>VLOOKUP($A104,'ECOMMERS SALES'!$1:$500,MATCH('vlookup match'!E$1,ECOMMERS_SALES[#Headers],0))</f>
        <v>1</v>
      </c>
      <c r="F104">
        <f>VLOOKUP($A104,'ECOMMERS SALES'!$1:$500,MATCH('vlookup match'!F$1,ECOMMERS_SALES[#Headers],0))</f>
        <v>1314</v>
      </c>
      <c r="G104">
        <f>VLOOKUP($A104,'ECOMMERS SALES'!$1:$500,MATCH('vlookup match'!G$1,ECOMMERS_SALES[#Headers],0))</f>
        <v>1314</v>
      </c>
      <c r="H104" t="str">
        <f>VLOOKUP($A104,'ECOMMERS SALES'!$1:$500,MATCH('vlookup match'!H$1,ECOMMERS_SALES[#Headers],0))</f>
        <v>Hyderabad</v>
      </c>
      <c r="I104" t="str">
        <f>VLOOKUP($A104,'ECOMMERS SALES'!$1:$500,MATCH('vlookup match'!I$1,ECOMMERS_SALES[#Headers],0))</f>
        <v>Premimum</v>
      </c>
      <c r="J104" t="str">
        <f>VLOOKUP($A104,'ECOMMERS SALES'!$1:$500,MATCH('vlookup match'!J$1,ECOMMERS_SALES[#Headers],0))</f>
        <v>Card</v>
      </c>
    </row>
    <row r="105" spans="1:10" x14ac:dyDescent="0.35">
      <c r="A105">
        <v>1104</v>
      </c>
      <c r="B105" t="str">
        <f>VLOOKUP($A105,'ECOMMERS SALES'!$1:$500,MATCH('vlookup match'!B$1,ECOMMERS_SALES[#Headers],0))</f>
        <v>15-04-2025</v>
      </c>
      <c r="C105" t="str">
        <f>VLOOKUP($A105,'ECOMMERS SALES'!$1:$500,MATCH('vlookup match'!C$1,ECOMMERS_SALES[#Headers],0))</f>
        <v>Watch</v>
      </c>
      <c r="D105" t="str">
        <f>VLOOKUP($A105,'ECOMMERS SALES'!$1:$500,MATCH('vlookup match'!D$1,ECOMMERS_SALES[#Headers],0))</f>
        <v>Other</v>
      </c>
      <c r="E105">
        <f>VLOOKUP($A105,'ECOMMERS SALES'!$1:$500,MATCH('vlookup match'!E$1,ECOMMERS_SALES[#Headers],0))</f>
        <v>1</v>
      </c>
      <c r="F105">
        <f>VLOOKUP($A105,'ECOMMERS SALES'!$1:$500,MATCH('vlookup match'!F$1,ECOMMERS_SALES[#Headers],0))</f>
        <v>5201</v>
      </c>
      <c r="G105">
        <f>VLOOKUP($A105,'ECOMMERS SALES'!$1:$500,MATCH('vlookup match'!G$1,ECOMMERS_SALES[#Headers],0))</f>
        <v>5201</v>
      </c>
      <c r="H105" t="str">
        <f>VLOOKUP($A105,'ECOMMERS SALES'!$1:$500,MATCH('vlookup match'!H$1,ECOMMERS_SALES[#Headers],0))</f>
        <v>Chennai</v>
      </c>
      <c r="I105" t="str">
        <f>VLOOKUP($A105,'ECOMMERS SALES'!$1:$500,MATCH('vlookup match'!I$1,ECOMMERS_SALES[#Headers],0))</f>
        <v>New</v>
      </c>
      <c r="J105" t="str">
        <f>VLOOKUP($A105,'ECOMMERS SALES'!$1:$500,MATCH('vlookup match'!J$1,ECOMMERS_SALES[#Headers],0))</f>
        <v>COD</v>
      </c>
    </row>
    <row r="106" spans="1:10" x14ac:dyDescent="0.35">
      <c r="A106">
        <v>1105</v>
      </c>
      <c r="B106" t="str">
        <f>VLOOKUP($A106,'ECOMMERS SALES'!$1:$500,MATCH('vlookup match'!B$1,ECOMMERS_SALES[#Headers],0))</f>
        <v>16-04-2025</v>
      </c>
      <c r="C106" t="str">
        <f>VLOOKUP($A106,'ECOMMERS SALES'!$1:$500,MATCH('vlookup match'!C$1,ECOMMERS_SALES[#Headers],0))</f>
        <v>Mobile Case</v>
      </c>
      <c r="D106" t="str">
        <f>VLOOKUP($A106,'ECOMMERS SALES'!$1:$500,MATCH('vlookup match'!D$1,ECOMMERS_SALES[#Headers],0))</f>
        <v>Other</v>
      </c>
      <c r="E106">
        <f>VLOOKUP($A106,'ECOMMERS SALES'!$1:$500,MATCH('vlookup match'!E$1,ECOMMERS_SALES[#Headers],0))</f>
        <v>2</v>
      </c>
      <c r="F106">
        <f>VLOOKUP($A106,'ECOMMERS SALES'!$1:$500,MATCH('vlookup match'!F$1,ECOMMERS_SALES[#Headers],0))</f>
        <v>469</v>
      </c>
      <c r="G106">
        <f>VLOOKUP($A106,'ECOMMERS SALES'!$1:$500,MATCH('vlookup match'!G$1,ECOMMERS_SALES[#Headers],0))</f>
        <v>938</v>
      </c>
      <c r="H106" t="str">
        <f>VLOOKUP($A106,'ECOMMERS SALES'!$1:$500,MATCH('vlookup match'!H$1,ECOMMERS_SALES[#Headers],0))</f>
        <v>Chennai</v>
      </c>
      <c r="I106" t="str">
        <f>VLOOKUP($A106,'ECOMMERS SALES'!$1:$500,MATCH('vlookup match'!I$1,ECOMMERS_SALES[#Headers],0))</f>
        <v>New</v>
      </c>
      <c r="J106" t="str">
        <f>VLOOKUP($A106,'ECOMMERS SALES'!$1:$500,MATCH('vlookup match'!J$1,ECOMMERS_SALES[#Headers],0))</f>
        <v>Card</v>
      </c>
    </row>
    <row r="107" spans="1:10" x14ac:dyDescent="0.35">
      <c r="A107">
        <v>1106</v>
      </c>
      <c r="B107" t="str">
        <f>VLOOKUP($A107,'ECOMMERS SALES'!$1:$500,MATCH('vlookup match'!B$1,ECOMMERS_SALES[#Headers],0))</f>
        <v>17-04-2025</v>
      </c>
      <c r="C107" t="str">
        <f>VLOOKUP($A107,'ECOMMERS SALES'!$1:$500,MATCH('vlookup match'!C$1,ECOMMERS_SALES[#Headers],0))</f>
        <v>Tablet</v>
      </c>
      <c r="D107" t="str">
        <f>VLOOKUP($A107,'ECOMMERS SALES'!$1:$500,MATCH('vlookup match'!D$1,ECOMMERS_SALES[#Headers],0))</f>
        <v>Electronics</v>
      </c>
      <c r="E107">
        <f>VLOOKUP($A107,'ECOMMERS SALES'!$1:$500,MATCH('vlookup match'!E$1,ECOMMERS_SALES[#Headers],0))</f>
        <v>2</v>
      </c>
      <c r="F107">
        <f>VLOOKUP($A107,'ECOMMERS SALES'!$1:$500,MATCH('vlookup match'!F$1,ECOMMERS_SALES[#Headers],0))</f>
        <v>24448</v>
      </c>
      <c r="G107">
        <f>VLOOKUP($A107,'ECOMMERS SALES'!$1:$500,MATCH('vlookup match'!G$1,ECOMMERS_SALES[#Headers],0))</f>
        <v>48896</v>
      </c>
      <c r="H107" t="str">
        <f>VLOOKUP($A107,'ECOMMERS SALES'!$1:$500,MATCH('vlookup match'!H$1,ECOMMERS_SALES[#Headers],0))</f>
        <v>Pune</v>
      </c>
      <c r="I107" t="str">
        <f>VLOOKUP($A107,'ECOMMERS SALES'!$1:$500,MATCH('vlookup match'!I$1,ECOMMERS_SALES[#Headers],0))</f>
        <v>New</v>
      </c>
      <c r="J107" t="str">
        <f>VLOOKUP($A107,'ECOMMERS SALES'!$1:$500,MATCH('vlookup match'!J$1,ECOMMERS_SALES[#Headers],0))</f>
        <v>UPI</v>
      </c>
    </row>
    <row r="108" spans="1:10" x14ac:dyDescent="0.35">
      <c r="A108">
        <v>1107</v>
      </c>
      <c r="B108" t="str">
        <f>VLOOKUP($A108,'ECOMMERS SALES'!$1:$500,MATCH('vlookup match'!B$1,ECOMMERS_SALES[#Headers],0))</f>
        <v>18-04-2025</v>
      </c>
      <c r="C108" t="str">
        <f>VLOOKUP($A108,'ECOMMERS SALES'!$1:$500,MATCH('vlookup match'!C$1,ECOMMERS_SALES[#Headers],0))</f>
        <v>Book</v>
      </c>
      <c r="D108" t="str">
        <f>VLOOKUP($A108,'ECOMMERS SALES'!$1:$500,MATCH('vlookup match'!D$1,ECOMMERS_SALES[#Headers],0))</f>
        <v>Books</v>
      </c>
      <c r="E108">
        <f>VLOOKUP($A108,'ECOMMERS SALES'!$1:$500,MATCH('vlookup match'!E$1,ECOMMERS_SALES[#Headers],0))</f>
        <v>3</v>
      </c>
      <c r="F108">
        <f>VLOOKUP($A108,'ECOMMERS SALES'!$1:$500,MATCH('vlookup match'!F$1,ECOMMERS_SALES[#Headers],0))</f>
        <v>378</v>
      </c>
      <c r="G108">
        <f>VLOOKUP($A108,'ECOMMERS SALES'!$1:$500,MATCH('vlookup match'!G$1,ECOMMERS_SALES[#Headers],0))</f>
        <v>1134</v>
      </c>
      <c r="H108" t="str">
        <f>VLOOKUP($A108,'ECOMMERS SALES'!$1:$500,MATCH('vlookup match'!H$1,ECOMMERS_SALES[#Headers],0))</f>
        <v>Mumbai</v>
      </c>
      <c r="I108" t="str">
        <f>VLOOKUP($A108,'ECOMMERS SALES'!$1:$500,MATCH('vlookup match'!I$1,ECOMMERS_SALES[#Headers],0))</f>
        <v>New</v>
      </c>
      <c r="J108" t="str">
        <f>VLOOKUP($A108,'ECOMMERS SALES'!$1:$500,MATCH('vlookup match'!J$1,ECOMMERS_SALES[#Headers],0))</f>
        <v>UPI</v>
      </c>
    </row>
    <row r="109" spans="1:10" x14ac:dyDescent="0.35">
      <c r="A109">
        <v>1108</v>
      </c>
      <c r="B109" t="str">
        <f>VLOOKUP($A109,'ECOMMERS SALES'!$1:$500,MATCH('vlookup match'!B$1,ECOMMERS_SALES[#Headers],0))</f>
        <v>19-04-2025</v>
      </c>
      <c r="C109" t="str">
        <f>VLOOKUP($A109,'ECOMMERS SALES'!$1:$500,MATCH('vlookup match'!C$1,ECOMMERS_SALES[#Headers],0))</f>
        <v>Backpack</v>
      </c>
      <c r="D109" t="str">
        <f>VLOOKUP($A109,'ECOMMERS SALES'!$1:$500,MATCH('vlookup match'!D$1,ECOMMERS_SALES[#Headers],0))</f>
        <v>Fashion</v>
      </c>
      <c r="E109">
        <f>VLOOKUP($A109,'ECOMMERS SALES'!$1:$500,MATCH('vlookup match'!E$1,ECOMMERS_SALES[#Headers],0))</f>
        <v>1</v>
      </c>
      <c r="F109">
        <f>VLOOKUP($A109,'ECOMMERS SALES'!$1:$500,MATCH('vlookup match'!F$1,ECOMMERS_SALES[#Headers],0))</f>
        <v>1310</v>
      </c>
      <c r="G109">
        <f>VLOOKUP($A109,'ECOMMERS SALES'!$1:$500,MATCH('vlookup match'!G$1,ECOMMERS_SALES[#Headers],0))</f>
        <v>1310</v>
      </c>
      <c r="H109" t="str">
        <f>VLOOKUP($A109,'ECOMMERS SALES'!$1:$500,MATCH('vlookup match'!H$1,ECOMMERS_SALES[#Headers],0))</f>
        <v>Mumbai</v>
      </c>
      <c r="I109" t="str">
        <f>VLOOKUP($A109,'ECOMMERS SALES'!$1:$500,MATCH('vlookup match'!I$1,ECOMMERS_SALES[#Headers],0))</f>
        <v>New</v>
      </c>
      <c r="J109" t="str">
        <f>VLOOKUP($A109,'ECOMMERS SALES'!$1:$500,MATCH('vlookup match'!J$1,ECOMMERS_SALES[#Headers],0))</f>
        <v>UPI</v>
      </c>
    </row>
    <row r="110" spans="1:10" x14ac:dyDescent="0.35">
      <c r="A110">
        <v>1109</v>
      </c>
      <c r="B110" t="str">
        <f>VLOOKUP($A110,'ECOMMERS SALES'!$1:$500,MATCH('vlookup match'!B$1,ECOMMERS_SALES[#Headers],0))</f>
        <v>20-04-2025</v>
      </c>
      <c r="C110" t="str">
        <f>VLOOKUP($A110,'ECOMMERS SALES'!$1:$500,MATCH('vlookup match'!C$1,ECOMMERS_SALES[#Headers],0))</f>
        <v>Smartwatch</v>
      </c>
      <c r="D110" t="str">
        <f>VLOOKUP($A110,'ECOMMERS SALES'!$1:$500,MATCH('vlookup match'!D$1,ECOMMERS_SALES[#Headers],0))</f>
        <v>Electronics</v>
      </c>
      <c r="E110">
        <f>VLOOKUP($A110,'ECOMMERS SALES'!$1:$500,MATCH('vlookup match'!E$1,ECOMMERS_SALES[#Headers],0))</f>
        <v>1</v>
      </c>
      <c r="F110">
        <f>VLOOKUP($A110,'ECOMMERS SALES'!$1:$500,MATCH('vlookup match'!F$1,ECOMMERS_SALES[#Headers],0))</f>
        <v>5590</v>
      </c>
      <c r="G110">
        <f>VLOOKUP($A110,'ECOMMERS SALES'!$1:$500,MATCH('vlookup match'!G$1,ECOMMERS_SALES[#Headers],0))</f>
        <v>5590</v>
      </c>
      <c r="H110" t="str">
        <f>VLOOKUP($A110,'ECOMMERS SALES'!$1:$500,MATCH('vlookup match'!H$1,ECOMMERS_SALES[#Headers],0))</f>
        <v>Mumbai</v>
      </c>
      <c r="I110" t="str">
        <f>VLOOKUP($A110,'ECOMMERS SALES'!$1:$500,MATCH('vlookup match'!I$1,ECOMMERS_SALES[#Headers],0))</f>
        <v>Returning</v>
      </c>
      <c r="J110" t="str">
        <f>VLOOKUP($A110,'ECOMMERS SALES'!$1:$500,MATCH('vlookup match'!J$1,ECOMMERS_SALES[#Headers],0))</f>
        <v>COD</v>
      </c>
    </row>
    <row r="111" spans="1:10" x14ac:dyDescent="0.35">
      <c r="A111">
        <v>1110</v>
      </c>
      <c r="B111" t="str">
        <f>VLOOKUP($A111,'ECOMMERS SALES'!$1:$500,MATCH('vlookup match'!B$1,ECOMMERS_SALES[#Headers],0))</f>
        <v>21-04-2025</v>
      </c>
      <c r="C111" t="str">
        <f>VLOOKUP($A111,'ECOMMERS SALES'!$1:$500,MATCH('vlookup match'!C$1,ECOMMERS_SALES[#Headers],0))</f>
        <v>Water Bottle</v>
      </c>
      <c r="D111" t="str">
        <f>VLOOKUP($A111,'ECOMMERS SALES'!$1:$500,MATCH('vlookup match'!D$1,ECOMMERS_SALES[#Headers],0))</f>
        <v>Other</v>
      </c>
      <c r="E111">
        <f>VLOOKUP($A111,'ECOMMERS SALES'!$1:$500,MATCH('vlookup match'!E$1,ECOMMERS_SALES[#Headers],0))</f>
        <v>3</v>
      </c>
      <c r="F111">
        <f>VLOOKUP($A111,'ECOMMERS SALES'!$1:$500,MATCH('vlookup match'!F$1,ECOMMERS_SALES[#Headers],0))</f>
        <v>405</v>
      </c>
      <c r="G111">
        <f>VLOOKUP($A111,'ECOMMERS SALES'!$1:$500,MATCH('vlookup match'!G$1,ECOMMERS_SALES[#Headers],0))</f>
        <v>1215</v>
      </c>
      <c r="H111" t="str">
        <f>VLOOKUP($A111,'ECOMMERS SALES'!$1:$500,MATCH('vlookup match'!H$1,ECOMMERS_SALES[#Headers],0))</f>
        <v>Delhi</v>
      </c>
      <c r="I111" t="str">
        <f>VLOOKUP($A111,'ECOMMERS SALES'!$1:$500,MATCH('vlookup match'!I$1,ECOMMERS_SALES[#Headers],0))</f>
        <v>Premimum</v>
      </c>
      <c r="J111" t="str">
        <f>VLOOKUP($A111,'ECOMMERS SALES'!$1:$500,MATCH('vlookup match'!J$1,ECOMMERS_SALES[#Headers],0))</f>
        <v>COD</v>
      </c>
    </row>
    <row r="112" spans="1:10" x14ac:dyDescent="0.35">
      <c r="A112">
        <v>1111</v>
      </c>
      <c r="B112" t="str">
        <f>VLOOKUP($A112,'ECOMMERS SALES'!$1:$500,MATCH('vlookup match'!B$1,ECOMMERS_SALES[#Headers],0))</f>
        <v>22-04-2025</v>
      </c>
      <c r="C112" t="str">
        <f>VLOOKUP($A112,'ECOMMERS SALES'!$1:$500,MATCH('vlookup match'!C$1,ECOMMERS_SALES[#Headers],0))</f>
        <v>Laptop</v>
      </c>
      <c r="D112" t="str">
        <f>VLOOKUP($A112,'ECOMMERS SALES'!$1:$500,MATCH('vlookup match'!D$1,ECOMMERS_SALES[#Headers],0))</f>
        <v>Electronics</v>
      </c>
      <c r="E112">
        <f>VLOOKUP($A112,'ECOMMERS SALES'!$1:$500,MATCH('vlookup match'!E$1,ECOMMERS_SALES[#Headers],0))</f>
        <v>1</v>
      </c>
      <c r="F112">
        <f>VLOOKUP($A112,'ECOMMERS SALES'!$1:$500,MATCH('vlookup match'!F$1,ECOMMERS_SALES[#Headers],0))</f>
        <v>51984</v>
      </c>
      <c r="G112">
        <f>VLOOKUP($A112,'ECOMMERS SALES'!$1:$500,MATCH('vlookup match'!G$1,ECOMMERS_SALES[#Headers],0))</f>
        <v>51984</v>
      </c>
      <c r="H112" t="str">
        <f>VLOOKUP($A112,'ECOMMERS SALES'!$1:$500,MATCH('vlookup match'!H$1,ECOMMERS_SALES[#Headers],0))</f>
        <v>Bangalore</v>
      </c>
      <c r="I112" t="str">
        <f>VLOOKUP($A112,'ECOMMERS SALES'!$1:$500,MATCH('vlookup match'!I$1,ECOMMERS_SALES[#Headers],0))</f>
        <v>Premimum</v>
      </c>
      <c r="J112" t="str">
        <f>VLOOKUP($A112,'ECOMMERS SALES'!$1:$500,MATCH('vlookup match'!J$1,ECOMMERS_SALES[#Headers],0))</f>
        <v>COD</v>
      </c>
    </row>
    <row r="113" spans="1:10" x14ac:dyDescent="0.35">
      <c r="A113">
        <v>1112</v>
      </c>
      <c r="B113" t="str">
        <f>VLOOKUP($A113,'ECOMMERS SALES'!$1:$500,MATCH('vlookup match'!B$1,ECOMMERS_SALES[#Headers],0))</f>
        <v>23-04-2025</v>
      </c>
      <c r="C113" t="str">
        <f>VLOOKUP($A113,'ECOMMERS SALES'!$1:$500,MATCH('vlookup match'!C$1,ECOMMERS_SALES[#Headers],0))</f>
        <v>Headphones</v>
      </c>
      <c r="D113" t="str">
        <f>VLOOKUP($A113,'ECOMMERS SALES'!$1:$500,MATCH('vlookup match'!D$1,ECOMMERS_SALES[#Headers],0))</f>
        <v>Electronics</v>
      </c>
      <c r="E113">
        <f>VLOOKUP($A113,'ECOMMERS SALES'!$1:$500,MATCH('vlookup match'!E$1,ECOMMERS_SALES[#Headers],0))</f>
        <v>3</v>
      </c>
      <c r="F113">
        <f>VLOOKUP($A113,'ECOMMERS SALES'!$1:$500,MATCH('vlookup match'!F$1,ECOMMERS_SALES[#Headers],0))</f>
        <v>2766</v>
      </c>
      <c r="G113">
        <f>VLOOKUP($A113,'ECOMMERS SALES'!$1:$500,MATCH('vlookup match'!G$1,ECOMMERS_SALES[#Headers],0))</f>
        <v>8298</v>
      </c>
      <c r="H113" t="str">
        <f>VLOOKUP($A113,'ECOMMERS SALES'!$1:$500,MATCH('vlookup match'!H$1,ECOMMERS_SALES[#Headers],0))</f>
        <v>Chennai</v>
      </c>
      <c r="I113" t="str">
        <f>VLOOKUP($A113,'ECOMMERS SALES'!$1:$500,MATCH('vlookup match'!I$1,ECOMMERS_SALES[#Headers],0))</f>
        <v>Returning</v>
      </c>
      <c r="J113" t="str">
        <f>VLOOKUP($A113,'ECOMMERS SALES'!$1:$500,MATCH('vlookup match'!J$1,ECOMMERS_SALES[#Headers],0))</f>
        <v>COD</v>
      </c>
    </row>
    <row r="114" spans="1:10" x14ac:dyDescent="0.35">
      <c r="A114">
        <v>1113</v>
      </c>
      <c r="B114" t="str">
        <f>VLOOKUP($A114,'ECOMMERS SALES'!$1:$500,MATCH('vlookup match'!B$1,ECOMMERS_SALES[#Headers],0))</f>
        <v>24-04-2025</v>
      </c>
      <c r="C114" t="str">
        <f>VLOOKUP($A114,'ECOMMERS SALES'!$1:$500,MATCH('vlookup match'!C$1,ECOMMERS_SALES[#Headers],0))</f>
        <v>Shoes</v>
      </c>
      <c r="D114" t="str">
        <f>VLOOKUP($A114,'ECOMMERS SALES'!$1:$500,MATCH('vlookup match'!D$1,ECOMMERS_SALES[#Headers],0))</f>
        <v>Fashion</v>
      </c>
      <c r="E114">
        <f>VLOOKUP($A114,'ECOMMERS SALES'!$1:$500,MATCH('vlookup match'!E$1,ECOMMERS_SALES[#Headers],0))</f>
        <v>3</v>
      </c>
      <c r="F114">
        <f>VLOOKUP($A114,'ECOMMERS SALES'!$1:$500,MATCH('vlookup match'!F$1,ECOMMERS_SALES[#Headers],0))</f>
        <v>2625</v>
      </c>
      <c r="G114">
        <f>VLOOKUP($A114,'ECOMMERS SALES'!$1:$500,MATCH('vlookup match'!G$1,ECOMMERS_SALES[#Headers],0))</f>
        <v>7875</v>
      </c>
      <c r="H114" t="str">
        <f>VLOOKUP($A114,'ECOMMERS SALES'!$1:$500,MATCH('vlookup match'!H$1,ECOMMERS_SALES[#Headers],0))</f>
        <v>Mumbai</v>
      </c>
      <c r="I114" t="str">
        <f>VLOOKUP($A114,'ECOMMERS SALES'!$1:$500,MATCH('vlookup match'!I$1,ECOMMERS_SALES[#Headers],0))</f>
        <v>Premimum</v>
      </c>
      <c r="J114" t="str">
        <f>VLOOKUP($A114,'ECOMMERS SALES'!$1:$500,MATCH('vlookup match'!J$1,ECOMMERS_SALES[#Headers],0))</f>
        <v>UPI</v>
      </c>
    </row>
    <row r="115" spans="1:10" x14ac:dyDescent="0.35">
      <c r="A115">
        <v>1114</v>
      </c>
      <c r="B115" t="str">
        <f>VLOOKUP($A115,'ECOMMERS SALES'!$1:$500,MATCH('vlookup match'!B$1,ECOMMERS_SALES[#Headers],0))</f>
        <v>25-04-2025</v>
      </c>
      <c r="C115" t="str">
        <f>VLOOKUP($A115,'ECOMMERS SALES'!$1:$500,MATCH('vlookup match'!C$1,ECOMMERS_SALES[#Headers],0))</f>
        <v>Watch</v>
      </c>
      <c r="D115" t="str">
        <f>VLOOKUP($A115,'ECOMMERS SALES'!$1:$500,MATCH('vlookup match'!D$1,ECOMMERS_SALES[#Headers],0))</f>
        <v>Other</v>
      </c>
      <c r="E115">
        <f>VLOOKUP($A115,'ECOMMERS SALES'!$1:$500,MATCH('vlookup match'!E$1,ECOMMERS_SALES[#Headers],0))</f>
        <v>2</v>
      </c>
      <c r="F115">
        <f>VLOOKUP($A115,'ECOMMERS SALES'!$1:$500,MATCH('vlookup match'!F$1,ECOMMERS_SALES[#Headers],0))</f>
        <v>2573</v>
      </c>
      <c r="G115">
        <f>VLOOKUP($A115,'ECOMMERS SALES'!$1:$500,MATCH('vlookup match'!G$1,ECOMMERS_SALES[#Headers],0))</f>
        <v>5146</v>
      </c>
      <c r="H115" t="str">
        <f>VLOOKUP($A115,'ECOMMERS SALES'!$1:$500,MATCH('vlookup match'!H$1,ECOMMERS_SALES[#Headers],0))</f>
        <v>Pune</v>
      </c>
      <c r="I115" t="str">
        <f>VLOOKUP($A115,'ECOMMERS SALES'!$1:$500,MATCH('vlookup match'!I$1,ECOMMERS_SALES[#Headers],0))</f>
        <v>Returning</v>
      </c>
      <c r="J115" t="str">
        <f>VLOOKUP($A115,'ECOMMERS SALES'!$1:$500,MATCH('vlookup match'!J$1,ECOMMERS_SALES[#Headers],0))</f>
        <v>UPI</v>
      </c>
    </row>
    <row r="116" spans="1:10" x14ac:dyDescent="0.35">
      <c r="A116">
        <v>1115</v>
      </c>
      <c r="B116" t="str">
        <f>VLOOKUP($A116,'ECOMMERS SALES'!$1:$500,MATCH('vlookup match'!B$1,ECOMMERS_SALES[#Headers],0))</f>
        <v>26-04-2025</v>
      </c>
      <c r="C116" t="str">
        <f>VLOOKUP($A116,'ECOMMERS SALES'!$1:$500,MATCH('vlookup match'!C$1,ECOMMERS_SALES[#Headers],0))</f>
        <v>Mobile Case</v>
      </c>
      <c r="D116" t="str">
        <f>VLOOKUP($A116,'ECOMMERS SALES'!$1:$500,MATCH('vlookup match'!D$1,ECOMMERS_SALES[#Headers],0))</f>
        <v>Other</v>
      </c>
      <c r="E116">
        <f>VLOOKUP($A116,'ECOMMERS SALES'!$1:$500,MATCH('vlookup match'!E$1,ECOMMERS_SALES[#Headers],0))</f>
        <v>2</v>
      </c>
      <c r="F116">
        <f>VLOOKUP($A116,'ECOMMERS SALES'!$1:$500,MATCH('vlookup match'!F$1,ECOMMERS_SALES[#Headers],0))</f>
        <v>798</v>
      </c>
      <c r="G116">
        <f>VLOOKUP($A116,'ECOMMERS SALES'!$1:$500,MATCH('vlookup match'!G$1,ECOMMERS_SALES[#Headers],0))</f>
        <v>1596</v>
      </c>
      <c r="H116" t="str">
        <f>VLOOKUP($A116,'ECOMMERS SALES'!$1:$500,MATCH('vlookup match'!H$1,ECOMMERS_SALES[#Headers],0))</f>
        <v>Delhi</v>
      </c>
      <c r="I116" t="str">
        <f>VLOOKUP($A116,'ECOMMERS SALES'!$1:$500,MATCH('vlookup match'!I$1,ECOMMERS_SALES[#Headers],0))</f>
        <v>Premimum</v>
      </c>
      <c r="J116" t="str">
        <f>VLOOKUP($A116,'ECOMMERS SALES'!$1:$500,MATCH('vlookup match'!J$1,ECOMMERS_SALES[#Headers],0))</f>
        <v>COD</v>
      </c>
    </row>
    <row r="117" spans="1:10" x14ac:dyDescent="0.35">
      <c r="A117">
        <v>1116</v>
      </c>
      <c r="B117" t="str">
        <f>VLOOKUP($A117,'ECOMMERS SALES'!$1:$500,MATCH('vlookup match'!B$1,ECOMMERS_SALES[#Headers],0))</f>
        <v>27-04-2025</v>
      </c>
      <c r="C117" t="str">
        <f>VLOOKUP($A117,'ECOMMERS SALES'!$1:$500,MATCH('vlookup match'!C$1,ECOMMERS_SALES[#Headers],0))</f>
        <v>Tablet</v>
      </c>
      <c r="D117" t="str">
        <f>VLOOKUP($A117,'ECOMMERS SALES'!$1:$500,MATCH('vlookup match'!D$1,ECOMMERS_SALES[#Headers],0))</f>
        <v>Electronics</v>
      </c>
      <c r="E117">
        <f>VLOOKUP($A117,'ECOMMERS SALES'!$1:$500,MATCH('vlookup match'!E$1,ECOMMERS_SALES[#Headers],0))</f>
        <v>2</v>
      </c>
      <c r="F117">
        <f>VLOOKUP($A117,'ECOMMERS SALES'!$1:$500,MATCH('vlookup match'!F$1,ECOMMERS_SALES[#Headers],0))</f>
        <v>31517</v>
      </c>
      <c r="G117">
        <f>VLOOKUP($A117,'ECOMMERS SALES'!$1:$500,MATCH('vlookup match'!G$1,ECOMMERS_SALES[#Headers],0))</f>
        <v>63034</v>
      </c>
      <c r="H117" t="str">
        <f>VLOOKUP($A117,'ECOMMERS SALES'!$1:$500,MATCH('vlookup match'!H$1,ECOMMERS_SALES[#Headers],0))</f>
        <v>Mumbai</v>
      </c>
      <c r="I117" t="str">
        <f>VLOOKUP($A117,'ECOMMERS SALES'!$1:$500,MATCH('vlookup match'!I$1,ECOMMERS_SALES[#Headers],0))</f>
        <v>Premimum</v>
      </c>
      <c r="J117" t="str">
        <f>VLOOKUP($A117,'ECOMMERS SALES'!$1:$500,MATCH('vlookup match'!J$1,ECOMMERS_SALES[#Headers],0))</f>
        <v>Card</v>
      </c>
    </row>
    <row r="118" spans="1:10" x14ac:dyDescent="0.35">
      <c r="A118">
        <v>1117</v>
      </c>
      <c r="B118" t="str">
        <f>VLOOKUP($A118,'ECOMMERS SALES'!$1:$500,MATCH('vlookup match'!B$1,ECOMMERS_SALES[#Headers],0))</f>
        <v>28-04-2025</v>
      </c>
      <c r="C118" t="str">
        <f>VLOOKUP($A118,'ECOMMERS SALES'!$1:$500,MATCH('vlookup match'!C$1,ECOMMERS_SALES[#Headers],0))</f>
        <v>Book</v>
      </c>
      <c r="D118" t="str">
        <f>VLOOKUP($A118,'ECOMMERS SALES'!$1:$500,MATCH('vlookup match'!D$1,ECOMMERS_SALES[#Headers],0))</f>
        <v>Books</v>
      </c>
      <c r="E118">
        <f>VLOOKUP($A118,'ECOMMERS SALES'!$1:$500,MATCH('vlookup match'!E$1,ECOMMERS_SALES[#Headers],0))</f>
        <v>1</v>
      </c>
      <c r="F118">
        <f>VLOOKUP($A118,'ECOMMERS SALES'!$1:$500,MATCH('vlookup match'!F$1,ECOMMERS_SALES[#Headers],0))</f>
        <v>343</v>
      </c>
      <c r="G118">
        <f>VLOOKUP($A118,'ECOMMERS SALES'!$1:$500,MATCH('vlookup match'!G$1,ECOMMERS_SALES[#Headers],0))</f>
        <v>343</v>
      </c>
      <c r="H118" t="str">
        <f>VLOOKUP($A118,'ECOMMERS SALES'!$1:$500,MATCH('vlookup match'!H$1,ECOMMERS_SALES[#Headers],0))</f>
        <v>Chennai</v>
      </c>
      <c r="I118" t="str">
        <f>VLOOKUP($A118,'ECOMMERS SALES'!$1:$500,MATCH('vlookup match'!I$1,ECOMMERS_SALES[#Headers],0))</f>
        <v>Returning</v>
      </c>
      <c r="J118" t="str">
        <f>VLOOKUP($A118,'ECOMMERS SALES'!$1:$500,MATCH('vlookup match'!J$1,ECOMMERS_SALES[#Headers],0))</f>
        <v>UPI</v>
      </c>
    </row>
    <row r="119" spans="1:10" x14ac:dyDescent="0.35">
      <c r="A119">
        <v>1118</v>
      </c>
      <c r="B119" t="str">
        <f>VLOOKUP($A119,'ECOMMERS SALES'!$1:$500,MATCH('vlookup match'!B$1,ECOMMERS_SALES[#Headers],0))</f>
        <v>29-04-2025</v>
      </c>
      <c r="C119" t="str">
        <f>VLOOKUP($A119,'ECOMMERS SALES'!$1:$500,MATCH('vlookup match'!C$1,ECOMMERS_SALES[#Headers],0))</f>
        <v>Backpack</v>
      </c>
      <c r="D119" t="str">
        <f>VLOOKUP($A119,'ECOMMERS SALES'!$1:$500,MATCH('vlookup match'!D$1,ECOMMERS_SALES[#Headers],0))</f>
        <v>Fashion</v>
      </c>
      <c r="E119">
        <f>VLOOKUP($A119,'ECOMMERS SALES'!$1:$500,MATCH('vlookup match'!E$1,ECOMMERS_SALES[#Headers],0))</f>
        <v>3</v>
      </c>
      <c r="F119">
        <f>VLOOKUP($A119,'ECOMMERS SALES'!$1:$500,MATCH('vlookup match'!F$1,ECOMMERS_SALES[#Headers],0))</f>
        <v>1021</v>
      </c>
      <c r="G119">
        <f>VLOOKUP($A119,'ECOMMERS SALES'!$1:$500,MATCH('vlookup match'!G$1,ECOMMERS_SALES[#Headers],0))</f>
        <v>3063</v>
      </c>
      <c r="H119" t="str">
        <f>VLOOKUP($A119,'ECOMMERS SALES'!$1:$500,MATCH('vlookup match'!H$1,ECOMMERS_SALES[#Headers],0))</f>
        <v>Chennai</v>
      </c>
      <c r="I119" t="str">
        <f>VLOOKUP($A119,'ECOMMERS SALES'!$1:$500,MATCH('vlookup match'!I$1,ECOMMERS_SALES[#Headers],0))</f>
        <v>Returning</v>
      </c>
      <c r="J119" t="str">
        <f>VLOOKUP($A119,'ECOMMERS SALES'!$1:$500,MATCH('vlookup match'!J$1,ECOMMERS_SALES[#Headers],0))</f>
        <v>COD</v>
      </c>
    </row>
    <row r="120" spans="1:10" x14ac:dyDescent="0.35">
      <c r="A120">
        <v>1119</v>
      </c>
      <c r="B120" t="str">
        <f>VLOOKUP($A120,'ECOMMERS SALES'!$1:$500,MATCH('vlookup match'!B$1,ECOMMERS_SALES[#Headers],0))</f>
        <v>30-04-2025</v>
      </c>
      <c r="C120" t="str">
        <f>VLOOKUP($A120,'ECOMMERS SALES'!$1:$500,MATCH('vlookup match'!C$1,ECOMMERS_SALES[#Headers],0))</f>
        <v>Smartwatch</v>
      </c>
      <c r="D120" t="str">
        <f>VLOOKUP($A120,'ECOMMERS SALES'!$1:$500,MATCH('vlookup match'!D$1,ECOMMERS_SALES[#Headers],0))</f>
        <v>Electronics</v>
      </c>
      <c r="E120">
        <f>VLOOKUP($A120,'ECOMMERS SALES'!$1:$500,MATCH('vlookup match'!E$1,ECOMMERS_SALES[#Headers],0))</f>
        <v>1</v>
      </c>
      <c r="F120">
        <f>VLOOKUP($A120,'ECOMMERS SALES'!$1:$500,MATCH('vlookup match'!F$1,ECOMMERS_SALES[#Headers],0))</f>
        <v>8543</v>
      </c>
      <c r="G120">
        <f>VLOOKUP($A120,'ECOMMERS SALES'!$1:$500,MATCH('vlookup match'!G$1,ECOMMERS_SALES[#Headers],0))</f>
        <v>8543</v>
      </c>
      <c r="H120" t="str">
        <f>VLOOKUP($A120,'ECOMMERS SALES'!$1:$500,MATCH('vlookup match'!H$1,ECOMMERS_SALES[#Headers],0))</f>
        <v>Mumbai</v>
      </c>
      <c r="I120" t="str">
        <f>VLOOKUP($A120,'ECOMMERS SALES'!$1:$500,MATCH('vlookup match'!I$1,ECOMMERS_SALES[#Headers],0))</f>
        <v>Premimum</v>
      </c>
      <c r="J120" t="str">
        <f>VLOOKUP($A120,'ECOMMERS SALES'!$1:$500,MATCH('vlookup match'!J$1,ECOMMERS_SALES[#Headers],0))</f>
        <v>Card</v>
      </c>
    </row>
    <row r="121" spans="1:10" x14ac:dyDescent="0.35">
      <c r="A121">
        <v>1120</v>
      </c>
      <c r="B121" t="str">
        <f>VLOOKUP($A121,'ECOMMERS SALES'!$1:$500,MATCH('vlookup match'!B$1,ECOMMERS_SALES[#Headers],0))</f>
        <v>01-05-2025</v>
      </c>
      <c r="C121" t="str">
        <f>VLOOKUP($A121,'ECOMMERS SALES'!$1:$500,MATCH('vlookup match'!C$1,ECOMMERS_SALES[#Headers],0))</f>
        <v>Water Bottle</v>
      </c>
      <c r="D121" t="str">
        <f>VLOOKUP($A121,'ECOMMERS SALES'!$1:$500,MATCH('vlookup match'!D$1,ECOMMERS_SALES[#Headers],0))</f>
        <v>Other</v>
      </c>
      <c r="E121">
        <f>VLOOKUP($A121,'ECOMMERS SALES'!$1:$500,MATCH('vlookup match'!E$1,ECOMMERS_SALES[#Headers],0))</f>
        <v>2</v>
      </c>
      <c r="F121">
        <f>VLOOKUP($A121,'ECOMMERS SALES'!$1:$500,MATCH('vlookup match'!F$1,ECOMMERS_SALES[#Headers],0))</f>
        <v>235</v>
      </c>
      <c r="G121">
        <f>VLOOKUP($A121,'ECOMMERS SALES'!$1:$500,MATCH('vlookup match'!G$1,ECOMMERS_SALES[#Headers],0))</f>
        <v>470</v>
      </c>
      <c r="H121" t="str">
        <f>VLOOKUP($A121,'ECOMMERS SALES'!$1:$500,MATCH('vlookup match'!H$1,ECOMMERS_SALES[#Headers],0))</f>
        <v>Delhi</v>
      </c>
      <c r="I121" t="str">
        <f>VLOOKUP($A121,'ECOMMERS SALES'!$1:$500,MATCH('vlookup match'!I$1,ECOMMERS_SALES[#Headers],0))</f>
        <v>Returning</v>
      </c>
      <c r="J121" t="str">
        <f>VLOOKUP($A121,'ECOMMERS SALES'!$1:$500,MATCH('vlookup match'!J$1,ECOMMERS_SALES[#Headers],0))</f>
        <v>Card</v>
      </c>
    </row>
    <row r="122" spans="1:10" x14ac:dyDescent="0.35">
      <c r="A122">
        <v>1121</v>
      </c>
      <c r="B122" t="str">
        <f>VLOOKUP($A122,'ECOMMERS SALES'!$1:$500,MATCH('vlookup match'!B$1,ECOMMERS_SALES[#Headers],0))</f>
        <v>02-05-2025</v>
      </c>
      <c r="C122" t="str">
        <f>VLOOKUP($A122,'ECOMMERS SALES'!$1:$500,MATCH('vlookup match'!C$1,ECOMMERS_SALES[#Headers],0))</f>
        <v>Laptop</v>
      </c>
      <c r="D122" t="str">
        <f>VLOOKUP($A122,'ECOMMERS SALES'!$1:$500,MATCH('vlookup match'!D$1,ECOMMERS_SALES[#Headers],0))</f>
        <v>Electronics</v>
      </c>
      <c r="E122">
        <f>VLOOKUP($A122,'ECOMMERS SALES'!$1:$500,MATCH('vlookup match'!E$1,ECOMMERS_SALES[#Headers],0))</f>
        <v>1</v>
      </c>
      <c r="F122">
        <f>VLOOKUP($A122,'ECOMMERS SALES'!$1:$500,MATCH('vlookup match'!F$1,ECOMMERS_SALES[#Headers],0))</f>
        <v>51840</v>
      </c>
      <c r="G122">
        <f>VLOOKUP($A122,'ECOMMERS SALES'!$1:$500,MATCH('vlookup match'!G$1,ECOMMERS_SALES[#Headers],0))</f>
        <v>51840</v>
      </c>
      <c r="H122" t="str">
        <f>VLOOKUP($A122,'ECOMMERS SALES'!$1:$500,MATCH('vlookup match'!H$1,ECOMMERS_SALES[#Headers],0))</f>
        <v>Delhi</v>
      </c>
      <c r="I122" t="str">
        <f>VLOOKUP($A122,'ECOMMERS SALES'!$1:$500,MATCH('vlookup match'!I$1,ECOMMERS_SALES[#Headers],0))</f>
        <v>Premimum</v>
      </c>
      <c r="J122" t="str">
        <f>VLOOKUP($A122,'ECOMMERS SALES'!$1:$500,MATCH('vlookup match'!J$1,ECOMMERS_SALES[#Headers],0))</f>
        <v>COD</v>
      </c>
    </row>
    <row r="123" spans="1:10" x14ac:dyDescent="0.35">
      <c r="A123">
        <v>1122</v>
      </c>
      <c r="B123" t="str">
        <f>VLOOKUP($A123,'ECOMMERS SALES'!$1:$500,MATCH('vlookup match'!B$1,ECOMMERS_SALES[#Headers],0))</f>
        <v>03-05-2025</v>
      </c>
      <c r="C123" t="str">
        <f>VLOOKUP($A123,'ECOMMERS SALES'!$1:$500,MATCH('vlookup match'!C$1,ECOMMERS_SALES[#Headers],0))</f>
        <v>Headphones</v>
      </c>
      <c r="D123" t="str">
        <f>VLOOKUP($A123,'ECOMMERS SALES'!$1:$500,MATCH('vlookup match'!D$1,ECOMMERS_SALES[#Headers],0))</f>
        <v>Electronics</v>
      </c>
      <c r="E123">
        <f>VLOOKUP($A123,'ECOMMERS SALES'!$1:$500,MATCH('vlookup match'!E$1,ECOMMERS_SALES[#Headers],0))</f>
        <v>2</v>
      </c>
      <c r="F123">
        <f>VLOOKUP($A123,'ECOMMERS SALES'!$1:$500,MATCH('vlookup match'!F$1,ECOMMERS_SALES[#Headers],0))</f>
        <v>4435</v>
      </c>
      <c r="G123">
        <f>VLOOKUP($A123,'ECOMMERS SALES'!$1:$500,MATCH('vlookup match'!G$1,ECOMMERS_SALES[#Headers],0))</f>
        <v>8870</v>
      </c>
      <c r="H123" t="str">
        <f>VLOOKUP($A123,'ECOMMERS SALES'!$1:$500,MATCH('vlookup match'!H$1,ECOMMERS_SALES[#Headers],0))</f>
        <v>Chennai</v>
      </c>
      <c r="I123" t="str">
        <f>VLOOKUP($A123,'ECOMMERS SALES'!$1:$500,MATCH('vlookup match'!I$1,ECOMMERS_SALES[#Headers],0))</f>
        <v>Premimum</v>
      </c>
      <c r="J123" t="str">
        <f>VLOOKUP($A123,'ECOMMERS SALES'!$1:$500,MATCH('vlookup match'!J$1,ECOMMERS_SALES[#Headers],0))</f>
        <v>COD</v>
      </c>
    </row>
    <row r="124" spans="1:10" x14ac:dyDescent="0.35">
      <c r="A124">
        <v>1123</v>
      </c>
      <c r="B124" t="str">
        <f>VLOOKUP($A124,'ECOMMERS SALES'!$1:$500,MATCH('vlookup match'!B$1,ECOMMERS_SALES[#Headers],0))</f>
        <v>04-05-2025</v>
      </c>
      <c r="C124" t="str">
        <f>VLOOKUP($A124,'ECOMMERS SALES'!$1:$500,MATCH('vlookup match'!C$1,ECOMMERS_SALES[#Headers],0))</f>
        <v>Shoes</v>
      </c>
      <c r="D124" t="str">
        <f>VLOOKUP($A124,'ECOMMERS SALES'!$1:$500,MATCH('vlookup match'!D$1,ECOMMERS_SALES[#Headers],0))</f>
        <v>Fashion</v>
      </c>
      <c r="E124">
        <f>VLOOKUP($A124,'ECOMMERS SALES'!$1:$500,MATCH('vlookup match'!E$1,ECOMMERS_SALES[#Headers],0))</f>
        <v>3</v>
      </c>
      <c r="F124">
        <f>VLOOKUP($A124,'ECOMMERS SALES'!$1:$500,MATCH('vlookup match'!F$1,ECOMMERS_SALES[#Headers],0))</f>
        <v>2138</v>
      </c>
      <c r="G124">
        <f>VLOOKUP($A124,'ECOMMERS SALES'!$1:$500,MATCH('vlookup match'!G$1,ECOMMERS_SALES[#Headers],0))</f>
        <v>6414</v>
      </c>
      <c r="H124" t="str">
        <f>VLOOKUP($A124,'ECOMMERS SALES'!$1:$500,MATCH('vlookup match'!H$1,ECOMMERS_SALES[#Headers],0))</f>
        <v>Chennai</v>
      </c>
      <c r="I124" t="str">
        <f>VLOOKUP($A124,'ECOMMERS SALES'!$1:$500,MATCH('vlookup match'!I$1,ECOMMERS_SALES[#Headers],0))</f>
        <v>Premimum</v>
      </c>
      <c r="J124" t="str">
        <f>VLOOKUP($A124,'ECOMMERS SALES'!$1:$500,MATCH('vlookup match'!J$1,ECOMMERS_SALES[#Headers],0))</f>
        <v>Card</v>
      </c>
    </row>
    <row r="125" spans="1:10" x14ac:dyDescent="0.35">
      <c r="A125">
        <v>1124</v>
      </c>
      <c r="B125" t="str">
        <f>VLOOKUP($A125,'ECOMMERS SALES'!$1:$500,MATCH('vlookup match'!B$1,ECOMMERS_SALES[#Headers],0))</f>
        <v>05-05-2025</v>
      </c>
      <c r="C125" t="str">
        <f>VLOOKUP($A125,'ECOMMERS SALES'!$1:$500,MATCH('vlookup match'!C$1,ECOMMERS_SALES[#Headers],0))</f>
        <v>Watch</v>
      </c>
      <c r="D125" t="str">
        <f>VLOOKUP($A125,'ECOMMERS SALES'!$1:$500,MATCH('vlookup match'!D$1,ECOMMERS_SALES[#Headers],0))</f>
        <v>Other</v>
      </c>
      <c r="E125">
        <f>VLOOKUP($A125,'ECOMMERS SALES'!$1:$500,MATCH('vlookup match'!E$1,ECOMMERS_SALES[#Headers],0))</f>
        <v>5</v>
      </c>
      <c r="F125">
        <f>VLOOKUP($A125,'ECOMMERS SALES'!$1:$500,MATCH('vlookup match'!F$1,ECOMMERS_SALES[#Headers],0))</f>
        <v>5434</v>
      </c>
      <c r="G125">
        <f>VLOOKUP($A125,'ECOMMERS SALES'!$1:$500,MATCH('vlookup match'!G$1,ECOMMERS_SALES[#Headers],0))</f>
        <v>27170</v>
      </c>
      <c r="H125" t="str">
        <f>VLOOKUP($A125,'ECOMMERS SALES'!$1:$500,MATCH('vlookup match'!H$1,ECOMMERS_SALES[#Headers],0))</f>
        <v>Hyderabad</v>
      </c>
      <c r="I125" t="str">
        <f>VLOOKUP($A125,'ECOMMERS SALES'!$1:$500,MATCH('vlookup match'!I$1,ECOMMERS_SALES[#Headers],0))</f>
        <v>Premimum</v>
      </c>
      <c r="J125" t="str">
        <f>VLOOKUP($A125,'ECOMMERS SALES'!$1:$500,MATCH('vlookup match'!J$1,ECOMMERS_SALES[#Headers],0))</f>
        <v>Card</v>
      </c>
    </row>
    <row r="126" spans="1:10" x14ac:dyDescent="0.35">
      <c r="A126">
        <v>1125</v>
      </c>
      <c r="B126" t="str">
        <f>VLOOKUP($A126,'ECOMMERS SALES'!$1:$500,MATCH('vlookup match'!B$1,ECOMMERS_SALES[#Headers],0))</f>
        <v>06-05-2025</v>
      </c>
      <c r="C126" t="str">
        <f>VLOOKUP($A126,'ECOMMERS SALES'!$1:$500,MATCH('vlookup match'!C$1,ECOMMERS_SALES[#Headers],0))</f>
        <v>Mobile Case</v>
      </c>
      <c r="D126" t="str">
        <f>VLOOKUP($A126,'ECOMMERS SALES'!$1:$500,MATCH('vlookup match'!D$1,ECOMMERS_SALES[#Headers],0))</f>
        <v>Other</v>
      </c>
      <c r="E126">
        <f>VLOOKUP($A126,'ECOMMERS SALES'!$1:$500,MATCH('vlookup match'!E$1,ECOMMERS_SALES[#Headers],0))</f>
        <v>1</v>
      </c>
      <c r="F126">
        <f>VLOOKUP($A126,'ECOMMERS SALES'!$1:$500,MATCH('vlookup match'!F$1,ECOMMERS_SALES[#Headers],0))</f>
        <v>961</v>
      </c>
      <c r="G126">
        <f>VLOOKUP($A126,'ECOMMERS SALES'!$1:$500,MATCH('vlookup match'!G$1,ECOMMERS_SALES[#Headers],0))</f>
        <v>961</v>
      </c>
      <c r="H126" t="str">
        <f>VLOOKUP($A126,'ECOMMERS SALES'!$1:$500,MATCH('vlookup match'!H$1,ECOMMERS_SALES[#Headers],0))</f>
        <v>Chennai</v>
      </c>
      <c r="I126" t="str">
        <f>VLOOKUP($A126,'ECOMMERS SALES'!$1:$500,MATCH('vlookup match'!I$1,ECOMMERS_SALES[#Headers],0))</f>
        <v>Premimum</v>
      </c>
      <c r="J126" t="str">
        <f>VLOOKUP($A126,'ECOMMERS SALES'!$1:$500,MATCH('vlookup match'!J$1,ECOMMERS_SALES[#Headers],0))</f>
        <v>UPI</v>
      </c>
    </row>
    <row r="127" spans="1:10" x14ac:dyDescent="0.35">
      <c r="A127">
        <v>1126</v>
      </c>
      <c r="B127" t="str">
        <f>VLOOKUP($A127,'ECOMMERS SALES'!$1:$500,MATCH('vlookup match'!B$1,ECOMMERS_SALES[#Headers],0))</f>
        <v>07-05-2025</v>
      </c>
      <c r="C127" t="str">
        <f>VLOOKUP($A127,'ECOMMERS SALES'!$1:$500,MATCH('vlookup match'!C$1,ECOMMERS_SALES[#Headers],0))</f>
        <v>Tablet</v>
      </c>
      <c r="D127" t="str">
        <f>VLOOKUP($A127,'ECOMMERS SALES'!$1:$500,MATCH('vlookup match'!D$1,ECOMMERS_SALES[#Headers],0))</f>
        <v>Electronics</v>
      </c>
      <c r="E127">
        <f>VLOOKUP($A127,'ECOMMERS SALES'!$1:$500,MATCH('vlookup match'!E$1,ECOMMERS_SALES[#Headers],0))</f>
        <v>2</v>
      </c>
      <c r="F127">
        <f>VLOOKUP($A127,'ECOMMERS SALES'!$1:$500,MATCH('vlookup match'!F$1,ECOMMERS_SALES[#Headers],0))</f>
        <v>28891</v>
      </c>
      <c r="G127">
        <f>VLOOKUP($A127,'ECOMMERS SALES'!$1:$500,MATCH('vlookup match'!G$1,ECOMMERS_SALES[#Headers],0))</f>
        <v>57782</v>
      </c>
      <c r="H127" t="str">
        <f>VLOOKUP($A127,'ECOMMERS SALES'!$1:$500,MATCH('vlookup match'!H$1,ECOMMERS_SALES[#Headers],0))</f>
        <v>Pune</v>
      </c>
      <c r="I127" t="str">
        <f>VLOOKUP($A127,'ECOMMERS SALES'!$1:$500,MATCH('vlookup match'!I$1,ECOMMERS_SALES[#Headers],0))</f>
        <v>New</v>
      </c>
      <c r="J127" t="str">
        <f>VLOOKUP($A127,'ECOMMERS SALES'!$1:$500,MATCH('vlookup match'!J$1,ECOMMERS_SALES[#Headers],0))</f>
        <v>Card</v>
      </c>
    </row>
    <row r="128" spans="1:10" x14ac:dyDescent="0.35">
      <c r="A128">
        <v>1127</v>
      </c>
      <c r="B128" t="str">
        <f>VLOOKUP($A128,'ECOMMERS SALES'!$1:$500,MATCH('vlookup match'!B$1,ECOMMERS_SALES[#Headers],0))</f>
        <v>08-05-2025</v>
      </c>
      <c r="C128" t="str">
        <f>VLOOKUP($A128,'ECOMMERS SALES'!$1:$500,MATCH('vlookup match'!C$1,ECOMMERS_SALES[#Headers],0))</f>
        <v>Book</v>
      </c>
      <c r="D128" t="str">
        <f>VLOOKUP($A128,'ECOMMERS SALES'!$1:$500,MATCH('vlookup match'!D$1,ECOMMERS_SALES[#Headers],0))</f>
        <v>Books</v>
      </c>
      <c r="E128">
        <f>VLOOKUP($A128,'ECOMMERS SALES'!$1:$500,MATCH('vlookup match'!E$1,ECOMMERS_SALES[#Headers],0))</f>
        <v>3</v>
      </c>
      <c r="F128">
        <f>VLOOKUP($A128,'ECOMMERS SALES'!$1:$500,MATCH('vlookup match'!F$1,ECOMMERS_SALES[#Headers],0))</f>
        <v>433</v>
      </c>
      <c r="G128">
        <f>VLOOKUP($A128,'ECOMMERS SALES'!$1:$500,MATCH('vlookup match'!G$1,ECOMMERS_SALES[#Headers],0))</f>
        <v>1299</v>
      </c>
      <c r="H128" t="str">
        <f>VLOOKUP($A128,'ECOMMERS SALES'!$1:$500,MATCH('vlookup match'!H$1,ECOMMERS_SALES[#Headers],0))</f>
        <v>Mumbai</v>
      </c>
      <c r="I128" t="str">
        <f>VLOOKUP($A128,'ECOMMERS SALES'!$1:$500,MATCH('vlookup match'!I$1,ECOMMERS_SALES[#Headers],0))</f>
        <v>Premimum</v>
      </c>
      <c r="J128" t="str">
        <f>VLOOKUP($A128,'ECOMMERS SALES'!$1:$500,MATCH('vlookup match'!J$1,ECOMMERS_SALES[#Headers],0))</f>
        <v>COD</v>
      </c>
    </row>
    <row r="129" spans="1:10" x14ac:dyDescent="0.35">
      <c r="A129">
        <v>1128</v>
      </c>
      <c r="B129" t="str">
        <f>VLOOKUP($A129,'ECOMMERS SALES'!$1:$500,MATCH('vlookup match'!B$1,ECOMMERS_SALES[#Headers],0))</f>
        <v>09-05-2025</v>
      </c>
      <c r="C129" t="str">
        <f>VLOOKUP($A129,'ECOMMERS SALES'!$1:$500,MATCH('vlookup match'!C$1,ECOMMERS_SALES[#Headers],0))</f>
        <v>Backpack</v>
      </c>
      <c r="D129" t="str">
        <f>VLOOKUP($A129,'ECOMMERS SALES'!$1:$500,MATCH('vlookup match'!D$1,ECOMMERS_SALES[#Headers],0))</f>
        <v>Fashion</v>
      </c>
      <c r="E129">
        <f>VLOOKUP($A129,'ECOMMERS SALES'!$1:$500,MATCH('vlookup match'!E$1,ECOMMERS_SALES[#Headers],0))</f>
        <v>2</v>
      </c>
      <c r="F129">
        <f>VLOOKUP($A129,'ECOMMERS SALES'!$1:$500,MATCH('vlookup match'!F$1,ECOMMERS_SALES[#Headers],0))</f>
        <v>912</v>
      </c>
      <c r="G129">
        <f>VLOOKUP($A129,'ECOMMERS SALES'!$1:$500,MATCH('vlookup match'!G$1,ECOMMERS_SALES[#Headers],0))</f>
        <v>1824</v>
      </c>
      <c r="H129" t="str">
        <f>VLOOKUP($A129,'ECOMMERS SALES'!$1:$500,MATCH('vlookup match'!H$1,ECOMMERS_SALES[#Headers],0))</f>
        <v>Mumbai</v>
      </c>
      <c r="I129" t="str">
        <f>VLOOKUP($A129,'ECOMMERS SALES'!$1:$500,MATCH('vlookup match'!I$1,ECOMMERS_SALES[#Headers],0))</f>
        <v>Premimum</v>
      </c>
      <c r="J129" t="str">
        <f>VLOOKUP($A129,'ECOMMERS SALES'!$1:$500,MATCH('vlookup match'!J$1,ECOMMERS_SALES[#Headers],0))</f>
        <v>COD</v>
      </c>
    </row>
    <row r="130" spans="1:10" x14ac:dyDescent="0.35">
      <c r="A130">
        <v>1129</v>
      </c>
      <c r="B130" t="str">
        <f>VLOOKUP($A130,'ECOMMERS SALES'!$1:$500,MATCH('vlookup match'!B$1,ECOMMERS_SALES[#Headers],0))</f>
        <v>10-05-2025</v>
      </c>
      <c r="C130" t="str">
        <f>VLOOKUP($A130,'ECOMMERS SALES'!$1:$500,MATCH('vlookup match'!C$1,ECOMMERS_SALES[#Headers],0))</f>
        <v>Smartwatch</v>
      </c>
      <c r="D130" t="str">
        <f>VLOOKUP($A130,'ECOMMERS SALES'!$1:$500,MATCH('vlookup match'!D$1,ECOMMERS_SALES[#Headers],0))</f>
        <v>Electronics</v>
      </c>
      <c r="E130">
        <f>VLOOKUP($A130,'ECOMMERS SALES'!$1:$500,MATCH('vlookup match'!E$1,ECOMMERS_SALES[#Headers],0))</f>
        <v>2</v>
      </c>
      <c r="F130">
        <f>VLOOKUP($A130,'ECOMMERS SALES'!$1:$500,MATCH('vlookup match'!F$1,ECOMMERS_SALES[#Headers],0))</f>
        <v>12792</v>
      </c>
      <c r="G130">
        <f>VLOOKUP($A130,'ECOMMERS SALES'!$1:$500,MATCH('vlookup match'!G$1,ECOMMERS_SALES[#Headers],0))</f>
        <v>25584</v>
      </c>
      <c r="H130" t="str">
        <f>VLOOKUP($A130,'ECOMMERS SALES'!$1:$500,MATCH('vlookup match'!H$1,ECOMMERS_SALES[#Headers],0))</f>
        <v>Chennai</v>
      </c>
      <c r="I130" t="str">
        <f>VLOOKUP($A130,'ECOMMERS SALES'!$1:$500,MATCH('vlookup match'!I$1,ECOMMERS_SALES[#Headers],0))</f>
        <v>New</v>
      </c>
      <c r="J130" t="str">
        <f>VLOOKUP($A130,'ECOMMERS SALES'!$1:$500,MATCH('vlookup match'!J$1,ECOMMERS_SALES[#Headers],0))</f>
        <v>Card</v>
      </c>
    </row>
    <row r="131" spans="1:10" x14ac:dyDescent="0.35">
      <c r="A131">
        <v>1130</v>
      </c>
      <c r="B131" t="str">
        <f>VLOOKUP($A131,'ECOMMERS SALES'!$1:$500,MATCH('vlookup match'!B$1,ECOMMERS_SALES[#Headers],0))</f>
        <v>11-05-2025</v>
      </c>
      <c r="C131" t="str">
        <f>VLOOKUP($A131,'ECOMMERS SALES'!$1:$500,MATCH('vlookup match'!C$1,ECOMMERS_SALES[#Headers],0))</f>
        <v>Water Bottle</v>
      </c>
      <c r="D131" t="str">
        <f>VLOOKUP($A131,'ECOMMERS SALES'!$1:$500,MATCH('vlookup match'!D$1,ECOMMERS_SALES[#Headers],0))</f>
        <v>Other</v>
      </c>
      <c r="E131">
        <f>VLOOKUP($A131,'ECOMMERS SALES'!$1:$500,MATCH('vlookup match'!E$1,ECOMMERS_SALES[#Headers],0))</f>
        <v>3</v>
      </c>
      <c r="F131">
        <f>VLOOKUP($A131,'ECOMMERS SALES'!$1:$500,MATCH('vlookup match'!F$1,ECOMMERS_SALES[#Headers],0))</f>
        <v>150</v>
      </c>
      <c r="G131">
        <f>VLOOKUP($A131,'ECOMMERS SALES'!$1:$500,MATCH('vlookup match'!G$1,ECOMMERS_SALES[#Headers],0))</f>
        <v>450</v>
      </c>
      <c r="H131" t="str">
        <f>VLOOKUP($A131,'ECOMMERS SALES'!$1:$500,MATCH('vlookup match'!H$1,ECOMMERS_SALES[#Headers],0))</f>
        <v>Bangalore</v>
      </c>
      <c r="I131" t="str">
        <f>VLOOKUP($A131,'ECOMMERS SALES'!$1:$500,MATCH('vlookup match'!I$1,ECOMMERS_SALES[#Headers],0))</f>
        <v>New</v>
      </c>
      <c r="J131" t="str">
        <f>VLOOKUP($A131,'ECOMMERS SALES'!$1:$500,MATCH('vlookup match'!J$1,ECOMMERS_SALES[#Headers],0))</f>
        <v>COD</v>
      </c>
    </row>
    <row r="132" spans="1:10" x14ac:dyDescent="0.35">
      <c r="A132">
        <v>1131</v>
      </c>
      <c r="B132" t="str">
        <f>VLOOKUP($A132,'ECOMMERS SALES'!$1:$500,MATCH('vlookup match'!B$1,ECOMMERS_SALES[#Headers],0))</f>
        <v>12-05-2025</v>
      </c>
      <c r="C132" t="str">
        <f>VLOOKUP($A132,'ECOMMERS SALES'!$1:$500,MATCH('vlookup match'!C$1,ECOMMERS_SALES[#Headers],0))</f>
        <v>Laptop</v>
      </c>
      <c r="D132" t="str">
        <f>VLOOKUP($A132,'ECOMMERS SALES'!$1:$500,MATCH('vlookup match'!D$1,ECOMMERS_SALES[#Headers],0))</f>
        <v>Electronics</v>
      </c>
      <c r="E132">
        <f>VLOOKUP($A132,'ECOMMERS SALES'!$1:$500,MATCH('vlookup match'!E$1,ECOMMERS_SALES[#Headers],0))</f>
        <v>1</v>
      </c>
      <c r="F132">
        <f>VLOOKUP($A132,'ECOMMERS SALES'!$1:$500,MATCH('vlookup match'!F$1,ECOMMERS_SALES[#Headers],0))</f>
        <v>61259</v>
      </c>
      <c r="G132">
        <f>VLOOKUP($A132,'ECOMMERS SALES'!$1:$500,MATCH('vlookup match'!G$1,ECOMMERS_SALES[#Headers],0))</f>
        <v>61259</v>
      </c>
      <c r="H132" t="str">
        <f>VLOOKUP($A132,'ECOMMERS SALES'!$1:$500,MATCH('vlookup match'!H$1,ECOMMERS_SALES[#Headers],0))</f>
        <v>Hyderabad</v>
      </c>
      <c r="I132" t="str">
        <f>VLOOKUP($A132,'ECOMMERS SALES'!$1:$500,MATCH('vlookup match'!I$1,ECOMMERS_SALES[#Headers],0))</f>
        <v>New</v>
      </c>
      <c r="J132" t="str">
        <f>VLOOKUP($A132,'ECOMMERS SALES'!$1:$500,MATCH('vlookup match'!J$1,ECOMMERS_SALES[#Headers],0))</f>
        <v>Card</v>
      </c>
    </row>
    <row r="133" spans="1:10" x14ac:dyDescent="0.35">
      <c r="A133">
        <v>1132</v>
      </c>
      <c r="B133" t="str">
        <f>VLOOKUP($A133,'ECOMMERS SALES'!$1:$500,MATCH('vlookup match'!B$1,ECOMMERS_SALES[#Headers],0))</f>
        <v>13-05-2025</v>
      </c>
      <c r="C133" t="str">
        <f>VLOOKUP($A133,'ECOMMERS SALES'!$1:$500,MATCH('vlookup match'!C$1,ECOMMERS_SALES[#Headers],0))</f>
        <v>Headphones</v>
      </c>
      <c r="D133" t="str">
        <f>VLOOKUP($A133,'ECOMMERS SALES'!$1:$500,MATCH('vlookup match'!D$1,ECOMMERS_SALES[#Headers],0))</f>
        <v>Electronics</v>
      </c>
      <c r="E133">
        <f>VLOOKUP($A133,'ECOMMERS SALES'!$1:$500,MATCH('vlookup match'!E$1,ECOMMERS_SALES[#Headers],0))</f>
        <v>1</v>
      </c>
      <c r="F133">
        <f>VLOOKUP($A133,'ECOMMERS SALES'!$1:$500,MATCH('vlookup match'!F$1,ECOMMERS_SALES[#Headers],0))</f>
        <v>2998</v>
      </c>
      <c r="G133">
        <f>VLOOKUP($A133,'ECOMMERS SALES'!$1:$500,MATCH('vlookup match'!G$1,ECOMMERS_SALES[#Headers],0))</f>
        <v>2998</v>
      </c>
      <c r="H133" t="str">
        <f>VLOOKUP($A133,'ECOMMERS SALES'!$1:$500,MATCH('vlookup match'!H$1,ECOMMERS_SALES[#Headers],0))</f>
        <v>Chennai</v>
      </c>
      <c r="I133" t="str">
        <f>VLOOKUP($A133,'ECOMMERS SALES'!$1:$500,MATCH('vlookup match'!I$1,ECOMMERS_SALES[#Headers],0))</f>
        <v>Premimum</v>
      </c>
      <c r="J133" t="str">
        <f>VLOOKUP($A133,'ECOMMERS SALES'!$1:$500,MATCH('vlookup match'!J$1,ECOMMERS_SALES[#Headers],0))</f>
        <v>Card</v>
      </c>
    </row>
    <row r="134" spans="1:10" x14ac:dyDescent="0.35">
      <c r="A134">
        <v>1133</v>
      </c>
      <c r="B134" t="str">
        <f>VLOOKUP($A134,'ECOMMERS SALES'!$1:$500,MATCH('vlookup match'!B$1,ECOMMERS_SALES[#Headers],0))</f>
        <v>14-05-2025</v>
      </c>
      <c r="C134" t="str">
        <f>VLOOKUP($A134,'ECOMMERS SALES'!$1:$500,MATCH('vlookup match'!C$1,ECOMMERS_SALES[#Headers],0))</f>
        <v>Shoes</v>
      </c>
      <c r="D134" t="str">
        <f>VLOOKUP($A134,'ECOMMERS SALES'!$1:$500,MATCH('vlookup match'!D$1,ECOMMERS_SALES[#Headers],0))</f>
        <v>Fashion</v>
      </c>
      <c r="E134">
        <f>VLOOKUP($A134,'ECOMMERS SALES'!$1:$500,MATCH('vlookup match'!E$1,ECOMMERS_SALES[#Headers],0))</f>
        <v>3</v>
      </c>
      <c r="F134">
        <f>VLOOKUP($A134,'ECOMMERS SALES'!$1:$500,MATCH('vlookup match'!F$1,ECOMMERS_SALES[#Headers],0))</f>
        <v>1682</v>
      </c>
      <c r="G134">
        <f>VLOOKUP($A134,'ECOMMERS SALES'!$1:$500,MATCH('vlookup match'!G$1,ECOMMERS_SALES[#Headers],0))</f>
        <v>5046</v>
      </c>
      <c r="H134" t="str">
        <f>VLOOKUP($A134,'ECOMMERS SALES'!$1:$500,MATCH('vlookup match'!H$1,ECOMMERS_SALES[#Headers],0))</f>
        <v>Hyderabad</v>
      </c>
      <c r="I134" t="str">
        <f>VLOOKUP($A134,'ECOMMERS SALES'!$1:$500,MATCH('vlookup match'!I$1,ECOMMERS_SALES[#Headers],0))</f>
        <v>New</v>
      </c>
      <c r="J134" t="str">
        <f>VLOOKUP($A134,'ECOMMERS SALES'!$1:$500,MATCH('vlookup match'!J$1,ECOMMERS_SALES[#Headers],0))</f>
        <v>UPI</v>
      </c>
    </row>
    <row r="135" spans="1:10" x14ac:dyDescent="0.35">
      <c r="A135">
        <v>1134</v>
      </c>
      <c r="B135" t="str">
        <f>VLOOKUP($A135,'ECOMMERS SALES'!$1:$500,MATCH('vlookup match'!B$1,ECOMMERS_SALES[#Headers],0))</f>
        <v>15-05-2025</v>
      </c>
      <c r="C135" t="str">
        <f>VLOOKUP($A135,'ECOMMERS SALES'!$1:$500,MATCH('vlookup match'!C$1,ECOMMERS_SALES[#Headers],0))</f>
        <v>Watch</v>
      </c>
      <c r="D135" t="str">
        <f>VLOOKUP($A135,'ECOMMERS SALES'!$1:$500,MATCH('vlookup match'!D$1,ECOMMERS_SALES[#Headers],0))</f>
        <v>Other</v>
      </c>
      <c r="E135">
        <f>VLOOKUP($A135,'ECOMMERS SALES'!$1:$500,MATCH('vlookup match'!E$1,ECOMMERS_SALES[#Headers],0))</f>
        <v>1</v>
      </c>
      <c r="F135">
        <f>VLOOKUP($A135,'ECOMMERS SALES'!$1:$500,MATCH('vlookup match'!F$1,ECOMMERS_SALES[#Headers],0))</f>
        <v>12576</v>
      </c>
      <c r="G135">
        <f>VLOOKUP($A135,'ECOMMERS SALES'!$1:$500,MATCH('vlookup match'!G$1,ECOMMERS_SALES[#Headers],0))</f>
        <v>12576</v>
      </c>
      <c r="H135" t="str">
        <f>VLOOKUP($A135,'ECOMMERS SALES'!$1:$500,MATCH('vlookup match'!H$1,ECOMMERS_SALES[#Headers],0))</f>
        <v>Chennai</v>
      </c>
      <c r="I135" t="str">
        <f>VLOOKUP($A135,'ECOMMERS SALES'!$1:$500,MATCH('vlookup match'!I$1,ECOMMERS_SALES[#Headers],0))</f>
        <v>Premimum</v>
      </c>
      <c r="J135" t="str">
        <f>VLOOKUP($A135,'ECOMMERS SALES'!$1:$500,MATCH('vlookup match'!J$1,ECOMMERS_SALES[#Headers],0))</f>
        <v>UPI</v>
      </c>
    </row>
    <row r="136" spans="1:10" x14ac:dyDescent="0.35">
      <c r="A136">
        <v>1135</v>
      </c>
      <c r="B136" t="str">
        <f>VLOOKUP($A136,'ECOMMERS SALES'!$1:$500,MATCH('vlookup match'!B$1,ECOMMERS_SALES[#Headers],0))</f>
        <v>16-05-2025</v>
      </c>
      <c r="C136" t="str">
        <f>VLOOKUP($A136,'ECOMMERS SALES'!$1:$500,MATCH('vlookup match'!C$1,ECOMMERS_SALES[#Headers],0))</f>
        <v>Mobile Case</v>
      </c>
      <c r="D136" t="str">
        <f>VLOOKUP($A136,'ECOMMERS SALES'!$1:$500,MATCH('vlookup match'!D$1,ECOMMERS_SALES[#Headers],0))</f>
        <v>Other</v>
      </c>
      <c r="E136">
        <f>VLOOKUP($A136,'ECOMMERS SALES'!$1:$500,MATCH('vlookup match'!E$1,ECOMMERS_SALES[#Headers],0))</f>
        <v>1</v>
      </c>
      <c r="F136">
        <f>VLOOKUP($A136,'ECOMMERS SALES'!$1:$500,MATCH('vlookup match'!F$1,ECOMMERS_SALES[#Headers],0))</f>
        <v>740</v>
      </c>
      <c r="G136">
        <f>VLOOKUP($A136,'ECOMMERS SALES'!$1:$500,MATCH('vlookup match'!G$1,ECOMMERS_SALES[#Headers],0))</f>
        <v>740</v>
      </c>
      <c r="H136" t="str">
        <f>VLOOKUP($A136,'ECOMMERS SALES'!$1:$500,MATCH('vlookup match'!H$1,ECOMMERS_SALES[#Headers],0))</f>
        <v>Mumbai</v>
      </c>
      <c r="I136" t="str">
        <f>VLOOKUP($A136,'ECOMMERS SALES'!$1:$500,MATCH('vlookup match'!I$1,ECOMMERS_SALES[#Headers],0))</f>
        <v>Returning</v>
      </c>
      <c r="J136" t="str">
        <f>VLOOKUP($A136,'ECOMMERS SALES'!$1:$500,MATCH('vlookup match'!J$1,ECOMMERS_SALES[#Headers],0))</f>
        <v>COD</v>
      </c>
    </row>
    <row r="137" spans="1:10" x14ac:dyDescent="0.35">
      <c r="A137">
        <v>1136</v>
      </c>
      <c r="B137" t="str">
        <f>VLOOKUP($A137,'ECOMMERS SALES'!$1:$500,MATCH('vlookup match'!B$1,ECOMMERS_SALES[#Headers],0))</f>
        <v>17-05-2025</v>
      </c>
      <c r="C137" t="str">
        <f>VLOOKUP($A137,'ECOMMERS SALES'!$1:$500,MATCH('vlookup match'!C$1,ECOMMERS_SALES[#Headers],0))</f>
        <v>Tablet</v>
      </c>
      <c r="D137" t="str">
        <f>VLOOKUP($A137,'ECOMMERS SALES'!$1:$500,MATCH('vlookup match'!D$1,ECOMMERS_SALES[#Headers],0))</f>
        <v>Electronics</v>
      </c>
      <c r="E137">
        <f>VLOOKUP($A137,'ECOMMERS SALES'!$1:$500,MATCH('vlookup match'!E$1,ECOMMERS_SALES[#Headers],0))</f>
        <v>2</v>
      </c>
      <c r="F137">
        <f>VLOOKUP($A137,'ECOMMERS SALES'!$1:$500,MATCH('vlookup match'!F$1,ECOMMERS_SALES[#Headers],0))</f>
        <v>38690</v>
      </c>
      <c r="G137">
        <f>VLOOKUP($A137,'ECOMMERS SALES'!$1:$500,MATCH('vlookup match'!G$1,ECOMMERS_SALES[#Headers],0))</f>
        <v>77380</v>
      </c>
      <c r="H137" t="str">
        <f>VLOOKUP($A137,'ECOMMERS SALES'!$1:$500,MATCH('vlookup match'!H$1,ECOMMERS_SALES[#Headers],0))</f>
        <v>Hyderabad</v>
      </c>
      <c r="I137" t="str">
        <f>VLOOKUP($A137,'ECOMMERS SALES'!$1:$500,MATCH('vlookup match'!I$1,ECOMMERS_SALES[#Headers],0))</f>
        <v>New</v>
      </c>
      <c r="J137" t="str">
        <f>VLOOKUP($A137,'ECOMMERS SALES'!$1:$500,MATCH('vlookup match'!J$1,ECOMMERS_SALES[#Headers],0))</f>
        <v>UPI</v>
      </c>
    </row>
    <row r="138" spans="1:10" x14ac:dyDescent="0.35">
      <c r="A138">
        <v>1137</v>
      </c>
      <c r="B138" t="str">
        <f>VLOOKUP($A138,'ECOMMERS SALES'!$1:$500,MATCH('vlookup match'!B$1,ECOMMERS_SALES[#Headers],0))</f>
        <v>18-05-2025</v>
      </c>
      <c r="C138" t="str">
        <f>VLOOKUP($A138,'ECOMMERS SALES'!$1:$500,MATCH('vlookup match'!C$1,ECOMMERS_SALES[#Headers],0))</f>
        <v>Book</v>
      </c>
      <c r="D138" t="str">
        <f>VLOOKUP($A138,'ECOMMERS SALES'!$1:$500,MATCH('vlookup match'!D$1,ECOMMERS_SALES[#Headers],0))</f>
        <v>Books</v>
      </c>
      <c r="E138">
        <f>VLOOKUP($A138,'ECOMMERS SALES'!$1:$500,MATCH('vlookup match'!E$1,ECOMMERS_SALES[#Headers],0))</f>
        <v>1</v>
      </c>
      <c r="F138">
        <f>VLOOKUP($A138,'ECOMMERS SALES'!$1:$500,MATCH('vlookup match'!F$1,ECOMMERS_SALES[#Headers],0))</f>
        <v>309</v>
      </c>
      <c r="G138">
        <f>VLOOKUP($A138,'ECOMMERS SALES'!$1:$500,MATCH('vlookup match'!G$1,ECOMMERS_SALES[#Headers],0))</f>
        <v>309</v>
      </c>
      <c r="H138" t="str">
        <f>VLOOKUP($A138,'ECOMMERS SALES'!$1:$500,MATCH('vlookup match'!H$1,ECOMMERS_SALES[#Headers],0))</f>
        <v>Mumbai</v>
      </c>
      <c r="I138" t="str">
        <f>VLOOKUP($A138,'ECOMMERS SALES'!$1:$500,MATCH('vlookup match'!I$1,ECOMMERS_SALES[#Headers],0))</f>
        <v>Returning</v>
      </c>
      <c r="J138" t="str">
        <f>VLOOKUP($A138,'ECOMMERS SALES'!$1:$500,MATCH('vlookup match'!J$1,ECOMMERS_SALES[#Headers],0))</f>
        <v>Card</v>
      </c>
    </row>
    <row r="139" spans="1:10" x14ac:dyDescent="0.35">
      <c r="A139">
        <v>1138</v>
      </c>
      <c r="B139" t="str">
        <f>VLOOKUP($A139,'ECOMMERS SALES'!$1:$500,MATCH('vlookup match'!B$1,ECOMMERS_SALES[#Headers],0))</f>
        <v>19-05-2025</v>
      </c>
      <c r="C139" t="str">
        <f>VLOOKUP($A139,'ECOMMERS SALES'!$1:$500,MATCH('vlookup match'!C$1,ECOMMERS_SALES[#Headers],0))</f>
        <v>Backpack</v>
      </c>
      <c r="D139" t="str">
        <f>VLOOKUP($A139,'ECOMMERS SALES'!$1:$500,MATCH('vlookup match'!D$1,ECOMMERS_SALES[#Headers],0))</f>
        <v>Fashion</v>
      </c>
      <c r="E139">
        <f>VLOOKUP($A139,'ECOMMERS SALES'!$1:$500,MATCH('vlookup match'!E$1,ECOMMERS_SALES[#Headers],0))</f>
        <v>3</v>
      </c>
      <c r="F139">
        <f>VLOOKUP($A139,'ECOMMERS SALES'!$1:$500,MATCH('vlookup match'!F$1,ECOMMERS_SALES[#Headers],0))</f>
        <v>1670</v>
      </c>
      <c r="G139">
        <f>VLOOKUP($A139,'ECOMMERS SALES'!$1:$500,MATCH('vlookup match'!G$1,ECOMMERS_SALES[#Headers],0))</f>
        <v>5010</v>
      </c>
      <c r="H139" t="str">
        <f>VLOOKUP($A139,'ECOMMERS SALES'!$1:$500,MATCH('vlookup match'!H$1,ECOMMERS_SALES[#Headers],0))</f>
        <v>Hyderabad</v>
      </c>
      <c r="I139" t="str">
        <f>VLOOKUP($A139,'ECOMMERS SALES'!$1:$500,MATCH('vlookup match'!I$1,ECOMMERS_SALES[#Headers],0))</f>
        <v>Returning</v>
      </c>
      <c r="J139" t="str">
        <f>VLOOKUP($A139,'ECOMMERS SALES'!$1:$500,MATCH('vlookup match'!J$1,ECOMMERS_SALES[#Headers],0))</f>
        <v>UPI</v>
      </c>
    </row>
    <row r="140" spans="1:10" x14ac:dyDescent="0.35">
      <c r="A140">
        <v>1139</v>
      </c>
      <c r="B140" t="str">
        <f>VLOOKUP($A140,'ECOMMERS SALES'!$1:$500,MATCH('vlookup match'!B$1,ECOMMERS_SALES[#Headers],0))</f>
        <v>20-05-2025</v>
      </c>
      <c r="C140" t="str">
        <f>VLOOKUP($A140,'ECOMMERS SALES'!$1:$500,MATCH('vlookup match'!C$1,ECOMMERS_SALES[#Headers],0))</f>
        <v>Smartwatch</v>
      </c>
      <c r="D140" t="str">
        <f>VLOOKUP($A140,'ECOMMERS SALES'!$1:$500,MATCH('vlookup match'!D$1,ECOMMERS_SALES[#Headers],0))</f>
        <v>Electronics</v>
      </c>
      <c r="E140">
        <f>VLOOKUP($A140,'ECOMMERS SALES'!$1:$500,MATCH('vlookup match'!E$1,ECOMMERS_SALES[#Headers],0))</f>
        <v>1</v>
      </c>
      <c r="F140">
        <f>VLOOKUP($A140,'ECOMMERS SALES'!$1:$500,MATCH('vlookup match'!F$1,ECOMMERS_SALES[#Headers],0))</f>
        <v>13908</v>
      </c>
      <c r="G140">
        <f>VLOOKUP($A140,'ECOMMERS SALES'!$1:$500,MATCH('vlookup match'!G$1,ECOMMERS_SALES[#Headers],0))</f>
        <v>13908</v>
      </c>
      <c r="H140" t="str">
        <f>VLOOKUP($A140,'ECOMMERS SALES'!$1:$500,MATCH('vlookup match'!H$1,ECOMMERS_SALES[#Headers],0))</f>
        <v>Pune</v>
      </c>
      <c r="I140" t="str">
        <f>VLOOKUP($A140,'ECOMMERS SALES'!$1:$500,MATCH('vlookup match'!I$1,ECOMMERS_SALES[#Headers],0))</f>
        <v>Premimum</v>
      </c>
      <c r="J140" t="str">
        <f>VLOOKUP($A140,'ECOMMERS SALES'!$1:$500,MATCH('vlookup match'!J$1,ECOMMERS_SALES[#Headers],0))</f>
        <v>Card</v>
      </c>
    </row>
    <row r="141" spans="1:10" x14ac:dyDescent="0.35">
      <c r="A141">
        <v>1140</v>
      </c>
      <c r="B141" t="str">
        <f>VLOOKUP($A141,'ECOMMERS SALES'!$1:$500,MATCH('vlookup match'!B$1,ECOMMERS_SALES[#Headers],0))</f>
        <v>21-05-2025</v>
      </c>
      <c r="C141" t="str">
        <f>VLOOKUP($A141,'ECOMMERS SALES'!$1:$500,MATCH('vlookup match'!C$1,ECOMMERS_SALES[#Headers],0))</f>
        <v>Water Bottle</v>
      </c>
      <c r="D141" t="str">
        <f>VLOOKUP($A141,'ECOMMERS SALES'!$1:$500,MATCH('vlookup match'!D$1,ECOMMERS_SALES[#Headers],0))</f>
        <v>Other</v>
      </c>
      <c r="E141">
        <f>VLOOKUP($A141,'ECOMMERS SALES'!$1:$500,MATCH('vlookup match'!E$1,ECOMMERS_SALES[#Headers],0))</f>
        <v>1</v>
      </c>
      <c r="F141">
        <f>VLOOKUP($A141,'ECOMMERS SALES'!$1:$500,MATCH('vlookup match'!F$1,ECOMMERS_SALES[#Headers],0))</f>
        <v>619</v>
      </c>
      <c r="G141">
        <f>VLOOKUP($A141,'ECOMMERS SALES'!$1:$500,MATCH('vlookup match'!G$1,ECOMMERS_SALES[#Headers],0))</f>
        <v>619</v>
      </c>
      <c r="H141" t="str">
        <f>VLOOKUP($A141,'ECOMMERS SALES'!$1:$500,MATCH('vlookup match'!H$1,ECOMMERS_SALES[#Headers],0))</f>
        <v>Pune</v>
      </c>
      <c r="I141" t="str">
        <f>VLOOKUP($A141,'ECOMMERS SALES'!$1:$500,MATCH('vlookup match'!I$1,ECOMMERS_SALES[#Headers],0))</f>
        <v>New</v>
      </c>
      <c r="J141" t="str">
        <f>VLOOKUP($A141,'ECOMMERS SALES'!$1:$500,MATCH('vlookup match'!J$1,ECOMMERS_SALES[#Headers],0))</f>
        <v>COD</v>
      </c>
    </row>
    <row r="142" spans="1:10" x14ac:dyDescent="0.35">
      <c r="A142">
        <v>1141</v>
      </c>
      <c r="B142" t="str">
        <f>VLOOKUP($A142,'ECOMMERS SALES'!$1:$500,MATCH('vlookup match'!B$1,ECOMMERS_SALES[#Headers],0))</f>
        <v>22-05-2025</v>
      </c>
      <c r="C142" t="str">
        <f>VLOOKUP($A142,'ECOMMERS SALES'!$1:$500,MATCH('vlookup match'!C$1,ECOMMERS_SALES[#Headers],0))</f>
        <v>Laptop</v>
      </c>
      <c r="D142" t="str">
        <f>VLOOKUP($A142,'ECOMMERS SALES'!$1:$500,MATCH('vlookup match'!D$1,ECOMMERS_SALES[#Headers],0))</f>
        <v>Electronics</v>
      </c>
      <c r="E142">
        <f>VLOOKUP($A142,'ECOMMERS SALES'!$1:$500,MATCH('vlookup match'!E$1,ECOMMERS_SALES[#Headers],0))</f>
        <v>1</v>
      </c>
      <c r="F142">
        <f>VLOOKUP($A142,'ECOMMERS SALES'!$1:$500,MATCH('vlookup match'!F$1,ECOMMERS_SALES[#Headers],0))</f>
        <v>58661</v>
      </c>
      <c r="G142">
        <f>VLOOKUP($A142,'ECOMMERS SALES'!$1:$500,MATCH('vlookup match'!G$1,ECOMMERS_SALES[#Headers],0))</f>
        <v>58661</v>
      </c>
      <c r="H142" t="str">
        <f>VLOOKUP($A142,'ECOMMERS SALES'!$1:$500,MATCH('vlookup match'!H$1,ECOMMERS_SALES[#Headers],0))</f>
        <v>Delhi</v>
      </c>
      <c r="I142" t="str">
        <f>VLOOKUP($A142,'ECOMMERS SALES'!$1:$500,MATCH('vlookup match'!I$1,ECOMMERS_SALES[#Headers],0))</f>
        <v>Premimum</v>
      </c>
      <c r="J142" t="str">
        <f>VLOOKUP($A142,'ECOMMERS SALES'!$1:$500,MATCH('vlookup match'!J$1,ECOMMERS_SALES[#Headers],0))</f>
        <v>COD</v>
      </c>
    </row>
    <row r="143" spans="1:10" x14ac:dyDescent="0.35">
      <c r="A143">
        <v>1142</v>
      </c>
      <c r="B143" t="str">
        <f>VLOOKUP($A143,'ECOMMERS SALES'!$1:$500,MATCH('vlookup match'!B$1,ECOMMERS_SALES[#Headers],0))</f>
        <v>23-05-2025</v>
      </c>
      <c r="C143" t="str">
        <f>VLOOKUP($A143,'ECOMMERS SALES'!$1:$500,MATCH('vlookup match'!C$1,ECOMMERS_SALES[#Headers],0))</f>
        <v>Headphones</v>
      </c>
      <c r="D143" t="str">
        <f>VLOOKUP($A143,'ECOMMERS SALES'!$1:$500,MATCH('vlookup match'!D$1,ECOMMERS_SALES[#Headers],0))</f>
        <v>Electronics</v>
      </c>
      <c r="E143">
        <f>VLOOKUP($A143,'ECOMMERS SALES'!$1:$500,MATCH('vlookup match'!E$1,ECOMMERS_SALES[#Headers],0))</f>
        <v>3</v>
      </c>
      <c r="F143">
        <f>VLOOKUP($A143,'ECOMMERS SALES'!$1:$500,MATCH('vlookup match'!F$1,ECOMMERS_SALES[#Headers],0))</f>
        <v>3441</v>
      </c>
      <c r="G143">
        <f>VLOOKUP($A143,'ECOMMERS SALES'!$1:$500,MATCH('vlookup match'!G$1,ECOMMERS_SALES[#Headers],0))</f>
        <v>10323</v>
      </c>
      <c r="H143" t="str">
        <f>VLOOKUP($A143,'ECOMMERS SALES'!$1:$500,MATCH('vlookup match'!H$1,ECOMMERS_SALES[#Headers],0))</f>
        <v>Pune</v>
      </c>
      <c r="I143" t="str">
        <f>VLOOKUP($A143,'ECOMMERS SALES'!$1:$500,MATCH('vlookup match'!I$1,ECOMMERS_SALES[#Headers],0))</f>
        <v>New</v>
      </c>
      <c r="J143" t="str">
        <f>VLOOKUP($A143,'ECOMMERS SALES'!$1:$500,MATCH('vlookup match'!J$1,ECOMMERS_SALES[#Headers],0))</f>
        <v>COD</v>
      </c>
    </row>
    <row r="144" spans="1:10" x14ac:dyDescent="0.35">
      <c r="A144">
        <v>1143</v>
      </c>
      <c r="B144" t="str">
        <f>VLOOKUP($A144,'ECOMMERS SALES'!$1:$500,MATCH('vlookup match'!B$1,ECOMMERS_SALES[#Headers],0))</f>
        <v>24-05-2025</v>
      </c>
      <c r="C144" t="str">
        <f>VLOOKUP($A144,'ECOMMERS SALES'!$1:$500,MATCH('vlookup match'!C$1,ECOMMERS_SALES[#Headers],0))</f>
        <v>Shoes</v>
      </c>
      <c r="D144" t="str">
        <f>VLOOKUP($A144,'ECOMMERS SALES'!$1:$500,MATCH('vlookup match'!D$1,ECOMMERS_SALES[#Headers],0))</f>
        <v>Fashion</v>
      </c>
      <c r="E144">
        <f>VLOOKUP($A144,'ECOMMERS SALES'!$1:$500,MATCH('vlookup match'!E$1,ECOMMERS_SALES[#Headers],0))</f>
        <v>2</v>
      </c>
      <c r="F144">
        <f>VLOOKUP($A144,'ECOMMERS SALES'!$1:$500,MATCH('vlookup match'!F$1,ECOMMERS_SALES[#Headers],0))</f>
        <v>4503</v>
      </c>
      <c r="G144">
        <f>VLOOKUP($A144,'ECOMMERS SALES'!$1:$500,MATCH('vlookup match'!G$1,ECOMMERS_SALES[#Headers],0))</f>
        <v>9006</v>
      </c>
      <c r="H144" t="str">
        <f>VLOOKUP($A144,'ECOMMERS SALES'!$1:$500,MATCH('vlookup match'!H$1,ECOMMERS_SALES[#Headers],0))</f>
        <v>Delhi</v>
      </c>
      <c r="I144" t="str">
        <f>VLOOKUP($A144,'ECOMMERS SALES'!$1:$500,MATCH('vlookup match'!I$1,ECOMMERS_SALES[#Headers],0))</f>
        <v>New</v>
      </c>
      <c r="J144" t="str">
        <f>VLOOKUP($A144,'ECOMMERS SALES'!$1:$500,MATCH('vlookup match'!J$1,ECOMMERS_SALES[#Headers],0))</f>
        <v>Card</v>
      </c>
    </row>
    <row r="145" spans="1:10" x14ac:dyDescent="0.35">
      <c r="A145">
        <v>1144</v>
      </c>
      <c r="B145" t="str">
        <f>VLOOKUP($A145,'ECOMMERS SALES'!$1:$500,MATCH('vlookup match'!B$1,ECOMMERS_SALES[#Headers],0))</f>
        <v>25-05-2025</v>
      </c>
      <c r="C145" t="str">
        <f>VLOOKUP($A145,'ECOMMERS SALES'!$1:$500,MATCH('vlookup match'!C$1,ECOMMERS_SALES[#Headers],0))</f>
        <v>Watch</v>
      </c>
      <c r="D145" t="str">
        <f>VLOOKUP($A145,'ECOMMERS SALES'!$1:$500,MATCH('vlookup match'!D$1,ECOMMERS_SALES[#Headers],0))</f>
        <v>Other</v>
      </c>
      <c r="E145">
        <f>VLOOKUP($A145,'ECOMMERS SALES'!$1:$500,MATCH('vlookup match'!E$1,ECOMMERS_SALES[#Headers],0))</f>
        <v>5</v>
      </c>
      <c r="F145">
        <f>VLOOKUP($A145,'ECOMMERS SALES'!$1:$500,MATCH('vlookup match'!F$1,ECOMMERS_SALES[#Headers],0))</f>
        <v>10835</v>
      </c>
      <c r="G145">
        <f>VLOOKUP($A145,'ECOMMERS SALES'!$1:$500,MATCH('vlookup match'!G$1,ECOMMERS_SALES[#Headers],0))</f>
        <v>54175</v>
      </c>
      <c r="H145" t="str">
        <f>VLOOKUP($A145,'ECOMMERS SALES'!$1:$500,MATCH('vlookup match'!H$1,ECOMMERS_SALES[#Headers],0))</f>
        <v>Chennai</v>
      </c>
      <c r="I145" t="str">
        <f>VLOOKUP($A145,'ECOMMERS SALES'!$1:$500,MATCH('vlookup match'!I$1,ECOMMERS_SALES[#Headers],0))</f>
        <v>Returning</v>
      </c>
      <c r="J145" t="str">
        <f>VLOOKUP($A145,'ECOMMERS SALES'!$1:$500,MATCH('vlookup match'!J$1,ECOMMERS_SALES[#Headers],0))</f>
        <v>UPI</v>
      </c>
    </row>
    <row r="146" spans="1:10" x14ac:dyDescent="0.35">
      <c r="A146">
        <v>1145</v>
      </c>
      <c r="B146" t="str">
        <f>VLOOKUP($A146,'ECOMMERS SALES'!$1:$500,MATCH('vlookup match'!B$1,ECOMMERS_SALES[#Headers],0))</f>
        <v>26-05-2025</v>
      </c>
      <c r="C146" t="str">
        <f>VLOOKUP($A146,'ECOMMERS SALES'!$1:$500,MATCH('vlookup match'!C$1,ECOMMERS_SALES[#Headers],0))</f>
        <v>Mobile Case</v>
      </c>
      <c r="D146" t="str">
        <f>VLOOKUP($A146,'ECOMMERS SALES'!$1:$500,MATCH('vlookup match'!D$1,ECOMMERS_SALES[#Headers],0))</f>
        <v>Other</v>
      </c>
      <c r="E146">
        <f>VLOOKUP($A146,'ECOMMERS SALES'!$1:$500,MATCH('vlookup match'!E$1,ECOMMERS_SALES[#Headers],0))</f>
        <v>2</v>
      </c>
      <c r="F146">
        <f>VLOOKUP($A146,'ECOMMERS SALES'!$1:$500,MATCH('vlookup match'!F$1,ECOMMERS_SALES[#Headers],0))</f>
        <v>334</v>
      </c>
      <c r="G146">
        <f>VLOOKUP($A146,'ECOMMERS SALES'!$1:$500,MATCH('vlookup match'!G$1,ECOMMERS_SALES[#Headers],0))</f>
        <v>668</v>
      </c>
      <c r="H146" t="str">
        <f>VLOOKUP($A146,'ECOMMERS SALES'!$1:$500,MATCH('vlookup match'!H$1,ECOMMERS_SALES[#Headers],0))</f>
        <v>Pune</v>
      </c>
      <c r="I146" t="str">
        <f>VLOOKUP($A146,'ECOMMERS SALES'!$1:$500,MATCH('vlookup match'!I$1,ECOMMERS_SALES[#Headers],0))</f>
        <v>Returning</v>
      </c>
      <c r="J146" t="str">
        <f>VLOOKUP($A146,'ECOMMERS SALES'!$1:$500,MATCH('vlookup match'!J$1,ECOMMERS_SALES[#Headers],0))</f>
        <v>UPI</v>
      </c>
    </row>
    <row r="147" spans="1:10" x14ac:dyDescent="0.35">
      <c r="A147">
        <v>1146</v>
      </c>
      <c r="B147" t="str">
        <f>VLOOKUP($A147,'ECOMMERS SALES'!$1:$500,MATCH('vlookup match'!B$1,ECOMMERS_SALES[#Headers],0))</f>
        <v>27-05-2025</v>
      </c>
      <c r="C147" t="str">
        <f>VLOOKUP($A147,'ECOMMERS SALES'!$1:$500,MATCH('vlookup match'!C$1,ECOMMERS_SALES[#Headers],0))</f>
        <v>Tablet</v>
      </c>
      <c r="D147" t="str">
        <f>VLOOKUP($A147,'ECOMMERS SALES'!$1:$500,MATCH('vlookup match'!D$1,ECOMMERS_SALES[#Headers],0))</f>
        <v>Electronics</v>
      </c>
      <c r="E147">
        <f>VLOOKUP($A147,'ECOMMERS SALES'!$1:$500,MATCH('vlookup match'!E$1,ECOMMERS_SALES[#Headers],0))</f>
        <v>2</v>
      </c>
      <c r="F147">
        <f>VLOOKUP($A147,'ECOMMERS SALES'!$1:$500,MATCH('vlookup match'!F$1,ECOMMERS_SALES[#Headers],0))</f>
        <v>14992</v>
      </c>
      <c r="G147">
        <f>VLOOKUP($A147,'ECOMMERS SALES'!$1:$500,MATCH('vlookup match'!G$1,ECOMMERS_SALES[#Headers],0))</f>
        <v>29984</v>
      </c>
      <c r="H147" t="str">
        <f>VLOOKUP($A147,'ECOMMERS SALES'!$1:$500,MATCH('vlookup match'!H$1,ECOMMERS_SALES[#Headers],0))</f>
        <v>Delhi</v>
      </c>
      <c r="I147" t="str">
        <f>VLOOKUP($A147,'ECOMMERS SALES'!$1:$500,MATCH('vlookup match'!I$1,ECOMMERS_SALES[#Headers],0))</f>
        <v>Premimum</v>
      </c>
      <c r="J147" t="str">
        <f>VLOOKUP($A147,'ECOMMERS SALES'!$1:$500,MATCH('vlookup match'!J$1,ECOMMERS_SALES[#Headers],0))</f>
        <v>COD</v>
      </c>
    </row>
    <row r="148" spans="1:10" x14ac:dyDescent="0.35">
      <c r="A148">
        <v>1147</v>
      </c>
      <c r="B148" t="str">
        <f>VLOOKUP($A148,'ECOMMERS SALES'!$1:$500,MATCH('vlookup match'!B$1,ECOMMERS_SALES[#Headers],0))</f>
        <v>28-05-2025</v>
      </c>
      <c r="C148" t="str">
        <f>VLOOKUP($A148,'ECOMMERS SALES'!$1:$500,MATCH('vlookup match'!C$1,ECOMMERS_SALES[#Headers],0))</f>
        <v>Book</v>
      </c>
      <c r="D148" t="str">
        <f>VLOOKUP($A148,'ECOMMERS SALES'!$1:$500,MATCH('vlookup match'!D$1,ECOMMERS_SALES[#Headers],0))</f>
        <v>Books</v>
      </c>
      <c r="E148">
        <f>VLOOKUP($A148,'ECOMMERS SALES'!$1:$500,MATCH('vlookup match'!E$1,ECOMMERS_SALES[#Headers],0))</f>
        <v>3</v>
      </c>
      <c r="F148">
        <f>VLOOKUP($A148,'ECOMMERS SALES'!$1:$500,MATCH('vlookup match'!F$1,ECOMMERS_SALES[#Headers],0))</f>
        <v>385</v>
      </c>
      <c r="G148">
        <f>VLOOKUP($A148,'ECOMMERS SALES'!$1:$500,MATCH('vlookup match'!G$1,ECOMMERS_SALES[#Headers],0))</f>
        <v>1155</v>
      </c>
      <c r="H148" t="str">
        <f>VLOOKUP($A148,'ECOMMERS SALES'!$1:$500,MATCH('vlookup match'!H$1,ECOMMERS_SALES[#Headers],0))</f>
        <v>Delhi</v>
      </c>
      <c r="I148" t="str">
        <f>VLOOKUP($A148,'ECOMMERS SALES'!$1:$500,MATCH('vlookup match'!I$1,ECOMMERS_SALES[#Headers],0))</f>
        <v>New</v>
      </c>
      <c r="J148" t="str">
        <f>VLOOKUP($A148,'ECOMMERS SALES'!$1:$500,MATCH('vlookup match'!J$1,ECOMMERS_SALES[#Headers],0))</f>
        <v>Card</v>
      </c>
    </row>
    <row r="149" spans="1:10" x14ac:dyDescent="0.35">
      <c r="A149">
        <v>1148</v>
      </c>
      <c r="B149" t="str">
        <f>VLOOKUP($A149,'ECOMMERS SALES'!$1:$500,MATCH('vlookup match'!B$1,ECOMMERS_SALES[#Headers],0))</f>
        <v>29-05-2025</v>
      </c>
      <c r="C149" t="str">
        <f>VLOOKUP($A149,'ECOMMERS SALES'!$1:$500,MATCH('vlookup match'!C$1,ECOMMERS_SALES[#Headers],0))</f>
        <v>Backpack</v>
      </c>
      <c r="D149" t="str">
        <f>VLOOKUP($A149,'ECOMMERS SALES'!$1:$500,MATCH('vlookup match'!D$1,ECOMMERS_SALES[#Headers],0))</f>
        <v>Fashion</v>
      </c>
      <c r="E149">
        <f>VLOOKUP($A149,'ECOMMERS SALES'!$1:$500,MATCH('vlookup match'!E$1,ECOMMERS_SALES[#Headers],0))</f>
        <v>1</v>
      </c>
      <c r="F149">
        <f>VLOOKUP($A149,'ECOMMERS SALES'!$1:$500,MATCH('vlookup match'!F$1,ECOMMERS_SALES[#Headers],0))</f>
        <v>1196</v>
      </c>
      <c r="G149">
        <f>VLOOKUP($A149,'ECOMMERS SALES'!$1:$500,MATCH('vlookup match'!G$1,ECOMMERS_SALES[#Headers],0))</f>
        <v>1196</v>
      </c>
      <c r="H149" t="str">
        <f>VLOOKUP($A149,'ECOMMERS SALES'!$1:$500,MATCH('vlookup match'!H$1,ECOMMERS_SALES[#Headers],0))</f>
        <v>Mumbai</v>
      </c>
      <c r="I149" t="str">
        <f>VLOOKUP($A149,'ECOMMERS SALES'!$1:$500,MATCH('vlookup match'!I$1,ECOMMERS_SALES[#Headers],0))</f>
        <v>Returning</v>
      </c>
      <c r="J149" t="str">
        <f>VLOOKUP($A149,'ECOMMERS SALES'!$1:$500,MATCH('vlookup match'!J$1,ECOMMERS_SALES[#Headers],0))</f>
        <v>UPI</v>
      </c>
    </row>
    <row r="150" spans="1:10" x14ac:dyDescent="0.35">
      <c r="A150">
        <v>1149</v>
      </c>
      <c r="B150" t="str">
        <f>VLOOKUP($A150,'ECOMMERS SALES'!$1:$500,MATCH('vlookup match'!B$1,ECOMMERS_SALES[#Headers],0))</f>
        <v>30-05-2025</v>
      </c>
      <c r="C150" t="str">
        <f>VLOOKUP($A150,'ECOMMERS SALES'!$1:$500,MATCH('vlookup match'!C$1,ECOMMERS_SALES[#Headers],0))</f>
        <v>Smartwatch</v>
      </c>
      <c r="D150" t="str">
        <f>VLOOKUP($A150,'ECOMMERS SALES'!$1:$500,MATCH('vlookup match'!D$1,ECOMMERS_SALES[#Headers],0))</f>
        <v>Electronics</v>
      </c>
      <c r="E150">
        <f>VLOOKUP($A150,'ECOMMERS SALES'!$1:$500,MATCH('vlookup match'!E$1,ECOMMERS_SALES[#Headers],0))</f>
        <v>2</v>
      </c>
      <c r="F150">
        <f>VLOOKUP($A150,'ECOMMERS SALES'!$1:$500,MATCH('vlookup match'!F$1,ECOMMERS_SALES[#Headers],0))</f>
        <v>4766</v>
      </c>
      <c r="G150">
        <f>VLOOKUP($A150,'ECOMMERS SALES'!$1:$500,MATCH('vlookup match'!G$1,ECOMMERS_SALES[#Headers],0))</f>
        <v>9532</v>
      </c>
      <c r="H150" t="str">
        <f>VLOOKUP($A150,'ECOMMERS SALES'!$1:$500,MATCH('vlookup match'!H$1,ECOMMERS_SALES[#Headers],0))</f>
        <v>Bangalore</v>
      </c>
      <c r="I150" t="str">
        <f>VLOOKUP($A150,'ECOMMERS SALES'!$1:$500,MATCH('vlookup match'!I$1,ECOMMERS_SALES[#Headers],0))</f>
        <v>Returning</v>
      </c>
      <c r="J150" t="str">
        <f>VLOOKUP($A150,'ECOMMERS SALES'!$1:$500,MATCH('vlookup match'!J$1,ECOMMERS_SALES[#Headers],0))</f>
        <v>Card</v>
      </c>
    </row>
    <row r="151" spans="1:10" x14ac:dyDescent="0.35">
      <c r="A151">
        <v>1150</v>
      </c>
      <c r="B151" t="str">
        <f>VLOOKUP($A151,'ECOMMERS SALES'!$1:$500,MATCH('vlookup match'!B$1,ECOMMERS_SALES[#Headers],0))</f>
        <v>31-05-2025</v>
      </c>
      <c r="C151" t="str">
        <f>VLOOKUP($A151,'ECOMMERS SALES'!$1:$500,MATCH('vlookup match'!C$1,ECOMMERS_SALES[#Headers],0))</f>
        <v>Water Bottle</v>
      </c>
      <c r="D151" t="str">
        <f>VLOOKUP($A151,'ECOMMERS SALES'!$1:$500,MATCH('vlookup match'!D$1,ECOMMERS_SALES[#Headers],0))</f>
        <v>Other</v>
      </c>
      <c r="E151">
        <f>VLOOKUP($A151,'ECOMMERS SALES'!$1:$500,MATCH('vlookup match'!E$1,ECOMMERS_SALES[#Headers],0))</f>
        <v>4</v>
      </c>
      <c r="F151">
        <f>VLOOKUP($A151,'ECOMMERS SALES'!$1:$500,MATCH('vlookup match'!F$1,ECOMMERS_SALES[#Headers],0))</f>
        <v>317</v>
      </c>
      <c r="G151">
        <f>VLOOKUP($A151,'ECOMMERS SALES'!$1:$500,MATCH('vlookup match'!G$1,ECOMMERS_SALES[#Headers],0))</f>
        <v>1268</v>
      </c>
      <c r="H151" t="str">
        <f>VLOOKUP($A151,'ECOMMERS SALES'!$1:$500,MATCH('vlookup match'!H$1,ECOMMERS_SALES[#Headers],0))</f>
        <v>Chennai</v>
      </c>
      <c r="I151" t="str">
        <f>VLOOKUP($A151,'ECOMMERS SALES'!$1:$500,MATCH('vlookup match'!I$1,ECOMMERS_SALES[#Headers],0))</f>
        <v>Premimum</v>
      </c>
      <c r="J151" t="str">
        <f>VLOOKUP($A151,'ECOMMERS SALES'!$1:$500,MATCH('vlookup match'!J$1,ECOMMERS_SALES[#Headers],0))</f>
        <v>COD</v>
      </c>
    </row>
    <row r="152" spans="1:10" x14ac:dyDescent="0.35">
      <c r="A152">
        <v>1151</v>
      </c>
      <c r="B152" t="str">
        <f>VLOOKUP($A152,'ECOMMERS SALES'!$1:$500,MATCH('vlookup match'!B$1,ECOMMERS_SALES[#Headers],0))</f>
        <v>01-06-2025</v>
      </c>
      <c r="C152" t="str">
        <f>VLOOKUP($A152,'ECOMMERS SALES'!$1:$500,MATCH('vlookup match'!C$1,ECOMMERS_SALES[#Headers],0))</f>
        <v>Laptop</v>
      </c>
      <c r="D152" t="str">
        <f>VLOOKUP($A152,'ECOMMERS SALES'!$1:$500,MATCH('vlookup match'!D$1,ECOMMERS_SALES[#Headers],0))</f>
        <v>Electronics</v>
      </c>
      <c r="E152">
        <f>VLOOKUP($A152,'ECOMMERS SALES'!$1:$500,MATCH('vlookup match'!E$1,ECOMMERS_SALES[#Headers],0))</f>
        <v>2</v>
      </c>
      <c r="F152">
        <f>VLOOKUP($A152,'ECOMMERS SALES'!$1:$500,MATCH('vlookup match'!F$1,ECOMMERS_SALES[#Headers],0))</f>
        <v>59735</v>
      </c>
      <c r="G152">
        <f>VLOOKUP($A152,'ECOMMERS SALES'!$1:$500,MATCH('vlookup match'!G$1,ECOMMERS_SALES[#Headers],0))</f>
        <v>119470</v>
      </c>
      <c r="H152" t="str">
        <f>VLOOKUP($A152,'ECOMMERS SALES'!$1:$500,MATCH('vlookup match'!H$1,ECOMMERS_SALES[#Headers],0))</f>
        <v>Delhi</v>
      </c>
      <c r="I152" t="str">
        <f>VLOOKUP($A152,'ECOMMERS SALES'!$1:$500,MATCH('vlookup match'!I$1,ECOMMERS_SALES[#Headers],0))</f>
        <v>Returning</v>
      </c>
      <c r="J152" t="str">
        <f>VLOOKUP($A152,'ECOMMERS SALES'!$1:$500,MATCH('vlookup match'!J$1,ECOMMERS_SALES[#Headers],0))</f>
        <v>UPI</v>
      </c>
    </row>
    <row r="153" spans="1:10" x14ac:dyDescent="0.35">
      <c r="A153">
        <v>1152</v>
      </c>
      <c r="B153" t="str">
        <f>VLOOKUP($A153,'ECOMMERS SALES'!$1:$500,MATCH('vlookup match'!B$1,ECOMMERS_SALES[#Headers],0))</f>
        <v>02-06-2025</v>
      </c>
      <c r="C153" t="str">
        <f>VLOOKUP($A153,'ECOMMERS SALES'!$1:$500,MATCH('vlookup match'!C$1,ECOMMERS_SALES[#Headers],0))</f>
        <v>Headphones</v>
      </c>
      <c r="D153" t="str">
        <f>VLOOKUP($A153,'ECOMMERS SALES'!$1:$500,MATCH('vlookup match'!D$1,ECOMMERS_SALES[#Headers],0))</f>
        <v>Electronics</v>
      </c>
      <c r="E153">
        <f>VLOOKUP($A153,'ECOMMERS SALES'!$1:$500,MATCH('vlookup match'!E$1,ECOMMERS_SALES[#Headers],0))</f>
        <v>2</v>
      </c>
      <c r="F153">
        <f>VLOOKUP($A153,'ECOMMERS SALES'!$1:$500,MATCH('vlookup match'!F$1,ECOMMERS_SALES[#Headers],0))</f>
        <v>3950</v>
      </c>
      <c r="G153">
        <f>VLOOKUP($A153,'ECOMMERS SALES'!$1:$500,MATCH('vlookup match'!G$1,ECOMMERS_SALES[#Headers],0))</f>
        <v>7900</v>
      </c>
      <c r="H153" t="str">
        <f>VLOOKUP($A153,'ECOMMERS SALES'!$1:$500,MATCH('vlookup match'!H$1,ECOMMERS_SALES[#Headers],0))</f>
        <v>Pune</v>
      </c>
      <c r="I153" t="str">
        <f>VLOOKUP($A153,'ECOMMERS SALES'!$1:$500,MATCH('vlookup match'!I$1,ECOMMERS_SALES[#Headers],0))</f>
        <v>New</v>
      </c>
      <c r="J153" t="str">
        <f>VLOOKUP($A153,'ECOMMERS SALES'!$1:$500,MATCH('vlookup match'!J$1,ECOMMERS_SALES[#Headers],0))</f>
        <v>UPI</v>
      </c>
    </row>
    <row r="154" spans="1:10" x14ac:dyDescent="0.35">
      <c r="A154">
        <v>1153</v>
      </c>
      <c r="B154" t="str">
        <f>VLOOKUP($A154,'ECOMMERS SALES'!$1:$500,MATCH('vlookup match'!B$1,ECOMMERS_SALES[#Headers],0))</f>
        <v>03-06-2025</v>
      </c>
      <c r="C154" t="str">
        <f>VLOOKUP($A154,'ECOMMERS SALES'!$1:$500,MATCH('vlookup match'!C$1,ECOMMERS_SALES[#Headers],0))</f>
        <v>Shoes</v>
      </c>
      <c r="D154" t="str">
        <f>VLOOKUP($A154,'ECOMMERS SALES'!$1:$500,MATCH('vlookup match'!D$1,ECOMMERS_SALES[#Headers],0))</f>
        <v>Fashion</v>
      </c>
      <c r="E154">
        <f>VLOOKUP($A154,'ECOMMERS SALES'!$1:$500,MATCH('vlookup match'!E$1,ECOMMERS_SALES[#Headers],0))</f>
        <v>2</v>
      </c>
      <c r="F154">
        <f>VLOOKUP($A154,'ECOMMERS SALES'!$1:$500,MATCH('vlookup match'!F$1,ECOMMERS_SALES[#Headers],0))</f>
        <v>3263</v>
      </c>
      <c r="G154">
        <f>VLOOKUP($A154,'ECOMMERS SALES'!$1:$500,MATCH('vlookup match'!G$1,ECOMMERS_SALES[#Headers],0))</f>
        <v>6526</v>
      </c>
      <c r="H154" t="str">
        <f>VLOOKUP($A154,'ECOMMERS SALES'!$1:$500,MATCH('vlookup match'!H$1,ECOMMERS_SALES[#Headers],0))</f>
        <v>Chennai</v>
      </c>
      <c r="I154" t="str">
        <f>VLOOKUP($A154,'ECOMMERS SALES'!$1:$500,MATCH('vlookup match'!I$1,ECOMMERS_SALES[#Headers],0))</f>
        <v>New</v>
      </c>
      <c r="J154" t="str">
        <f>VLOOKUP($A154,'ECOMMERS SALES'!$1:$500,MATCH('vlookup match'!J$1,ECOMMERS_SALES[#Headers],0))</f>
        <v>UPI</v>
      </c>
    </row>
    <row r="155" spans="1:10" x14ac:dyDescent="0.35">
      <c r="A155">
        <v>1154</v>
      </c>
      <c r="B155" t="str">
        <f>VLOOKUP($A155,'ECOMMERS SALES'!$1:$500,MATCH('vlookup match'!B$1,ECOMMERS_SALES[#Headers],0))</f>
        <v>04-06-2025</v>
      </c>
      <c r="C155" t="str">
        <f>VLOOKUP($A155,'ECOMMERS SALES'!$1:$500,MATCH('vlookup match'!C$1,ECOMMERS_SALES[#Headers],0))</f>
        <v>Watch</v>
      </c>
      <c r="D155" t="str">
        <f>VLOOKUP($A155,'ECOMMERS SALES'!$1:$500,MATCH('vlookup match'!D$1,ECOMMERS_SALES[#Headers],0))</f>
        <v>Other</v>
      </c>
      <c r="E155">
        <f>VLOOKUP($A155,'ECOMMERS SALES'!$1:$500,MATCH('vlookup match'!E$1,ECOMMERS_SALES[#Headers],0))</f>
        <v>4</v>
      </c>
      <c r="F155">
        <f>VLOOKUP($A155,'ECOMMERS SALES'!$1:$500,MATCH('vlookup match'!F$1,ECOMMERS_SALES[#Headers],0))</f>
        <v>8514</v>
      </c>
      <c r="G155">
        <f>VLOOKUP($A155,'ECOMMERS SALES'!$1:$500,MATCH('vlookup match'!G$1,ECOMMERS_SALES[#Headers],0))</f>
        <v>34056</v>
      </c>
      <c r="H155" t="str">
        <f>VLOOKUP($A155,'ECOMMERS SALES'!$1:$500,MATCH('vlookup match'!H$1,ECOMMERS_SALES[#Headers],0))</f>
        <v>Delhi</v>
      </c>
      <c r="I155" t="str">
        <f>VLOOKUP($A155,'ECOMMERS SALES'!$1:$500,MATCH('vlookup match'!I$1,ECOMMERS_SALES[#Headers],0))</f>
        <v>New</v>
      </c>
      <c r="J155" t="str">
        <f>VLOOKUP($A155,'ECOMMERS SALES'!$1:$500,MATCH('vlookup match'!J$1,ECOMMERS_SALES[#Headers],0))</f>
        <v>COD</v>
      </c>
    </row>
    <row r="156" spans="1:10" x14ac:dyDescent="0.35">
      <c r="A156">
        <v>1155</v>
      </c>
      <c r="B156" t="str">
        <f>VLOOKUP($A156,'ECOMMERS SALES'!$1:$500,MATCH('vlookup match'!B$1,ECOMMERS_SALES[#Headers],0))</f>
        <v>05-06-2025</v>
      </c>
      <c r="C156" t="str">
        <f>VLOOKUP($A156,'ECOMMERS SALES'!$1:$500,MATCH('vlookup match'!C$1,ECOMMERS_SALES[#Headers],0))</f>
        <v>Mobile Case</v>
      </c>
      <c r="D156" t="str">
        <f>VLOOKUP($A156,'ECOMMERS SALES'!$1:$500,MATCH('vlookup match'!D$1,ECOMMERS_SALES[#Headers],0))</f>
        <v>Other</v>
      </c>
      <c r="E156">
        <f>VLOOKUP($A156,'ECOMMERS SALES'!$1:$500,MATCH('vlookup match'!E$1,ECOMMERS_SALES[#Headers],0))</f>
        <v>2</v>
      </c>
      <c r="F156">
        <f>VLOOKUP($A156,'ECOMMERS SALES'!$1:$500,MATCH('vlookup match'!F$1,ECOMMERS_SALES[#Headers],0))</f>
        <v>172</v>
      </c>
      <c r="G156">
        <f>VLOOKUP($A156,'ECOMMERS SALES'!$1:$500,MATCH('vlookup match'!G$1,ECOMMERS_SALES[#Headers],0))</f>
        <v>344</v>
      </c>
      <c r="H156" t="str">
        <f>VLOOKUP($A156,'ECOMMERS SALES'!$1:$500,MATCH('vlookup match'!H$1,ECOMMERS_SALES[#Headers],0))</f>
        <v>Bangalore</v>
      </c>
      <c r="I156" t="str">
        <f>VLOOKUP($A156,'ECOMMERS SALES'!$1:$500,MATCH('vlookup match'!I$1,ECOMMERS_SALES[#Headers],0))</f>
        <v>Premimum</v>
      </c>
      <c r="J156" t="str">
        <f>VLOOKUP($A156,'ECOMMERS SALES'!$1:$500,MATCH('vlookup match'!J$1,ECOMMERS_SALES[#Headers],0))</f>
        <v>COD</v>
      </c>
    </row>
    <row r="157" spans="1:10" x14ac:dyDescent="0.35">
      <c r="A157">
        <v>1156</v>
      </c>
      <c r="B157" t="str">
        <f>VLOOKUP($A157,'ECOMMERS SALES'!$1:$500,MATCH('vlookup match'!B$1,ECOMMERS_SALES[#Headers],0))</f>
        <v>06-06-2025</v>
      </c>
      <c r="C157" t="str">
        <f>VLOOKUP($A157,'ECOMMERS SALES'!$1:$500,MATCH('vlookup match'!C$1,ECOMMERS_SALES[#Headers],0))</f>
        <v>Tablet</v>
      </c>
      <c r="D157" t="str">
        <f>VLOOKUP($A157,'ECOMMERS SALES'!$1:$500,MATCH('vlookup match'!D$1,ECOMMERS_SALES[#Headers],0))</f>
        <v>Electronics</v>
      </c>
      <c r="E157">
        <f>VLOOKUP($A157,'ECOMMERS SALES'!$1:$500,MATCH('vlookup match'!E$1,ECOMMERS_SALES[#Headers],0))</f>
        <v>1</v>
      </c>
      <c r="F157">
        <f>VLOOKUP($A157,'ECOMMERS SALES'!$1:$500,MATCH('vlookup match'!F$1,ECOMMERS_SALES[#Headers],0))</f>
        <v>21077</v>
      </c>
      <c r="G157">
        <f>VLOOKUP($A157,'ECOMMERS SALES'!$1:$500,MATCH('vlookup match'!G$1,ECOMMERS_SALES[#Headers],0))</f>
        <v>21077</v>
      </c>
      <c r="H157" t="str">
        <f>VLOOKUP($A157,'ECOMMERS SALES'!$1:$500,MATCH('vlookup match'!H$1,ECOMMERS_SALES[#Headers],0))</f>
        <v>Bangalore</v>
      </c>
      <c r="I157" t="str">
        <f>VLOOKUP($A157,'ECOMMERS SALES'!$1:$500,MATCH('vlookup match'!I$1,ECOMMERS_SALES[#Headers],0))</f>
        <v>New</v>
      </c>
      <c r="J157" t="str">
        <f>VLOOKUP($A157,'ECOMMERS SALES'!$1:$500,MATCH('vlookup match'!J$1,ECOMMERS_SALES[#Headers],0))</f>
        <v>UPI</v>
      </c>
    </row>
    <row r="158" spans="1:10" x14ac:dyDescent="0.35">
      <c r="A158">
        <v>1157</v>
      </c>
      <c r="B158" t="str">
        <f>VLOOKUP($A158,'ECOMMERS SALES'!$1:$500,MATCH('vlookup match'!B$1,ECOMMERS_SALES[#Headers],0))</f>
        <v>07-06-2025</v>
      </c>
      <c r="C158" t="str">
        <f>VLOOKUP($A158,'ECOMMERS SALES'!$1:$500,MATCH('vlookup match'!C$1,ECOMMERS_SALES[#Headers],0))</f>
        <v>Book</v>
      </c>
      <c r="D158" t="str">
        <f>VLOOKUP($A158,'ECOMMERS SALES'!$1:$500,MATCH('vlookup match'!D$1,ECOMMERS_SALES[#Headers],0))</f>
        <v>Books</v>
      </c>
      <c r="E158">
        <f>VLOOKUP($A158,'ECOMMERS SALES'!$1:$500,MATCH('vlookup match'!E$1,ECOMMERS_SALES[#Headers],0))</f>
        <v>5</v>
      </c>
      <c r="F158">
        <f>VLOOKUP($A158,'ECOMMERS SALES'!$1:$500,MATCH('vlookup match'!F$1,ECOMMERS_SALES[#Headers],0))</f>
        <v>747</v>
      </c>
      <c r="G158">
        <f>VLOOKUP($A158,'ECOMMERS SALES'!$1:$500,MATCH('vlookup match'!G$1,ECOMMERS_SALES[#Headers],0))</f>
        <v>3735</v>
      </c>
      <c r="H158" t="str">
        <f>VLOOKUP($A158,'ECOMMERS SALES'!$1:$500,MATCH('vlookup match'!H$1,ECOMMERS_SALES[#Headers],0))</f>
        <v>Bangalore</v>
      </c>
      <c r="I158" t="str">
        <f>VLOOKUP($A158,'ECOMMERS SALES'!$1:$500,MATCH('vlookup match'!I$1,ECOMMERS_SALES[#Headers],0))</f>
        <v>Returning</v>
      </c>
      <c r="J158" t="str">
        <f>VLOOKUP($A158,'ECOMMERS SALES'!$1:$500,MATCH('vlookup match'!J$1,ECOMMERS_SALES[#Headers],0))</f>
        <v>COD</v>
      </c>
    </row>
    <row r="159" spans="1:10" x14ac:dyDescent="0.35">
      <c r="A159">
        <v>1158</v>
      </c>
      <c r="B159" t="str">
        <f>VLOOKUP($A159,'ECOMMERS SALES'!$1:$500,MATCH('vlookup match'!B$1,ECOMMERS_SALES[#Headers],0))</f>
        <v>08-06-2025</v>
      </c>
      <c r="C159" t="str">
        <f>VLOOKUP($A159,'ECOMMERS SALES'!$1:$500,MATCH('vlookup match'!C$1,ECOMMERS_SALES[#Headers],0))</f>
        <v>Backpack</v>
      </c>
      <c r="D159" t="str">
        <f>VLOOKUP($A159,'ECOMMERS SALES'!$1:$500,MATCH('vlookup match'!D$1,ECOMMERS_SALES[#Headers],0))</f>
        <v>Fashion</v>
      </c>
      <c r="E159">
        <f>VLOOKUP($A159,'ECOMMERS SALES'!$1:$500,MATCH('vlookup match'!E$1,ECOMMERS_SALES[#Headers],0))</f>
        <v>2</v>
      </c>
      <c r="F159">
        <f>VLOOKUP($A159,'ECOMMERS SALES'!$1:$500,MATCH('vlookup match'!F$1,ECOMMERS_SALES[#Headers],0))</f>
        <v>850</v>
      </c>
      <c r="G159">
        <f>VLOOKUP($A159,'ECOMMERS SALES'!$1:$500,MATCH('vlookup match'!G$1,ECOMMERS_SALES[#Headers],0))</f>
        <v>1700</v>
      </c>
      <c r="H159" t="str">
        <f>VLOOKUP($A159,'ECOMMERS SALES'!$1:$500,MATCH('vlookup match'!H$1,ECOMMERS_SALES[#Headers],0))</f>
        <v>Pune</v>
      </c>
      <c r="I159" t="str">
        <f>VLOOKUP($A159,'ECOMMERS SALES'!$1:$500,MATCH('vlookup match'!I$1,ECOMMERS_SALES[#Headers],0))</f>
        <v>Premimum</v>
      </c>
      <c r="J159" t="str">
        <f>VLOOKUP($A159,'ECOMMERS SALES'!$1:$500,MATCH('vlookup match'!J$1,ECOMMERS_SALES[#Headers],0))</f>
        <v>Card</v>
      </c>
    </row>
    <row r="160" spans="1:10" x14ac:dyDescent="0.35">
      <c r="A160">
        <v>1159</v>
      </c>
      <c r="B160" t="str">
        <f>VLOOKUP($A160,'ECOMMERS SALES'!$1:$500,MATCH('vlookup match'!B$1,ECOMMERS_SALES[#Headers],0))</f>
        <v>09-06-2025</v>
      </c>
      <c r="C160" t="str">
        <f>VLOOKUP($A160,'ECOMMERS SALES'!$1:$500,MATCH('vlookup match'!C$1,ECOMMERS_SALES[#Headers],0))</f>
        <v>Smartwatch</v>
      </c>
      <c r="D160" t="str">
        <f>VLOOKUP($A160,'ECOMMERS SALES'!$1:$500,MATCH('vlookup match'!D$1,ECOMMERS_SALES[#Headers],0))</f>
        <v>Electronics</v>
      </c>
      <c r="E160">
        <f>VLOOKUP($A160,'ECOMMERS SALES'!$1:$500,MATCH('vlookup match'!E$1,ECOMMERS_SALES[#Headers],0))</f>
        <v>2</v>
      </c>
      <c r="F160">
        <f>VLOOKUP($A160,'ECOMMERS SALES'!$1:$500,MATCH('vlookup match'!F$1,ECOMMERS_SALES[#Headers],0))</f>
        <v>13771</v>
      </c>
      <c r="G160">
        <f>VLOOKUP($A160,'ECOMMERS SALES'!$1:$500,MATCH('vlookup match'!G$1,ECOMMERS_SALES[#Headers],0))</f>
        <v>27542</v>
      </c>
      <c r="H160" t="str">
        <f>VLOOKUP($A160,'ECOMMERS SALES'!$1:$500,MATCH('vlookup match'!H$1,ECOMMERS_SALES[#Headers],0))</f>
        <v>Chennai</v>
      </c>
      <c r="I160" t="str">
        <f>VLOOKUP($A160,'ECOMMERS SALES'!$1:$500,MATCH('vlookup match'!I$1,ECOMMERS_SALES[#Headers],0))</f>
        <v>Premimum</v>
      </c>
      <c r="J160" t="str">
        <f>VLOOKUP($A160,'ECOMMERS SALES'!$1:$500,MATCH('vlookup match'!J$1,ECOMMERS_SALES[#Headers],0))</f>
        <v>Card</v>
      </c>
    </row>
    <row r="161" spans="1:10" x14ac:dyDescent="0.35">
      <c r="A161">
        <v>1160</v>
      </c>
      <c r="B161" t="str">
        <f>VLOOKUP($A161,'ECOMMERS SALES'!$1:$500,MATCH('vlookup match'!B$1,ECOMMERS_SALES[#Headers],0))</f>
        <v>10-06-2025</v>
      </c>
      <c r="C161" t="str">
        <f>VLOOKUP($A161,'ECOMMERS SALES'!$1:$500,MATCH('vlookup match'!C$1,ECOMMERS_SALES[#Headers],0))</f>
        <v>Water Bottle</v>
      </c>
      <c r="D161" t="str">
        <f>VLOOKUP($A161,'ECOMMERS SALES'!$1:$500,MATCH('vlookup match'!D$1,ECOMMERS_SALES[#Headers],0))</f>
        <v>Other</v>
      </c>
      <c r="E161">
        <f>VLOOKUP($A161,'ECOMMERS SALES'!$1:$500,MATCH('vlookup match'!E$1,ECOMMERS_SALES[#Headers],0))</f>
        <v>4</v>
      </c>
      <c r="F161">
        <f>VLOOKUP($A161,'ECOMMERS SALES'!$1:$500,MATCH('vlookup match'!F$1,ECOMMERS_SALES[#Headers],0))</f>
        <v>258</v>
      </c>
      <c r="G161">
        <f>VLOOKUP($A161,'ECOMMERS SALES'!$1:$500,MATCH('vlookup match'!G$1,ECOMMERS_SALES[#Headers],0))</f>
        <v>1032</v>
      </c>
      <c r="H161" t="str">
        <f>VLOOKUP($A161,'ECOMMERS SALES'!$1:$500,MATCH('vlookup match'!H$1,ECOMMERS_SALES[#Headers],0))</f>
        <v>Bangalore</v>
      </c>
      <c r="I161" t="str">
        <f>VLOOKUP($A161,'ECOMMERS SALES'!$1:$500,MATCH('vlookup match'!I$1,ECOMMERS_SALES[#Headers],0))</f>
        <v>New</v>
      </c>
      <c r="J161" t="str">
        <f>VLOOKUP($A161,'ECOMMERS SALES'!$1:$500,MATCH('vlookup match'!J$1,ECOMMERS_SALES[#Headers],0))</f>
        <v>UPI</v>
      </c>
    </row>
    <row r="162" spans="1:10" x14ac:dyDescent="0.35">
      <c r="A162">
        <v>1161</v>
      </c>
      <c r="B162" t="str">
        <f>VLOOKUP($A162,'ECOMMERS SALES'!$1:$500,MATCH('vlookup match'!B$1,ECOMMERS_SALES[#Headers],0))</f>
        <v>11-06-2025</v>
      </c>
      <c r="C162" t="str">
        <f>VLOOKUP($A162,'ECOMMERS SALES'!$1:$500,MATCH('vlookup match'!C$1,ECOMMERS_SALES[#Headers],0))</f>
        <v>Laptop</v>
      </c>
      <c r="D162" t="str">
        <f>VLOOKUP($A162,'ECOMMERS SALES'!$1:$500,MATCH('vlookup match'!D$1,ECOMMERS_SALES[#Headers],0))</f>
        <v>Electronics</v>
      </c>
      <c r="E162">
        <f>VLOOKUP($A162,'ECOMMERS SALES'!$1:$500,MATCH('vlookup match'!E$1,ECOMMERS_SALES[#Headers],0))</f>
        <v>2</v>
      </c>
      <c r="F162">
        <f>VLOOKUP($A162,'ECOMMERS SALES'!$1:$500,MATCH('vlookup match'!F$1,ECOMMERS_SALES[#Headers],0))</f>
        <v>44856</v>
      </c>
      <c r="G162">
        <f>VLOOKUP($A162,'ECOMMERS SALES'!$1:$500,MATCH('vlookup match'!G$1,ECOMMERS_SALES[#Headers],0))</f>
        <v>89712</v>
      </c>
      <c r="H162" t="str">
        <f>VLOOKUP($A162,'ECOMMERS SALES'!$1:$500,MATCH('vlookup match'!H$1,ECOMMERS_SALES[#Headers],0))</f>
        <v>Mumbai</v>
      </c>
      <c r="I162" t="str">
        <f>VLOOKUP($A162,'ECOMMERS SALES'!$1:$500,MATCH('vlookup match'!I$1,ECOMMERS_SALES[#Headers],0))</f>
        <v>New</v>
      </c>
      <c r="J162" t="str">
        <f>VLOOKUP($A162,'ECOMMERS SALES'!$1:$500,MATCH('vlookup match'!J$1,ECOMMERS_SALES[#Headers],0))</f>
        <v>COD</v>
      </c>
    </row>
    <row r="163" spans="1:10" x14ac:dyDescent="0.35">
      <c r="A163">
        <v>1162</v>
      </c>
      <c r="B163" t="str">
        <f>VLOOKUP($A163,'ECOMMERS SALES'!$1:$500,MATCH('vlookup match'!B$1,ECOMMERS_SALES[#Headers],0))</f>
        <v>12-06-2025</v>
      </c>
      <c r="C163" t="str">
        <f>VLOOKUP($A163,'ECOMMERS SALES'!$1:$500,MATCH('vlookup match'!C$1,ECOMMERS_SALES[#Headers],0))</f>
        <v>Headphones</v>
      </c>
      <c r="D163" t="str">
        <f>VLOOKUP($A163,'ECOMMERS SALES'!$1:$500,MATCH('vlookup match'!D$1,ECOMMERS_SALES[#Headers],0))</f>
        <v>Electronics</v>
      </c>
      <c r="E163">
        <f>VLOOKUP($A163,'ECOMMERS SALES'!$1:$500,MATCH('vlookup match'!E$1,ECOMMERS_SALES[#Headers],0))</f>
        <v>3</v>
      </c>
      <c r="F163">
        <f>VLOOKUP($A163,'ECOMMERS SALES'!$1:$500,MATCH('vlookup match'!F$1,ECOMMERS_SALES[#Headers],0))</f>
        <v>3161</v>
      </c>
      <c r="G163">
        <f>VLOOKUP($A163,'ECOMMERS SALES'!$1:$500,MATCH('vlookup match'!G$1,ECOMMERS_SALES[#Headers],0))</f>
        <v>9483</v>
      </c>
      <c r="H163" t="str">
        <f>VLOOKUP($A163,'ECOMMERS SALES'!$1:$500,MATCH('vlookup match'!H$1,ECOMMERS_SALES[#Headers],0))</f>
        <v>Chennai</v>
      </c>
      <c r="I163" t="str">
        <f>VLOOKUP($A163,'ECOMMERS SALES'!$1:$500,MATCH('vlookup match'!I$1,ECOMMERS_SALES[#Headers],0))</f>
        <v>New</v>
      </c>
      <c r="J163" t="str">
        <f>VLOOKUP($A163,'ECOMMERS SALES'!$1:$500,MATCH('vlookup match'!J$1,ECOMMERS_SALES[#Headers],0))</f>
        <v>COD</v>
      </c>
    </row>
    <row r="164" spans="1:10" x14ac:dyDescent="0.35">
      <c r="A164">
        <v>1163</v>
      </c>
      <c r="B164" t="str">
        <f>VLOOKUP($A164,'ECOMMERS SALES'!$1:$500,MATCH('vlookup match'!B$1,ECOMMERS_SALES[#Headers],0))</f>
        <v>13-06-2025</v>
      </c>
      <c r="C164" t="str">
        <f>VLOOKUP($A164,'ECOMMERS SALES'!$1:$500,MATCH('vlookup match'!C$1,ECOMMERS_SALES[#Headers],0))</f>
        <v>Shoes</v>
      </c>
      <c r="D164" t="str">
        <f>VLOOKUP($A164,'ECOMMERS SALES'!$1:$500,MATCH('vlookup match'!D$1,ECOMMERS_SALES[#Headers],0))</f>
        <v>Fashion</v>
      </c>
      <c r="E164">
        <f>VLOOKUP($A164,'ECOMMERS SALES'!$1:$500,MATCH('vlookup match'!E$1,ECOMMERS_SALES[#Headers],0))</f>
        <v>1</v>
      </c>
      <c r="F164">
        <f>VLOOKUP($A164,'ECOMMERS SALES'!$1:$500,MATCH('vlookup match'!F$1,ECOMMERS_SALES[#Headers],0))</f>
        <v>4464</v>
      </c>
      <c r="G164">
        <f>VLOOKUP($A164,'ECOMMERS SALES'!$1:$500,MATCH('vlookup match'!G$1,ECOMMERS_SALES[#Headers],0))</f>
        <v>4464</v>
      </c>
      <c r="H164" t="str">
        <f>VLOOKUP($A164,'ECOMMERS SALES'!$1:$500,MATCH('vlookup match'!H$1,ECOMMERS_SALES[#Headers],0))</f>
        <v>Chennai</v>
      </c>
      <c r="I164" t="str">
        <f>VLOOKUP($A164,'ECOMMERS SALES'!$1:$500,MATCH('vlookup match'!I$1,ECOMMERS_SALES[#Headers],0))</f>
        <v>Returning</v>
      </c>
      <c r="J164" t="str">
        <f>VLOOKUP($A164,'ECOMMERS SALES'!$1:$500,MATCH('vlookup match'!J$1,ECOMMERS_SALES[#Headers],0))</f>
        <v>COD</v>
      </c>
    </row>
    <row r="165" spans="1:10" x14ac:dyDescent="0.35">
      <c r="A165">
        <v>1164</v>
      </c>
      <c r="B165" t="str">
        <f>VLOOKUP($A165,'ECOMMERS SALES'!$1:$500,MATCH('vlookup match'!B$1,ECOMMERS_SALES[#Headers],0))</f>
        <v>14-06-2025</v>
      </c>
      <c r="C165" t="str">
        <f>VLOOKUP($A165,'ECOMMERS SALES'!$1:$500,MATCH('vlookup match'!C$1,ECOMMERS_SALES[#Headers],0))</f>
        <v>Watch</v>
      </c>
      <c r="D165" t="str">
        <f>VLOOKUP($A165,'ECOMMERS SALES'!$1:$500,MATCH('vlookup match'!D$1,ECOMMERS_SALES[#Headers],0))</f>
        <v>Other</v>
      </c>
      <c r="E165">
        <f>VLOOKUP($A165,'ECOMMERS SALES'!$1:$500,MATCH('vlookup match'!E$1,ECOMMERS_SALES[#Headers],0))</f>
        <v>1</v>
      </c>
      <c r="F165">
        <f>VLOOKUP($A165,'ECOMMERS SALES'!$1:$500,MATCH('vlookup match'!F$1,ECOMMERS_SALES[#Headers],0))</f>
        <v>4758</v>
      </c>
      <c r="G165">
        <f>VLOOKUP($A165,'ECOMMERS SALES'!$1:$500,MATCH('vlookup match'!G$1,ECOMMERS_SALES[#Headers],0))</f>
        <v>4758</v>
      </c>
      <c r="H165" t="str">
        <f>VLOOKUP($A165,'ECOMMERS SALES'!$1:$500,MATCH('vlookup match'!H$1,ECOMMERS_SALES[#Headers],0))</f>
        <v>Delhi</v>
      </c>
      <c r="I165" t="str">
        <f>VLOOKUP($A165,'ECOMMERS SALES'!$1:$500,MATCH('vlookup match'!I$1,ECOMMERS_SALES[#Headers],0))</f>
        <v>Returning</v>
      </c>
      <c r="J165" t="str">
        <f>VLOOKUP($A165,'ECOMMERS SALES'!$1:$500,MATCH('vlookup match'!J$1,ECOMMERS_SALES[#Headers],0))</f>
        <v>COD</v>
      </c>
    </row>
    <row r="166" spans="1:10" x14ac:dyDescent="0.35">
      <c r="A166">
        <v>1165</v>
      </c>
      <c r="B166" t="str">
        <f>VLOOKUP($A166,'ECOMMERS SALES'!$1:$500,MATCH('vlookup match'!B$1,ECOMMERS_SALES[#Headers],0))</f>
        <v>15-06-2025</v>
      </c>
      <c r="C166" t="str">
        <f>VLOOKUP($A166,'ECOMMERS SALES'!$1:$500,MATCH('vlookup match'!C$1,ECOMMERS_SALES[#Headers],0))</f>
        <v>Mobile Case</v>
      </c>
      <c r="D166" t="str">
        <f>VLOOKUP($A166,'ECOMMERS SALES'!$1:$500,MATCH('vlookup match'!D$1,ECOMMERS_SALES[#Headers],0))</f>
        <v>Other</v>
      </c>
      <c r="E166">
        <f>VLOOKUP($A166,'ECOMMERS SALES'!$1:$500,MATCH('vlookup match'!E$1,ECOMMERS_SALES[#Headers],0))</f>
        <v>4</v>
      </c>
      <c r="F166">
        <f>VLOOKUP($A166,'ECOMMERS SALES'!$1:$500,MATCH('vlookup match'!F$1,ECOMMERS_SALES[#Headers],0))</f>
        <v>490</v>
      </c>
      <c r="G166">
        <f>VLOOKUP($A166,'ECOMMERS SALES'!$1:$500,MATCH('vlookup match'!G$1,ECOMMERS_SALES[#Headers],0))</f>
        <v>1960</v>
      </c>
      <c r="H166" t="str">
        <f>VLOOKUP($A166,'ECOMMERS SALES'!$1:$500,MATCH('vlookup match'!H$1,ECOMMERS_SALES[#Headers],0))</f>
        <v>Chennai</v>
      </c>
      <c r="I166" t="str">
        <f>VLOOKUP($A166,'ECOMMERS SALES'!$1:$500,MATCH('vlookup match'!I$1,ECOMMERS_SALES[#Headers],0))</f>
        <v>Returning</v>
      </c>
      <c r="J166" t="str">
        <f>VLOOKUP($A166,'ECOMMERS SALES'!$1:$500,MATCH('vlookup match'!J$1,ECOMMERS_SALES[#Headers],0))</f>
        <v>UPI</v>
      </c>
    </row>
    <row r="167" spans="1:10" x14ac:dyDescent="0.35">
      <c r="A167">
        <v>1166</v>
      </c>
      <c r="B167" t="str">
        <f>VLOOKUP($A167,'ECOMMERS SALES'!$1:$500,MATCH('vlookup match'!B$1,ECOMMERS_SALES[#Headers],0))</f>
        <v>16-06-2025</v>
      </c>
      <c r="C167" t="str">
        <f>VLOOKUP($A167,'ECOMMERS SALES'!$1:$500,MATCH('vlookup match'!C$1,ECOMMERS_SALES[#Headers],0))</f>
        <v>Tablet</v>
      </c>
      <c r="D167" t="str">
        <f>VLOOKUP($A167,'ECOMMERS SALES'!$1:$500,MATCH('vlookup match'!D$1,ECOMMERS_SALES[#Headers],0))</f>
        <v>Electronics</v>
      </c>
      <c r="E167">
        <f>VLOOKUP($A167,'ECOMMERS SALES'!$1:$500,MATCH('vlookup match'!E$1,ECOMMERS_SALES[#Headers],0))</f>
        <v>1</v>
      </c>
      <c r="F167">
        <f>VLOOKUP($A167,'ECOMMERS SALES'!$1:$500,MATCH('vlookup match'!F$1,ECOMMERS_SALES[#Headers],0))</f>
        <v>38739</v>
      </c>
      <c r="G167">
        <f>VLOOKUP($A167,'ECOMMERS SALES'!$1:$500,MATCH('vlookup match'!G$1,ECOMMERS_SALES[#Headers],0))</f>
        <v>38739</v>
      </c>
      <c r="H167" t="str">
        <f>VLOOKUP($A167,'ECOMMERS SALES'!$1:$500,MATCH('vlookup match'!H$1,ECOMMERS_SALES[#Headers],0))</f>
        <v>Bangalore</v>
      </c>
      <c r="I167" t="str">
        <f>VLOOKUP($A167,'ECOMMERS SALES'!$1:$500,MATCH('vlookup match'!I$1,ECOMMERS_SALES[#Headers],0))</f>
        <v>Premimum</v>
      </c>
      <c r="J167" t="str">
        <f>VLOOKUP($A167,'ECOMMERS SALES'!$1:$500,MATCH('vlookup match'!J$1,ECOMMERS_SALES[#Headers],0))</f>
        <v>UPI</v>
      </c>
    </row>
    <row r="168" spans="1:10" x14ac:dyDescent="0.35">
      <c r="A168">
        <v>1167</v>
      </c>
      <c r="B168" t="str">
        <f>VLOOKUP($A168,'ECOMMERS SALES'!$1:$500,MATCH('vlookup match'!B$1,ECOMMERS_SALES[#Headers],0))</f>
        <v>17-06-2025</v>
      </c>
      <c r="C168" t="str">
        <f>VLOOKUP($A168,'ECOMMERS SALES'!$1:$500,MATCH('vlookup match'!C$1,ECOMMERS_SALES[#Headers],0))</f>
        <v>Book</v>
      </c>
      <c r="D168" t="str">
        <f>VLOOKUP($A168,'ECOMMERS SALES'!$1:$500,MATCH('vlookup match'!D$1,ECOMMERS_SALES[#Headers],0))</f>
        <v>Books</v>
      </c>
      <c r="E168">
        <f>VLOOKUP($A168,'ECOMMERS SALES'!$1:$500,MATCH('vlookup match'!E$1,ECOMMERS_SALES[#Headers],0))</f>
        <v>3</v>
      </c>
      <c r="F168">
        <f>VLOOKUP($A168,'ECOMMERS SALES'!$1:$500,MATCH('vlookup match'!F$1,ECOMMERS_SALES[#Headers],0))</f>
        <v>368</v>
      </c>
      <c r="G168">
        <f>VLOOKUP($A168,'ECOMMERS SALES'!$1:$500,MATCH('vlookup match'!G$1,ECOMMERS_SALES[#Headers],0))</f>
        <v>1104</v>
      </c>
      <c r="H168" t="str">
        <f>VLOOKUP($A168,'ECOMMERS SALES'!$1:$500,MATCH('vlookup match'!H$1,ECOMMERS_SALES[#Headers],0))</f>
        <v>Chennai</v>
      </c>
      <c r="I168" t="str">
        <f>VLOOKUP($A168,'ECOMMERS SALES'!$1:$500,MATCH('vlookup match'!I$1,ECOMMERS_SALES[#Headers],0))</f>
        <v>New</v>
      </c>
      <c r="J168" t="str">
        <f>VLOOKUP($A168,'ECOMMERS SALES'!$1:$500,MATCH('vlookup match'!J$1,ECOMMERS_SALES[#Headers],0))</f>
        <v>COD</v>
      </c>
    </row>
    <row r="169" spans="1:10" x14ac:dyDescent="0.35">
      <c r="A169">
        <v>1168</v>
      </c>
      <c r="B169" t="str">
        <f>VLOOKUP($A169,'ECOMMERS SALES'!$1:$500,MATCH('vlookup match'!B$1,ECOMMERS_SALES[#Headers],0))</f>
        <v>18-06-2025</v>
      </c>
      <c r="C169" t="str">
        <f>VLOOKUP($A169,'ECOMMERS SALES'!$1:$500,MATCH('vlookup match'!C$1,ECOMMERS_SALES[#Headers],0))</f>
        <v>Backpack</v>
      </c>
      <c r="D169" t="str">
        <f>VLOOKUP($A169,'ECOMMERS SALES'!$1:$500,MATCH('vlookup match'!D$1,ECOMMERS_SALES[#Headers],0))</f>
        <v>Fashion</v>
      </c>
      <c r="E169">
        <f>VLOOKUP($A169,'ECOMMERS SALES'!$1:$500,MATCH('vlookup match'!E$1,ECOMMERS_SALES[#Headers],0))</f>
        <v>1</v>
      </c>
      <c r="F169">
        <f>VLOOKUP($A169,'ECOMMERS SALES'!$1:$500,MATCH('vlookup match'!F$1,ECOMMERS_SALES[#Headers],0))</f>
        <v>1931</v>
      </c>
      <c r="G169">
        <f>VLOOKUP($A169,'ECOMMERS SALES'!$1:$500,MATCH('vlookup match'!G$1,ECOMMERS_SALES[#Headers],0))</f>
        <v>1931</v>
      </c>
      <c r="H169" t="str">
        <f>VLOOKUP($A169,'ECOMMERS SALES'!$1:$500,MATCH('vlookup match'!H$1,ECOMMERS_SALES[#Headers],0))</f>
        <v>Pune</v>
      </c>
      <c r="I169" t="str">
        <f>VLOOKUP($A169,'ECOMMERS SALES'!$1:$500,MATCH('vlookup match'!I$1,ECOMMERS_SALES[#Headers],0))</f>
        <v>New</v>
      </c>
      <c r="J169" t="str">
        <f>VLOOKUP($A169,'ECOMMERS SALES'!$1:$500,MATCH('vlookup match'!J$1,ECOMMERS_SALES[#Headers],0))</f>
        <v>Card</v>
      </c>
    </row>
    <row r="170" spans="1:10" x14ac:dyDescent="0.35">
      <c r="A170">
        <v>1169</v>
      </c>
      <c r="B170" t="str">
        <f>VLOOKUP($A170,'ECOMMERS SALES'!$1:$500,MATCH('vlookup match'!B$1,ECOMMERS_SALES[#Headers],0))</f>
        <v>19-06-2025</v>
      </c>
      <c r="C170" t="str">
        <f>VLOOKUP($A170,'ECOMMERS SALES'!$1:$500,MATCH('vlookup match'!C$1,ECOMMERS_SALES[#Headers],0))</f>
        <v>Smartwatch</v>
      </c>
      <c r="D170" t="str">
        <f>VLOOKUP($A170,'ECOMMERS SALES'!$1:$500,MATCH('vlookup match'!D$1,ECOMMERS_SALES[#Headers],0))</f>
        <v>Electronics</v>
      </c>
      <c r="E170">
        <f>VLOOKUP($A170,'ECOMMERS SALES'!$1:$500,MATCH('vlookup match'!E$1,ECOMMERS_SALES[#Headers],0))</f>
        <v>2</v>
      </c>
      <c r="F170">
        <f>VLOOKUP($A170,'ECOMMERS SALES'!$1:$500,MATCH('vlookup match'!F$1,ECOMMERS_SALES[#Headers],0))</f>
        <v>14370</v>
      </c>
      <c r="G170">
        <f>VLOOKUP($A170,'ECOMMERS SALES'!$1:$500,MATCH('vlookup match'!G$1,ECOMMERS_SALES[#Headers],0))</f>
        <v>28740</v>
      </c>
      <c r="H170" t="str">
        <f>VLOOKUP($A170,'ECOMMERS SALES'!$1:$500,MATCH('vlookup match'!H$1,ECOMMERS_SALES[#Headers],0))</f>
        <v>Mumbai</v>
      </c>
      <c r="I170" t="str">
        <f>VLOOKUP($A170,'ECOMMERS SALES'!$1:$500,MATCH('vlookup match'!I$1,ECOMMERS_SALES[#Headers],0))</f>
        <v>New</v>
      </c>
      <c r="J170" t="str">
        <f>VLOOKUP($A170,'ECOMMERS SALES'!$1:$500,MATCH('vlookup match'!J$1,ECOMMERS_SALES[#Headers],0))</f>
        <v>UPI</v>
      </c>
    </row>
    <row r="171" spans="1:10" x14ac:dyDescent="0.35">
      <c r="A171">
        <v>1170</v>
      </c>
      <c r="B171" t="str">
        <f>VLOOKUP($A171,'ECOMMERS SALES'!$1:$500,MATCH('vlookup match'!B$1,ECOMMERS_SALES[#Headers],0))</f>
        <v>20-06-2025</v>
      </c>
      <c r="C171" t="str">
        <f>VLOOKUP($A171,'ECOMMERS SALES'!$1:$500,MATCH('vlookup match'!C$1,ECOMMERS_SALES[#Headers],0))</f>
        <v>Water Bottle</v>
      </c>
      <c r="D171" t="str">
        <f>VLOOKUP($A171,'ECOMMERS SALES'!$1:$500,MATCH('vlookup match'!D$1,ECOMMERS_SALES[#Headers],0))</f>
        <v>Other</v>
      </c>
      <c r="E171">
        <f>VLOOKUP($A171,'ECOMMERS SALES'!$1:$500,MATCH('vlookup match'!E$1,ECOMMERS_SALES[#Headers],0))</f>
        <v>2</v>
      </c>
      <c r="F171">
        <f>VLOOKUP($A171,'ECOMMERS SALES'!$1:$500,MATCH('vlookup match'!F$1,ECOMMERS_SALES[#Headers],0))</f>
        <v>780</v>
      </c>
      <c r="G171">
        <f>VLOOKUP($A171,'ECOMMERS SALES'!$1:$500,MATCH('vlookup match'!G$1,ECOMMERS_SALES[#Headers],0))</f>
        <v>1560</v>
      </c>
      <c r="H171" t="str">
        <f>VLOOKUP($A171,'ECOMMERS SALES'!$1:$500,MATCH('vlookup match'!H$1,ECOMMERS_SALES[#Headers],0))</f>
        <v>Chennai</v>
      </c>
      <c r="I171" t="str">
        <f>VLOOKUP($A171,'ECOMMERS SALES'!$1:$500,MATCH('vlookup match'!I$1,ECOMMERS_SALES[#Headers],0))</f>
        <v>Returning</v>
      </c>
      <c r="J171" t="str">
        <f>VLOOKUP($A171,'ECOMMERS SALES'!$1:$500,MATCH('vlookup match'!J$1,ECOMMERS_SALES[#Headers],0))</f>
        <v>COD</v>
      </c>
    </row>
    <row r="172" spans="1:10" x14ac:dyDescent="0.35">
      <c r="A172">
        <v>1171</v>
      </c>
      <c r="B172" t="str">
        <f>VLOOKUP($A172,'ECOMMERS SALES'!$1:$500,MATCH('vlookup match'!B$1,ECOMMERS_SALES[#Headers],0))</f>
        <v>21-06-2025</v>
      </c>
      <c r="C172" t="str">
        <f>VLOOKUP($A172,'ECOMMERS SALES'!$1:$500,MATCH('vlookup match'!C$1,ECOMMERS_SALES[#Headers],0))</f>
        <v>Laptop</v>
      </c>
      <c r="D172" t="str">
        <f>VLOOKUP($A172,'ECOMMERS SALES'!$1:$500,MATCH('vlookup match'!D$1,ECOMMERS_SALES[#Headers],0))</f>
        <v>Electronics</v>
      </c>
      <c r="E172">
        <f>VLOOKUP($A172,'ECOMMERS SALES'!$1:$500,MATCH('vlookup match'!E$1,ECOMMERS_SALES[#Headers],0))</f>
        <v>2</v>
      </c>
      <c r="F172">
        <f>VLOOKUP($A172,'ECOMMERS SALES'!$1:$500,MATCH('vlookup match'!F$1,ECOMMERS_SALES[#Headers],0))</f>
        <v>54865</v>
      </c>
      <c r="G172">
        <f>VLOOKUP($A172,'ECOMMERS SALES'!$1:$500,MATCH('vlookup match'!G$1,ECOMMERS_SALES[#Headers],0))</f>
        <v>109730</v>
      </c>
      <c r="H172" t="str">
        <f>VLOOKUP($A172,'ECOMMERS SALES'!$1:$500,MATCH('vlookup match'!H$1,ECOMMERS_SALES[#Headers],0))</f>
        <v>Bangalore</v>
      </c>
      <c r="I172" t="str">
        <f>VLOOKUP($A172,'ECOMMERS SALES'!$1:$500,MATCH('vlookup match'!I$1,ECOMMERS_SALES[#Headers],0))</f>
        <v>Premimum</v>
      </c>
      <c r="J172" t="str">
        <f>VLOOKUP($A172,'ECOMMERS SALES'!$1:$500,MATCH('vlookup match'!J$1,ECOMMERS_SALES[#Headers],0))</f>
        <v>UPI</v>
      </c>
    </row>
    <row r="173" spans="1:10" x14ac:dyDescent="0.35">
      <c r="A173">
        <v>1172</v>
      </c>
      <c r="B173" t="str">
        <f>VLOOKUP($A173,'ECOMMERS SALES'!$1:$500,MATCH('vlookup match'!B$1,ECOMMERS_SALES[#Headers],0))</f>
        <v>22-06-2025</v>
      </c>
      <c r="C173" t="str">
        <f>VLOOKUP($A173,'ECOMMERS SALES'!$1:$500,MATCH('vlookup match'!C$1,ECOMMERS_SALES[#Headers],0))</f>
        <v>Headphones</v>
      </c>
      <c r="D173" t="str">
        <f>VLOOKUP($A173,'ECOMMERS SALES'!$1:$500,MATCH('vlookup match'!D$1,ECOMMERS_SALES[#Headers],0))</f>
        <v>Electronics</v>
      </c>
      <c r="E173">
        <f>VLOOKUP($A173,'ECOMMERS SALES'!$1:$500,MATCH('vlookup match'!E$1,ECOMMERS_SALES[#Headers],0))</f>
        <v>2</v>
      </c>
      <c r="F173">
        <f>VLOOKUP($A173,'ECOMMERS SALES'!$1:$500,MATCH('vlookup match'!F$1,ECOMMERS_SALES[#Headers],0))</f>
        <v>4481</v>
      </c>
      <c r="G173">
        <f>VLOOKUP($A173,'ECOMMERS SALES'!$1:$500,MATCH('vlookup match'!G$1,ECOMMERS_SALES[#Headers],0))</f>
        <v>8962</v>
      </c>
      <c r="H173" t="str">
        <f>VLOOKUP($A173,'ECOMMERS SALES'!$1:$500,MATCH('vlookup match'!H$1,ECOMMERS_SALES[#Headers],0))</f>
        <v>Hyderabad</v>
      </c>
      <c r="I173" t="str">
        <f>VLOOKUP($A173,'ECOMMERS SALES'!$1:$500,MATCH('vlookup match'!I$1,ECOMMERS_SALES[#Headers],0))</f>
        <v>Premimum</v>
      </c>
      <c r="J173" t="str">
        <f>VLOOKUP($A173,'ECOMMERS SALES'!$1:$500,MATCH('vlookup match'!J$1,ECOMMERS_SALES[#Headers],0))</f>
        <v>UPI</v>
      </c>
    </row>
    <row r="174" spans="1:10" x14ac:dyDescent="0.35">
      <c r="A174">
        <v>1173</v>
      </c>
      <c r="B174" t="str">
        <f>VLOOKUP($A174,'ECOMMERS SALES'!$1:$500,MATCH('vlookup match'!B$1,ECOMMERS_SALES[#Headers],0))</f>
        <v>23-06-2025</v>
      </c>
      <c r="C174" t="str">
        <f>VLOOKUP($A174,'ECOMMERS SALES'!$1:$500,MATCH('vlookup match'!C$1,ECOMMERS_SALES[#Headers],0))</f>
        <v>Shoes</v>
      </c>
      <c r="D174" t="str">
        <f>VLOOKUP($A174,'ECOMMERS SALES'!$1:$500,MATCH('vlookup match'!D$1,ECOMMERS_SALES[#Headers],0))</f>
        <v>Fashion</v>
      </c>
      <c r="E174">
        <f>VLOOKUP($A174,'ECOMMERS SALES'!$1:$500,MATCH('vlookup match'!E$1,ECOMMERS_SALES[#Headers],0))</f>
        <v>2</v>
      </c>
      <c r="F174">
        <f>VLOOKUP($A174,'ECOMMERS SALES'!$1:$500,MATCH('vlookup match'!F$1,ECOMMERS_SALES[#Headers],0))</f>
        <v>1972</v>
      </c>
      <c r="G174">
        <f>VLOOKUP($A174,'ECOMMERS SALES'!$1:$500,MATCH('vlookup match'!G$1,ECOMMERS_SALES[#Headers],0))</f>
        <v>3944</v>
      </c>
      <c r="H174" t="str">
        <f>VLOOKUP($A174,'ECOMMERS SALES'!$1:$500,MATCH('vlookup match'!H$1,ECOMMERS_SALES[#Headers],0))</f>
        <v>Pune</v>
      </c>
      <c r="I174" t="str">
        <f>VLOOKUP($A174,'ECOMMERS SALES'!$1:$500,MATCH('vlookup match'!I$1,ECOMMERS_SALES[#Headers],0))</f>
        <v>Premimum</v>
      </c>
      <c r="J174" t="str">
        <f>VLOOKUP($A174,'ECOMMERS SALES'!$1:$500,MATCH('vlookup match'!J$1,ECOMMERS_SALES[#Headers],0))</f>
        <v>Card</v>
      </c>
    </row>
    <row r="175" spans="1:10" x14ac:dyDescent="0.35">
      <c r="A175">
        <v>1174</v>
      </c>
      <c r="B175" t="str">
        <f>VLOOKUP($A175,'ECOMMERS SALES'!$1:$500,MATCH('vlookup match'!B$1,ECOMMERS_SALES[#Headers],0))</f>
        <v>24-06-2025</v>
      </c>
      <c r="C175" t="str">
        <f>VLOOKUP($A175,'ECOMMERS SALES'!$1:$500,MATCH('vlookup match'!C$1,ECOMMERS_SALES[#Headers],0))</f>
        <v>Watch</v>
      </c>
      <c r="D175" t="str">
        <f>VLOOKUP($A175,'ECOMMERS SALES'!$1:$500,MATCH('vlookup match'!D$1,ECOMMERS_SALES[#Headers],0))</f>
        <v>Other</v>
      </c>
      <c r="E175">
        <f>VLOOKUP($A175,'ECOMMERS SALES'!$1:$500,MATCH('vlookup match'!E$1,ECOMMERS_SALES[#Headers],0))</f>
        <v>1</v>
      </c>
      <c r="F175">
        <f>VLOOKUP($A175,'ECOMMERS SALES'!$1:$500,MATCH('vlookup match'!F$1,ECOMMERS_SALES[#Headers],0))</f>
        <v>9837</v>
      </c>
      <c r="G175">
        <f>VLOOKUP($A175,'ECOMMERS SALES'!$1:$500,MATCH('vlookup match'!G$1,ECOMMERS_SALES[#Headers],0))</f>
        <v>9837</v>
      </c>
      <c r="H175" t="str">
        <f>VLOOKUP($A175,'ECOMMERS SALES'!$1:$500,MATCH('vlookup match'!H$1,ECOMMERS_SALES[#Headers],0))</f>
        <v>Bangalore</v>
      </c>
      <c r="I175" t="str">
        <f>VLOOKUP($A175,'ECOMMERS SALES'!$1:$500,MATCH('vlookup match'!I$1,ECOMMERS_SALES[#Headers],0))</f>
        <v>Premimum</v>
      </c>
      <c r="J175" t="str">
        <f>VLOOKUP($A175,'ECOMMERS SALES'!$1:$500,MATCH('vlookup match'!J$1,ECOMMERS_SALES[#Headers],0))</f>
        <v>Card</v>
      </c>
    </row>
    <row r="176" spans="1:10" x14ac:dyDescent="0.35">
      <c r="A176">
        <v>1175</v>
      </c>
      <c r="B176" t="str">
        <f>VLOOKUP($A176,'ECOMMERS SALES'!$1:$500,MATCH('vlookup match'!B$1,ECOMMERS_SALES[#Headers],0))</f>
        <v>25-06-2025</v>
      </c>
      <c r="C176" t="str">
        <f>VLOOKUP($A176,'ECOMMERS SALES'!$1:$500,MATCH('vlookup match'!C$1,ECOMMERS_SALES[#Headers],0))</f>
        <v>Mobile Case</v>
      </c>
      <c r="D176" t="str">
        <f>VLOOKUP($A176,'ECOMMERS SALES'!$1:$500,MATCH('vlookup match'!D$1,ECOMMERS_SALES[#Headers],0))</f>
        <v>Other</v>
      </c>
      <c r="E176">
        <f>VLOOKUP($A176,'ECOMMERS SALES'!$1:$500,MATCH('vlookup match'!E$1,ECOMMERS_SALES[#Headers],0))</f>
        <v>5</v>
      </c>
      <c r="F176">
        <f>VLOOKUP($A176,'ECOMMERS SALES'!$1:$500,MATCH('vlookup match'!F$1,ECOMMERS_SALES[#Headers],0))</f>
        <v>857</v>
      </c>
      <c r="G176">
        <f>VLOOKUP($A176,'ECOMMERS SALES'!$1:$500,MATCH('vlookup match'!G$1,ECOMMERS_SALES[#Headers],0))</f>
        <v>4285</v>
      </c>
      <c r="H176" t="str">
        <f>VLOOKUP($A176,'ECOMMERS SALES'!$1:$500,MATCH('vlookup match'!H$1,ECOMMERS_SALES[#Headers],0))</f>
        <v>Chennai</v>
      </c>
      <c r="I176" t="str">
        <f>VLOOKUP($A176,'ECOMMERS SALES'!$1:$500,MATCH('vlookup match'!I$1,ECOMMERS_SALES[#Headers],0))</f>
        <v>New</v>
      </c>
      <c r="J176" t="str">
        <f>VLOOKUP($A176,'ECOMMERS SALES'!$1:$500,MATCH('vlookup match'!J$1,ECOMMERS_SALES[#Headers],0))</f>
        <v>Card</v>
      </c>
    </row>
    <row r="177" spans="1:10" x14ac:dyDescent="0.35">
      <c r="A177">
        <v>1176</v>
      </c>
      <c r="B177" t="str">
        <f>VLOOKUP($A177,'ECOMMERS SALES'!$1:$500,MATCH('vlookup match'!B$1,ECOMMERS_SALES[#Headers],0))</f>
        <v>26-06-2025</v>
      </c>
      <c r="C177" t="str">
        <f>VLOOKUP($A177,'ECOMMERS SALES'!$1:$500,MATCH('vlookup match'!C$1,ECOMMERS_SALES[#Headers],0))</f>
        <v>Tablet</v>
      </c>
      <c r="D177" t="str">
        <f>VLOOKUP($A177,'ECOMMERS SALES'!$1:$500,MATCH('vlookup match'!D$1,ECOMMERS_SALES[#Headers],0))</f>
        <v>Electronics</v>
      </c>
      <c r="E177">
        <f>VLOOKUP($A177,'ECOMMERS SALES'!$1:$500,MATCH('vlookup match'!E$1,ECOMMERS_SALES[#Headers],0))</f>
        <v>1</v>
      </c>
      <c r="F177">
        <f>VLOOKUP($A177,'ECOMMERS SALES'!$1:$500,MATCH('vlookup match'!F$1,ECOMMERS_SALES[#Headers],0))</f>
        <v>20323</v>
      </c>
      <c r="G177">
        <f>VLOOKUP($A177,'ECOMMERS SALES'!$1:$500,MATCH('vlookup match'!G$1,ECOMMERS_SALES[#Headers],0))</f>
        <v>20323</v>
      </c>
      <c r="H177" t="str">
        <f>VLOOKUP($A177,'ECOMMERS SALES'!$1:$500,MATCH('vlookup match'!H$1,ECOMMERS_SALES[#Headers],0))</f>
        <v>Chennai</v>
      </c>
      <c r="I177" t="str">
        <f>VLOOKUP($A177,'ECOMMERS SALES'!$1:$500,MATCH('vlookup match'!I$1,ECOMMERS_SALES[#Headers],0))</f>
        <v>Premimum</v>
      </c>
      <c r="J177" t="str">
        <f>VLOOKUP($A177,'ECOMMERS SALES'!$1:$500,MATCH('vlookup match'!J$1,ECOMMERS_SALES[#Headers],0))</f>
        <v>Card</v>
      </c>
    </row>
    <row r="178" spans="1:10" x14ac:dyDescent="0.35">
      <c r="A178">
        <v>1177</v>
      </c>
      <c r="B178" t="str">
        <f>VLOOKUP($A178,'ECOMMERS SALES'!$1:$500,MATCH('vlookup match'!B$1,ECOMMERS_SALES[#Headers],0))</f>
        <v>27-06-2025</v>
      </c>
      <c r="C178" t="str">
        <f>VLOOKUP($A178,'ECOMMERS SALES'!$1:$500,MATCH('vlookup match'!C$1,ECOMMERS_SALES[#Headers],0))</f>
        <v>Book</v>
      </c>
      <c r="D178" t="str">
        <f>VLOOKUP($A178,'ECOMMERS SALES'!$1:$500,MATCH('vlookup match'!D$1,ECOMMERS_SALES[#Headers],0))</f>
        <v>Books</v>
      </c>
      <c r="E178">
        <f>VLOOKUP($A178,'ECOMMERS SALES'!$1:$500,MATCH('vlookup match'!E$1,ECOMMERS_SALES[#Headers],0))</f>
        <v>5</v>
      </c>
      <c r="F178">
        <f>VLOOKUP($A178,'ECOMMERS SALES'!$1:$500,MATCH('vlookup match'!F$1,ECOMMERS_SALES[#Headers],0))</f>
        <v>1000</v>
      </c>
      <c r="G178">
        <f>VLOOKUP($A178,'ECOMMERS SALES'!$1:$500,MATCH('vlookup match'!G$1,ECOMMERS_SALES[#Headers],0))</f>
        <v>5000</v>
      </c>
      <c r="H178" t="str">
        <f>VLOOKUP($A178,'ECOMMERS SALES'!$1:$500,MATCH('vlookup match'!H$1,ECOMMERS_SALES[#Headers],0))</f>
        <v>Bangalore</v>
      </c>
      <c r="I178" t="str">
        <f>VLOOKUP($A178,'ECOMMERS SALES'!$1:$500,MATCH('vlookup match'!I$1,ECOMMERS_SALES[#Headers],0))</f>
        <v>New</v>
      </c>
      <c r="J178" t="str">
        <f>VLOOKUP($A178,'ECOMMERS SALES'!$1:$500,MATCH('vlookup match'!J$1,ECOMMERS_SALES[#Headers],0))</f>
        <v>COD</v>
      </c>
    </row>
    <row r="179" spans="1:10" x14ac:dyDescent="0.35">
      <c r="A179">
        <v>1178</v>
      </c>
      <c r="B179" t="str">
        <f>VLOOKUP($A179,'ECOMMERS SALES'!$1:$500,MATCH('vlookup match'!B$1,ECOMMERS_SALES[#Headers],0))</f>
        <v>28-06-2025</v>
      </c>
      <c r="C179" t="str">
        <f>VLOOKUP($A179,'ECOMMERS SALES'!$1:$500,MATCH('vlookup match'!C$1,ECOMMERS_SALES[#Headers],0))</f>
        <v>Backpack</v>
      </c>
      <c r="D179" t="str">
        <f>VLOOKUP($A179,'ECOMMERS SALES'!$1:$500,MATCH('vlookup match'!D$1,ECOMMERS_SALES[#Headers],0))</f>
        <v>Fashion</v>
      </c>
      <c r="E179">
        <f>VLOOKUP($A179,'ECOMMERS SALES'!$1:$500,MATCH('vlookup match'!E$1,ECOMMERS_SALES[#Headers],0))</f>
        <v>5</v>
      </c>
      <c r="F179">
        <f>VLOOKUP($A179,'ECOMMERS SALES'!$1:$500,MATCH('vlookup match'!F$1,ECOMMERS_SALES[#Headers],0))</f>
        <v>1359</v>
      </c>
      <c r="G179">
        <f>VLOOKUP($A179,'ECOMMERS SALES'!$1:$500,MATCH('vlookup match'!G$1,ECOMMERS_SALES[#Headers],0))</f>
        <v>6795</v>
      </c>
      <c r="H179" t="str">
        <f>VLOOKUP($A179,'ECOMMERS SALES'!$1:$500,MATCH('vlookup match'!H$1,ECOMMERS_SALES[#Headers],0))</f>
        <v>Chennai</v>
      </c>
      <c r="I179" t="str">
        <f>VLOOKUP($A179,'ECOMMERS SALES'!$1:$500,MATCH('vlookup match'!I$1,ECOMMERS_SALES[#Headers],0))</f>
        <v>Returning</v>
      </c>
      <c r="J179" t="str">
        <f>VLOOKUP($A179,'ECOMMERS SALES'!$1:$500,MATCH('vlookup match'!J$1,ECOMMERS_SALES[#Headers],0))</f>
        <v>COD</v>
      </c>
    </row>
    <row r="180" spans="1:10" x14ac:dyDescent="0.35">
      <c r="A180">
        <v>1179</v>
      </c>
      <c r="B180" t="str">
        <f>VLOOKUP($A180,'ECOMMERS SALES'!$1:$500,MATCH('vlookup match'!B$1,ECOMMERS_SALES[#Headers],0))</f>
        <v>29-06-2025</v>
      </c>
      <c r="C180" t="str">
        <f>VLOOKUP($A180,'ECOMMERS SALES'!$1:$500,MATCH('vlookup match'!C$1,ECOMMERS_SALES[#Headers],0))</f>
        <v>Smartwatch</v>
      </c>
      <c r="D180" t="str">
        <f>VLOOKUP($A180,'ECOMMERS SALES'!$1:$500,MATCH('vlookup match'!D$1,ECOMMERS_SALES[#Headers],0))</f>
        <v>Electronics</v>
      </c>
      <c r="E180">
        <f>VLOOKUP($A180,'ECOMMERS SALES'!$1:$500,MATCH('vlookup match'!E$1,ECOMMERS_SALES[#Headers],0))</f>
        <v>1</v>
      </c>
      <c r="F180">
        <f>VLOOKUP($A180,'ECOMMERS SALES'!$1:$500,MATCH('vlookup match'!F$1,ECOMMERS_SALES[#Headers],0))</f>
        <v>14026</v>
      </c>
      <c r="G180">
        <f>VLOOKUP($A180,'ECOMMERS SALES'!$1:$500,MATCH('vlookup match'!G$1,ECOMMERS_SALES[#Headers],0))</f>
        <v>14026</v>
      </c>
      <c r="H180" t="str">
        <f>VLOOKUP($A180,'ECOMMERS SALES'!$1:$500,MATCH('vlookup match'!H$1,ECOMMERS_SALES[#Headers],0))</f>
        <v>Pune</v>
      </c>
      <c r="I180" t="str">
        <f>VLOOKUP($A180,'ECOMMERS SALES'!$1:$500,MATCH('vlookup match'!I$1,ECOMMERS_SALES[#Headers],0))</f>
        <v>Returning</v>
      </c>
      <c r="J180" t="str">
        <f>VLOOKUP($A180,'ECOMMERS SALES'!$1:$500,MATCH('vlookup match'!J$1,ECOMMERS_SALES[#Headers],0))</f>
        <v>Card</v>
      </c>
    </row>
    <row r="181" spans="1:10" x14ac:dyDescent="0.35">
      <c r="A181">
        <v>1180</v>
      </c>
      <c r="B181" t="str">
        <f>VLOOKUP($A181,'ECOMMERS SALES'!$1:$500,MATCH('vlookup match'!B$1,ECOMMERS_SALES[#Headers],0))</f>
        <v>30-06-2025</v>
      </c>
      <c r="C181" t="str">
        <f>VLOOKUP($A181,'ECOMMERS SALES'!$1:$500,MATCH('vlookup match'!C$1,ECOMMERS_SALES[#Headers],0))</f>
        <v>Water Bottle</v>
      </c>
      <c r="D181" t="str">
        <f>VLOOKUP($A181,'ECOMMERS SALES'!$1:$500,MATCH('vlookup match'!D$1,ECOMMERS_SALES[#Headers],0))</f>
        <v>Other</v>
      </c>
      <c r="E181">
        <f>VLOOKUP($A181,'ECOMMERS SALES'!$1:$500,MATCH('vlookup match'!E$1,ECOMMERS_SALES[#Headers],0))</f>
        <v>2</v>
      </c>
      <c r="F181">
        <f>VLOOKUP($A181,'ECOMMERS SALES'!$1:$500,MATCH('vlookup match'!F$1,ECOMMERS_SALES[#Headers],0))</f>
        <v>685</v>
      </c>
      <c r="G181">
        <f>VLOOKUP($A181,'ECOMMERS SALES'!$1:$500,MATCH('vlookup match'!G$1,ECOMMERS_SALES[#Headers],0))</f>
        <v>1370</v>
      </c>
      <c r="H181" t="str">
        <f>VLOOKUP($A181,'ECOMMERS SALES'!$1:$500,MATCH('vlookup match'!H$1,ECOMMERS_SALES[#Headers],0))</f>
        <v>Bangalore</v>
      </c>
      <c r="I181" t="str">
        <f>VLOOKUP($A181,'ECOMMERS SALES'!$1:$500,MATCH('vlookup match'!I$1,ECOMMERS_SALES[#Headers],0))</f>
        <v>New</v>
      </c>
      <c r="J181" t="str">
        <f>VLOOKUP($A181,'ECOMMERS SALES'!$1:$500,MATCH('vlookup match'!J$1,ECOMMERS_SALES[#Headers],0))</f>
        <v>UPI</v>
      </c>
    </row>
    <row r="182" spans="1:10" x14ac:dyDescent="0.35">
      <c r="A182">
        <v>1181</v>
      </c>
      <c r="B182" t="str">
        <f>VLOOKUP($A182,'ECOMMERS SALES'!$1:$500,MATCH('vlookup match'!B$1,ECOMMERS_SALES[#Headers],0))</f>
        <v>01-07-2025</v>
      </c>
      <c r="C182" t="str">
        <f>VLOOKUP($A182,'ECOMMERS SALES'!$1:$500,MATCH('vlookup match'!C$1,ECOMMERS_SALES[#Headers],0))</f>
        <v>Laptop</v>
      </c>
      <c r="D182" t="str">
        <f>VLOOKUP($A182,'ECOMMERS SALES'!$1:$500,MATCH('vlookup match'!D$1,ECOMMERS_SALES[#Headers],0))</f>
        <v>Electronics</v>
      </c>
      <c r="E182">
        <f>VLOOKUP($A182,'ECOMMERS SALES'!$1:$500,MATCH('vlookup match'!E$1,ECOMMERS_SALES[#Headers],0))</f>
        <v>1</v>
      </c>
      <c r="F182">
        <f>VLOOKUP($A182,'ECOMMERS SALES'!$1:$500,MATCH('vlookup match'!F$1,ECOMMERS_SALES[#Headers],0))</f>
        <v>54311</v>
      </c>
      <c r="G182">
        <f>VLOOKUP($A182,'ECOMMERS SALES'!$1:$500,MATCH('vlookup match'!G$1,ECOMMERS_SALES[#Headers],0))</f>
        <v>54311</v>
      </c>
      <c r="H182" t="str">
        <f>VLOOKUP($A182,'ECOMMERS SALES'!$1:$500,MATCH('vlookup match'!H$1,ECOMMERS_SALES[#Headers],0))</f>
        <v>Delhi</v>
      </c>
      <c r="I182" t="str">
        <f>VLOOKUP($A182,'ECOMMERS SALES'!$1:$500,MATCH('vlookup match'!I$1,ECOMMERS_SALES[#Headers],0))</f>
        <v>Returning</v>
      </c>
      <c r="J182" t="str">
        <f>VLOOKUP($A182,'ECOMMERS SALES'!$1:$500,MATCH('vlookup match'!J$1,ECOMMERS_SALES[#Headers],0))</f>
        <v>UPI</v>
      </c>
    </row>
    <row r="183" spans="1:10" x14ac:dyDescent="0.35">
      <c r="A183">
        <v>1182</v>
      </c>
      <c r="B183" t="str">
        <f>VLOOKUP($A183,'ECOMMERS SALES'!$1:$500,MATCH('vlookup match'!B$1,ECOMMERS_SALES[#Headers],0))</f>
        <v>02-07-2025</v>
      </c>
      <c r="C183" t="str">
        <f>VLOOKUP($A183,'ECOMMERS SALES'!$1:$500,MATCH('vlookup match'!C$1,ECOMMERS_SALES[#Headers],0))</f>
        <v>Headphones</v>
      </c>
      <c r="D183" t="str">
        <f>VLOOKUP($A183,'ECOMMERS SALES'!$1:$500,MATCH('vlookup match'!D$1,ECOMMERS_SALES[#Headers],0))</f>
        <v>Electronics</v>
      </c>
      <c r="E183">
        <f>VLOOKUP($A183,'ECOMMERS SALES'!$1:$500,MATCH('vlookup match'!E$1,ECOMMERS_SALES[#Headers],0))</f>
        <v>2</v>
      </c>
      <c r="F183">
        <f>VLOOKUP($A183,'ECOMMERS SALES'!$1:$500,MATCH('vlookup match'!F$1,ECOMMERS_SALES[#Headers],0))</f>
        <v>1713</v>
      </c>
      <c r="G183">
        <f>VLOOKUP($A183,'ECOMMERS SALES'!$1:$500,MATCH('vlookup match'!G$1,ECOMMERS_SALES[#Headers],0))</f>
        <v>3426</v>
      </c>
      <c r="H183" t="str">
        <f>VLOOKUP($A183,'ECOMMERS SALES'!$1:$500,MATCH('vlookup match'!H$1,ECOMMERS_SALES[#Headers],0))</f>
        <v>Pune</v>
      </c>
      <c r="I183" t="str">
        <f>VLOOKUP($A183,'ECOMMERS SALES'!$1:$500,MATCH('vlookup match'!I$1,ECOMMERS_SALES[#Headers],0))</f>
        <v>Premimum</v>
      </c>
      <c r="J183" t="str">
        <f>VLOOKUP($A183,'ECOMMERS SALES'!$1:$500,MATCH('vlookup match'!J$1,ECOMMERS_SALES[#Headers],0))</f>
        <v>Card</v>
      </c>
    </row>
    <row r="184" spans="1:10" x14ac:dyDescent="0.35">
      <c r="A184">
        <v>1183</v>
      </c>
      <c r="B184" t="str">
        <f>VLOOKUP($A184,'ECOMMERS SALES'!$1:$500,MATCH('vlookup match'!B$1,ECOMMERS_SALES[#Headers],0))</f>
        <v>03-07-2025</v>
      </c>
      <c r="C184" t="str">
        <f>VLOOKUP($A184,'ECOMMERS SALES'!$1:$500,MATCH('vlookup match'!C$1,ECOMMERS_SALES[#Headers],0))</f>
        <v>Shoes</v>
      </c>
      <c r="D184" t="str">
        <f>VLOOKUP($A184,'ECOMMERS SALES'!$1:$500,MATCH('vlookup match'!D$1,ECOMMERS_SALES[#Headers],0))</f>
        <v>Fashion</v>
      </c>
      <c r="E184">
        <f>VLOOKUP($A184,'ECOMMERS SALES'!$1:$500,MATCH('vlookup match'!E$1,ECOMMERS_SALES[#Headers],0))</f>
        <v>2</v>
      </c>
      <c r="F184">
        <f>VLOOKUP($A184,'ECOMMERS SALES'!$1:$500,MATCH('vlookup match'!F$1,ECOMMERS_SALES[#Headers],0))</f>
        <v>3204</v>
      </c>
      <c r="G184">
        <f>VLOOKUP($A184,'ECOMMERS SALES'!$1:$500,MATCH('vlookup match'!G$1,ECOMMERS_SALES[#Headers],0))</f>
        <v>6408</v>
      </c>
      <c r="H184" t="str">
        <f>VLOOKUP($A184,'ECOMMERS SALES'!$1:$500,MATCH('vlookup match'!H$1,ECOMMERS_SALES[#Headers],0))</f>
        <v>Bangalore</v>
      </c>
      <c r="I184" t="str">
        <f>VLOOKUP($A184,'ECOMMERS SALES'!$1:$500,MATCH('vlookup match'!I$1,ECOMMERS_SALES[#Headers],0))</f>
        <v>Returning</v>
      </c>
      <c r="J184" t="str">
        <f>VLOOKUP($A184,'ECOMMERS SALES'!$1:$500,MATCH('vlookup match'!J$1,ECOMMERS_SALES[#Headers],0))</f>
        <v>UPI</v>
      </c>
    </row>
    <row r="185" spans="1:10" x14ac:dyDescent="0.35">
      <c r="A185">
        <v>1184</v>
      </c>
      <c r="B185" t="str">
        <f>VLOOKUP($A185,'ECOMMERS SALES'!$1:$500,MATCH('vlookup match'!B$1,ECOMMERS_SALES[#Headers],0))</f>
        <v>04-07-2025</v>
      </c>
      <c r="C185" t="str">
        <f>VLOOKUP($A185,'ECOMMERS SALES'!$1:$500,MATCH('vlookup match'!C$1,ECOMMERS_SALES[#Headers],0))</f>
        <v>Watch</v>
      </c>
      <c r="D185" t="str">
        <f>VLOOKUP($A185,'ECOMMERS SALES'!$1:$500,MATCH('vlookup match'!D$1,ECOMMERS_SALES[#Headers],0))</f>
        <v>Other</v>
      </c>
      <c r="E185">
        <f>VLOOKUP($A185,'ECOMMERS SALES'!$1:$500,MATCH('vlookup match'!E$1,ECOMMERS_SALES[#Headers],0))</f>
        <v>5</v>
      </c>
      <c r="F185">
        <f>VLOOKUP($A185,'ECOMMERS SALES'!$1:$500,MATCH('vlookup match'!F$1,ECOMMERS_SALES[#Headers],0))</f>
        <v>18542</v>
      </c>
      <c r="G185">
        <f>VLOOKUP($A185,'ECOMMERS SALES'!$1:$500,MATCH('vlookup match'!G$1,ECOMMERS_SALES[#Headers],0))</f>
        <v>92710</v>
      </c>
      <c r="H185" t="str">
        <f>VLOOKUP($A185,'ECOMMERS SALES'!$1:$500,MATCH('vlookup match'!H$1,ECOMMERS_SALES[#Headers],0))</f>
        <v>Bangalore</v>
      </c>
      <c r="I185" t="str">
        <f>VLOOKUP($A185,'ECOMMERS SALES'!$1:$500,MATCH('vlookup match'!I$1,ECOMMERS_SALES[#Headers],0))</f>
        <v>New</v>
      </c>
      <c r="J185" t="str">
        <f>VLOOKUP($A185,'ECOMMERS SALES'!$1:$500,MATCH('vlookup match'!J$1,ECOMMERS_SALES[#Headers],0))</f>
        <v>UPI</v>
      </c>
    </row>
    <row r="186" spans="1:10" x14ac:dyDescent="0.35">
      <c r="A186">
        <v>1185</v>
      </c>
      <c r="B186" t="str">
        <f>VLOOKUP($A186,'ECOMMERS SALES'!$1:$500,MATCH('vlookup match'!B$1,ECOMMERS_SALES[#Headers],0))</f>
        <v>05-07-2025</v>
      </c>
      <c r="C186" t="str">
        <f>VLOOKUP($A186,'ECOMMERS SALES'!$1:$500,MATCH('vlookup match'!C$1,ECOMMERS_SALES[#Headers],0))</f>
        <v>Mobile Case</v>
      </c>
      <c r="D186" t="str">
        <f>VLOOKUP($A186,'ECOMMERS SALES'!$1:$500,MATCH('vlookup match'!D$1,ECOMMERS_SALES[#Headers],0))</f>
        <v>Other</v>
      </c>
      <c r="E186">
        <f>VLOOKUP($A186,'ECOMMERS SALES'!$1:$500,MATCH('vlookup match'!E$1,ECOMMERS_SALES[#Headers],0))</f>
        <v>1</v>
      </c>
      <c r="F186">
        <f>VLOOKUP($A186,'ECOMMERS SALES'!$1:$500,MATCH('vlookup match'!F$1,ECOMMERS_SALES[#Headers],0))</f>
        <v>521</v>
      </c>
      <c r="G186">
        <f>VLOOKUP($A186,'ECOMMERS SALES'!$1:$500,MATCH('vlookup match'!G$1,ECOMMERS_SALES[#Headers],0))</f>
        <v>521</v>
      </c>
      <c r="H186" t="str">
        <f>VLOOKUP($A186,'ECOMMERS SALES'!$1:$500,MATCH('vlookup match'!H$1,ECOMMERS_SALES[#Headers],0))</f>
        <v>Chennai</v>
      </c>
      <c r="I186" t="str">
        <f>VLOOKUP($A186,'ECOMMERS SALES'!$1:$500,MATCH('vlookup match'!I$1,ECOMMERS_SALES[#Headers],0))</f>
        <v>Premimum</v>
      </c>
      <c r="J186" t="str">
        <f>VLOOKUP($A186,'ECOMMERS SALES'!$1:$500,MATCH('vlookup match'!J$1,ECOMMERS_SALES[#Headers],0))</f>
        <v>UPI</v>
      </c>
    </row>
    <row r="187" spans="1:10" x14ac:dyDescent="0.35">
      <c r="A187">
        <v>1186</v>
      </c>
      <c r="B187" t="str">
        <f>VLOOKUP($A187,'ECOMMERS SALES'!$1:$500,MATCH('vlookup match'!B$1,ECOMMERS_SALES[#Headers],0))</f>
        <v>06-07-2025</v>
      </c>
      <c r="C187" t="str">
        <f>VLOOKUP($A187,'ECOMMERS SALES'!$1:$500,MATCH('vlookup match'!C$1,ECOMMERS_SALES[#Headers],0))</f>
        <v>Tablet</v>
      </c>
      <c r="D187" t="str">
        <f>VLOOKUP($A187,'ECOMMERS SALES'!$1:$500,MATCH('vlookup match'!D$1,ECOMMERS_SALES[#Headers],0))</f>
        <v>Electronics</v>
      </c>
      <c r="E187">
        <f>VLOOKUP($A187,'ECOMMERS SALES'!$1:$500,MATCH('vlookup match'!E$1,ECOMMERS_SALES[#Headers],0))</f>
        <v>1</v>
      </c>
      <c r="F187">
        <f>VLOOKUP($A187,'ECOMMERS SALES'!$1:$500,MATCH('vlookup match'!F$1,ECOMMERS_SALES[#Headers],0))</f>
        <v>13218</v>
      </c>
      <c r="G187">
        <f>VLOOKUP($A187,'ECOMMERS SALES'!$1:$500,MATCH('vlookup match'!G$1,ECOMMERS_SALES[#Headers],0))</f>
        <v>13218</v>
      </c>
      <c r="H187" t="str">
        <f>VLOOKUP($A187,'ECOMMERS SALES'!$1:$500,MATCH('vlookup match'!H$1,ECOMMERS_SALES[#Headers],0))</f>
        <v>Bangalore</v>
      </c>
      <c r="I187" t="str">
        <f>VLOOKUP($A187,'ECOMMERS SALES'!$1:$500,MATCH('vlookup match'!I$1,ECOMMERS_SALES[#Headers],0))</f>
        <v>Premimum</v>
      </c>
      <c r="J187" t="str">
        <f>VLOOKUP($A187,'ECOMMERS SALES'!$1:$500,MATCH('vlookup match'!J$1,ECOMMERS_SALES[#Headers],0))</f>
        <v>UPI</v>
      </c>
    </row>
    <row r="188" spans="1:10" x14ac:dyDescent="0.35">
      <c r="A188">
        <v>1187</v>
      </c>
      <c r="B188" t="str">
        <f>VLOOKUP($A188,'ECOMMERS SALES'!$1:$500,MATCH('vlookup match'!B$1,ECOMMERS_SALES[#Headers],0))</f>
        <v>07-07-2025</v>
      </c>
      <c r="C188" t="str">
        <f>VLOOKUP($A188,'ECOMMERS SALES'!$1:$500,MATCH('vlookup match'!C$1,ECOMMERS_SALES[#Headers],0))</f>
        <v>Book</v>
      </c>
      <c r="D188" t="str">
        <f>VLOOKUP($A188,'ECOMMERS SALES'!$1:$500,MATCH('vlookup match'!D$1,ECOMMERS_SALES[#Headers],0))</f>
        <v>Books</v>
      </c>
      <c r="E188">
        <f>VLOOKUP($A188,'ECOMMERS SALES'!$1:$500,MATCH('vlookup match'!E$1,ECOMMERS_SALES[#Headers],0))</f>
        <v>2</v>
      </c>
      <c r="F188">
        <f>VLOOKUP($A188,'ECOMMERS SALES'!$1:$500,MATCH('vlookup match'!F$1,ECOMMERS_SALES[#Headers],0))</f>
        <v>248</v>
      </c>
      <c r="G188">
        <f>VLOOKUP($A188,'ECOMMERS SALES'!$1:$500,MATCH('vlookup match'!G$1,ECOMMERS_SALES[#Headers],0))</f>
        <v>496</v>
      </c>
      <c r="H188" t="str">
        <f>VLOOKUP($A188,'ECOMMERS SALES'!$1:$500,MATCH('vlookup match'!H$1,ECOMMERS_SALES[#Headers],0))</f>
        <v>Pune</v>
      </c>
      <c r="I188" t="str">
        <f>VLOOKUP($A188,'ECOMMERS SALES'!$1:$500,MATCH('vlookup match'!I$1,ECOMMERS_SALES[#Headers],0))</f>
        <v>New</v>
      </c>
      <c r="J188" t="str">
        <f>VLOOKUP($A188,'ECOMMERS SALES'!$1:$500,MATCH('vlookup match'!J$1,ECOMMERS_SALES[#Headers],0))</f>
        <v>UPI</v>
      </c>
    </row>
    <row r="189" spans="1:10" x14ac:dyDescent="0.35">
      <c r="A189">
        <v>1188</v>
      </c>
      <c r="B189" t="str">
        <f>VLOOKUP($A189,'ECOMMERS SALES'!$1:$500,MATCH('vlookup match'!B$1,ECOMMERS_SALES[#Headers],0))</f>
        <v>08-07-2025</v>
      </c>
      <c r="C189" t="str">
        <f>VLOOKUP($A189,'ECOMMERS SALES'!$1:$500,MATCH('vlookup match'!C$1,ECOMMERS_SALES[#Headers],0))</f>
        <v>Backpack</v>
      </c>
      <c r="D189" t="str">
        <f>VLOOKUP($A189,'ECOMMERS SALES'!$1:$500,MATCH('vlookup match'!D$1,ECOMMERS_SALES[#Headers],0))</f>
        <v>Fashion</v>
      </c>
      <c r="E189">
        <f>VLOOKUP($A189,'ECOMMERS SALES'!$1:$500,MATCH('vlookup match'!E$1,ECOMMERS_SALES[#Headers],0))</f>
        <v>4</v>
      </c>
      <c r="F189">
        <f>VLOOKUP($A189,'ECOMMERS SALES'!$1:$500,MATCH('vlookup match'!F$1,ECOMMERS_SALES[#Headers],0))</f>
        <v>1353</v>
      </c>
      <c r="G189">
        <f>VLOOKUP($A189,'ECOMMERS SALES'!$1:$500,MATCH('vlookup match'!G$1,ECOMMERS_SALES[#Headers],0))</f>
        <v>5412</v>
      </c>
      <c r="H189" t="str">
        <f>VLOOKUP($A189,'ECOMMERS SALES'!$1:$500,MATCH('vlookup match'!H$1,ECOMMERS_SALES[#Headers],0))</f>
        <v>Pune</v>
      </c>
      <c r="I189" t="str">
        <f>VLOOKUP($A189,'ECOMMERS SALES'!$1:$500,MATCH('vlookup match'!I$1,ECOMMERS_SALES[#Headers],0))</f>
        <v>Returning</v>
      </c>
      <c r="J189" t="str">
        <f>VLOOKUP($A189,'ECOMMERS SALES'!$1:$500,MATCH('vlookup match'!J$1,ECOMMERS_SALES[#Headers],0))</f>
        <v>COD</v>
      </c>
    </row>
    <row r="190" spans="1:10" x14ac:dyDescent="0.35">
      <c r="A190">
        <v>1189</v>
      </c>
      <c r="B190" t="str">
        <f>VLOOKUP($A190,'ECOMMERS SALES'!$1:$500,MATCH('vlookup match'!B$1,ECOMMERS_SALES[#Headers],0))</f>
        <v>09-07-2025</v>
      </c>
      <c r="C190" t="str">
        <f>VLOOKUP($A190,'ECOMMERS SALES'!$1:$500,MATCH('vlookup match'!C$1,ECOMMERS_SALES[#Headers],0))</f>
        <v>Smartwatch</v>
      </c>
      <c r="D190" t="str">
        <f>VLOOKUP($A190,'ECOMMERS SALES'!$1:$500,MATCH('vlookup match'!D$1,ECOMMERS_SALES[#Headers],0))</f>
        <v>Electronics</v>
      </c>
      <c r="E190">
        <f>VLOOKUP($A190,'ECOMMERS SALES'!$1:$500,MATCH('vlookup match'!E$1,ECOMMERS_SALES[#Headers],0))</f>
        <v>2</v>
      </c>
      <c r="F190">
        <f>VLOOKUP($A190,'ECOMMERS SALES'!$1:$500,MATCH('vlookup match'!F$1,ECOMMERS_SALES[#Headers],0))</f>
        <v>13462</v>
      </c>
      <c r="G190">
        <f>VLOOKUP($A190,'ECOMMERS SALES'!$1:$500,MATCH('vlookup match'!G$1,ECOMMERS_SALES[#Headers],0))</f>
        <v>26924</v>
      </c>
      <c r="H190" t="str">
        <f>VLOOKUP($A190,'ECOMMERS SALES'!$1:$500,MATCH('vlookup match'!H$1,ECOMMERS_SALES[#Headers],0))</f>
        <v>Chennai</v>
      </c>
      <c r="I190" t="str">
        <f>VLOOKUP($A190,'ECOMMERS SALES'!$1:$500,MATCH('vlookup match'!I$1,ECOMMERS_SALES[#Headers],0))</f>
        <v>New</v>
      </c>
      <c r="J190" t="str">
        <f>VLOOKUP($A190,'ECOMMERS SALES'!$1:$500,MATCH('vlookup match'!J$1,ECOMMERS_SALES[#Headers],0))</f>
        <v>COD</v>
      </c>
    </row>
    <row r="191" spans="1:10" x14ac:dyDescent="0.35">
      <c r="A191">
        <v>1190</v>
      </c>
      <c r="B191" t="str">
        <f>VLOOKUP($A191,'ECOMMERS SALES'!$1:$500,MATCH('vlookup match'!B$1,ECOMMERS_SALES[#Headers],0))</f>
        <v>10-07-2025</v>
      </c>
      <c r="C191" t="str">
        <f>VLOOKUP($A191,'ECOMMERS SALES'!$1:$500,MATCH('vlookup match'!C$1,ECOMMERS_SALES[#Headers],0))</f>
        <v>Water Bottle</v>
      </c>
      <c r="D191" t="str">
        <f>VLOOKUP($A191,'ECOMMERS SALES'!$1:$500,MATCH('vlookup match'!D$1,ECOMMERS_SALES[#Headers],0))</f>
        <v>Other</v>
      </c>
      <c r="E191">
        <f>VLOOKUP($A191,'ECOMMERS SALES'!$1:$500,MATCH('vlookup match'!E$1,ECOMMERS_SALES[#Headers],0))</f>
        <v>5</v>
      </c>
      <c r="F191">
        <f>VLOOKUP($A191,'ECOMMERS SALES'!$1:$500,MATCH('vlookup match'!F$1,ECOMMERS_SALES[#Headers],0))</f>
        <v>404</v>
      </c>
      <c r="G191">
        <f>VLOOKUP($A191,'ECOMMERS SALES'!$1:$500,MATCH('vlookup match'!G$1,ECOMMERS_SALES[#Headers],0))</f>
        <v>2020</v>
      </c>
      <c r="H191" t="str">
        <f>VLOOKUP($A191,'ECOMMERS SALES'!$1:$500,MATCH('vlookup match'!H$1,ECOMMERS_SALES[#Headers],0))</f>
        <v>Bangalore</v>
      </c>
      <c r="I191" t="str">
        <f>VLOOKUP($A191,'ECOMMERS SALES'!$1:$500,MATCH('vlookup match'!I$1,ECOMMERS_SALES[#Headers],0))</f>
        <v>New</v>
      </c>
      <c r="J191" t="str">
        <f>VLOOKUP($A191,'ECOMMERS SALES'!$1:$500,MATCH('vlookup match'!J$1,ECOMMERS_SALES[#Headers],0))</f>
        <v>Card</v>
      </c>
    </row>
    <row r="192" spans="1:10" x14ac:dyDescent="0.35">
      <c r="A192">
        <v>1191</v>
      </c>
      <c r="B192" t="str">
        <f>VLOOKUP($A192,'ECOMMERS SALES'!$1:$500,MATCH('vlookup match'!B$1,ECOMMERS_SALES[#Headers],0))</f>
        <v>11-07-2025</v>
      </c>
      <c r="C192" t="str">
        <f>VLOOKUP($A192,'ECOMMERS SALES'!$1:$500,MATCH('vlookup match'!C$1,ECOMMERS_SALES[#Headers],0))</f>
        <v>Laptop</v>
      </c>
      <c r="D192" t="str">
        <f>VLOOKUP($A192,'ECOMMERS SALES'!$1:$500,MATCH('vlookup match'!D$1,ECOMMERS_SALES[#Headers],0))</f>
        <v>Electronics</v>
      </c>
      <c r="E192">
        <f>VLOOKUP($A192,'ECOMMERS SALES'!$1:$500,MATCH('vlookup match'!E$1,ECOMMERS_SALES[#Headers],0))</f>
        <v>1</v>
      </c>
      <c r="F192">
        <f>VLOOKUP($A192,'ECOMMERS SALES'!$1:$500,MATCH('vlookup match'!F$1,ECOMMERS_SALES[#Headers],0))</f>
        <v>59800</v>
      </c>
      <c r="G192">
        <f>VLOOKUP($A192,'ECOMMERS SALES'!$1:$500,MATCH('vlookup match'!G$1,ECOMMERS_SALES[#Headers],0))</f>
        <v>59800</v>
      </c>
      <c r="H192" t="str">
        <f>VLOOKUP($A192,'ECOMMERS SALES'!$1:$500,MATCH('vlookup match'!H$1,ECOMMERS_SALES[#Headers],0))</f>
        <v>Hyderabad</v>
      </c>
      <c r="I192" t="str">
        <f>VLOOKUP($A192,'ECOMMERS SALES'!$1:$500,MATCH('vlookup match'!I$1,ECOMMERS_SALES[#Headers],0))</f>
        <v>New</v>
      </c>
      <c r="J192" t="str">
        <f>VLOOKUP($A192,'ECOMMERS SALES'!$1:$500,MATCH('vlookup match'!J$1,ECOMMERS_SALES[#Headers],0))</f>
        <v>COD</v>
      </c>
    </row>
    <row r="193" spans="1:10" x14ac:dyDescent="0.35">
      <c r="A193">
        <v>1192</v>
      </c>
      <c r="B193" t="str">
        <f>VLOOKUP($A193,'ECOMMERS SALES'!$1:$500,MATCH('vlookup match'!B$1,ECOMMERS_SALES[#Headers],0))</f>
        <v>12-07-2025</v>
      </c>
      <c r="C193" t="str">
        <f>VLOOKUP($A193,'ECOMMERS SALES'!$1:$500,MATCH('vlookup match'!C$1,ECOMMERS_SALES[#Headers],0))</f>
        <v>Headphones</v>
      </c>
      <c r="D193" t="str">
        <f>VLOOKUP($A193,'ECOMMERS SALES'!$1:$500,MATCH('vlookup match'!D$1,ECOMMERS_SALES[#Headers],0))</f>
        <v>Electronics</v>
      </c>
      <c r="E193">
        <f>VLOOKUP($A193,'ECOMMERS SALES'!$1:$500,MATCH('vlookup match'!E$1,ECOMMERS_SALES[#Headers],0))</f>
        <v>2</v>
      </c>
      <c r="F193">
        <f>VLOOKUP($A193,'ECOMMERS SALES'!$1:$500,MATCH('vlookup match'!F$1,ECOMMERS_SALES[#Headers],0))</f>
        <v>2639</v>
      </c>
      <c r="G193">
        <f>VLOOKUP($A193,'ECOMMERS SALES'!$1:$500,MATCH('vlookup match'!G$1,ECOMMERS_SALES[#Headers],0))</f>
        <v>5278</v>
      </c>
      <c r="H193" t="str">
        <f>VLOOKUP($A193,'ECOMMERS SALES'!$1:$500,MATCH('vlookup match'!H$1,ECOMMERS_SALES[#Headers],0))</f>
        <v>Delhi</v>
      </c>
      <c r="I193" t="str">
        <f>VLOOKUP($A193,'ECOMMERS SALES'!$1:$500,MATCH('vlookup match'!I$1,ECOMMERS_SALES[#Headers],0))</f>
        <v>Returning</v>
      </c>
      <c r="J193" t="str">
        <f>VLOOKUP($A193,'ECOMMERS SALES'!$1:$500,MATCH('vlookup match'!J$1,ECOMMERS_SALES[#Headers],0))</f>
        <v>UPI</v>
      </c>
    </row>
    <row r="194" spans="1:10" x14ac:dyDescent="0.35">
      <c r="A194">
        <v>1193</v>
      </c>
      <c r="B194" t="str">
        <f>VLOOKUP($A194,'ECOMMERS SALES'!$1:$500,MATCH('vlookup match'!B$1,ECOMMERS_SALES[#Headers],0))</f>
        <v>13-07-2025</v>
      </c>
      <c r="C194" t="str">
        <f>VLOOKUP($A194,'ECOMMERS SALES'!$1:$500,MATCH('vlookup match'!C$1,ECOMMERS_SALES[#Headers],0))</f>
        <v>Shoes</v>
      </c>
      <c r="D194" t="str">
        <f>VLOOKUP($A194,'ECOMMERS SALES'!$1:$500,MATCH('vlookup match'!D$1,ECOMMERS_SALES[#Headers],0))</f>
        <v>Fashion</v>
      </c>
      <c r="E194">
        <f>VLOOKUP($A194,'ECOMMERS SALES'!$1:$500,MATCH('vlookup match'!E$1,ECOMMERS_SALES[#Headers],0))</f>
        <v>1</v>
      </c>
      <c r="F194">
        <f>VLOOKUP($A194,'ECOMMERS SALES'!$1:$500,MATCH('vlookup match'!F$1,ECOMMERS_SALES[#Headers],0))</f>
        <v>2167</v>
      </c>
      <c r="G194">
        <f>VLOOKUP($A194,'ECOMMERS SALES'!$1:$500,MATCH('vlookup match'!G$1,ECOMMERS_SALES[#Headers],0))</f>
        <v>2167</v>
      </c>
      <c r="H194" t="str">
        <f>VLOOKUP($A194,'ECOMMERS SALES'!$1:$500,MATCH('vlookup match'!H$1,ECOMMERS_SALES[#Headers],0))</f>
        <v>Mumbai</v>
      </c>
      <c r="I194" t="str">
        <f>VLOOKUP($A194,'ECOMMERS SALES'!$1:$500,MATCH('vlookup match'!I$1,ECOMMERS_SALES[#Headers],0))</f>
        <v>Premimum</v>
      </c>
      <c r="J194" t="str">
        <f>VLOOKUP($A194,'ECOMMERS SALES'!$1:$500,MATCH('vlookup match'!J$1,ECOMMERS_SALES[#Headers],0))</f>
        <v>UPI</v>
      </c>
    </row>
    <row r="195" spans="1:10" x14ac:dyDescent="0.35">
      <c r="A195">
        <v>1194</v>
      </c>
      <c r="B195" t="str">
        <f>VLOOKUP($A195,'ECOMMERS SALES'!$1:$500,MATCH('vlookup match'!B$1,ECOMMERS_SALES[#Headers],0))</f>
        <v>14-07-2025</v>
      </c>
      <c r="C195" t="str">
        <f>VLOOKUP($A195,'ECOMMERS SALES'!$1:$500,MATCH('vlookup match'!C$1,ECOMMERS_SALES[#Headers],0))</f>
        <v>Watch</v>
      </c>
      <c r="D195" t="str">
        <f>VLOOKUP($A195,'ECOMMERS SALES'!$1:$500,MATCH('vlookup match'!D$1,ECOMMERS_SALES[#Headers],0))</f>
        <v>Other</v>
      </c>
      <c r="E195">
        <f>VLOOKUP($A195,'ECOMMERS SALES'!$1:$500,MATCH('vlookup match'!E$1,ECOMMERS_SALES[#Headers],0))</f>
        <v>3</v>
      </c>
      <c r="F195">
        <f>VLOOKUP($A195,'ECOMMERS SALES'!$1:$500,MATCH('vlookup match'!F$1,ECOMMERS_SALES[#Headers],0))</f>
        <v>8179</v>
      </c>
      <c r="G195">
        <f>VLOOKUP($A195,'ECOMMERS SALES'!$1:$500,MATCH('vlookup match'!G$1,ECOMMERS_SALES[#Headers],0))</f>
        <v>24537</v>
      </c>
      <c r="H195" t="str">
        <f>VLOOKUP($A195,'ECOMMERS SALES'!$1:$500,MATCH('vlookup match'!H$1,ECOMMERS_SALES[#Headers],0))</f>
        <v>Chennai</v>
      </c>
      <c r="I195" t="str">
        <f>VLOOKUP($A195,'ECOMMERS SALES'!$1:$500,MATCH('vlookup match'!I$1,ECOMMERS_SALES[#Headers],0))</f>
        <v>Returning</v>
      </c>
      <c r="J195" t="str">
        <f>VLOOKUP($A195,'ECOMMERS SALES'!$1:$500,MATCH('vlookup match'!J$1,ECOMMERS_SALES[#Headers],0))</f>
        <v>Card</v>
      </c>
    </row>
    <row r="196" spans="1:10" x14ac:dyDescent="0.35">
      <c r="A196">
        <v>1195</v>
      </c>
      <c r="B196" t="str">
        <f>VLOOKUP($A196,'ECOMMERS SALES'!$1:$500,MATCH('vlookup match'!B$1,ECOMMERS_SALES[#Headers],0))</f>
        <v>15-07-2025</v>
      </c>
      <c r="C196" t="str">
        <f>VLOOKUP($A196,'ECOMMERS SALES'!$1:$500,MATCH('vlookup match'!C$1,ECOMMERS_SALES[#Headers],0))</f>
        <v>Mobile Case</v>
      </c>
      <c r="D196" t="str">
        <f>VLOOKUP($A196,'ECOMMERS SALES'!$1:$500,MATCH('vlookup match'!D$1,ECOMMERS_SALES[#Headers],0))</f>
        <v>Other</v>
      </c>
      <c r="E196">
        <f>VLOOKUP($A196,'ECOMMERS SALES'!$1:$500,MATCH('vlookup match'!E$1,ECOMMERS_SALES[#Headers],0))</f>
        <v>1</v>
      </c>
      <c r="F196">
        <f>VLOOKUP($A196,'ECOMMERS SALES'!$1:$500,MATCH('vlookup match'!F$1,ECOMMERS_SALES[#Headers],0))</f>
        <v>374</v>
      </c>
      <c r="G196">
        <f>VLOOKUP($A196,'ECOMMERS SALES'!$1:$500,MATCH('vlookup match'!G$1,ECOMMERS_SALES[#Headers],0))</f>
        <v>374</v>
      </c>
      <c r="H196" t="str">
        <f>VLOOKUP($A196,'ECOMMERS SALES'!$1:$500,MATCH('vlookup match'!H$1,ECOMMERS_SALES[#Headers],0))</f>
        <v>Bangalore</v>
      </c>
      <c r="I196" t="str">
        <f>VLOOKUP($A196,'ECOMMERS SALES'!$1:$500,MATCH('vlookup match'!I$1,ECOMMERS_SALES[#Headers],0))</f>
        <v>Premimum</v>
      </c>
      <c r="J196" t="str">
        <f>VLOOKUP($A196,'ECOMMERS SALES'!$1:$500,MATCH('vlookup match'!J$1,ECOMMERS_SALES[#Headers],0))</f>
        <v>Card</v>
      </c>
    </row>
    <row r="197" spans="1:10" x14ac:dyDescent="0.35">
      <c r="A197">
        <v>1196</v>
      </c>
      <c r="B197" t="str">
        <f>VLOOKUP($A197,'ECOMMERS SALES'!$1:$500,MATCH('vlookup match'!B$1,ECOMMERS_SALES[#Headers],0))</f>
        <v>16-07-2025</v>
      </c>
      <c r="C197" t="str">
        <f>VLOOKUP($A197,'ECOMMERS SALES'!$1:$500,MATCH('vlookup match'!C$1,ECOMMERS_SALES[#Headers],0))</f>
        <v>Tablet</v>
      </c>
      <c r="D197" t="str">
        <f>VLOOKUP($A197,'ECOMMERS SALES'!$1:$500,MATCH('vlookup match'!D$1,ECOMMERS_SALES[#Headers],0))</f>
        <v>Electronics</v>
      </c>
      <c r="E197">
        <f>VLOOKUP($A197,'ECOMMERS SALES'!$1:$500,MATCH('vlookup match'!E$1,ECOMMERS_SALES[#Headers],0))</f>
        <v>1</v>
      </c>
      <c r="F197">
        <f>VLOOKUP($A197,'ECOMMERS SALES'!$1:$500,MATCH('vlookup match'!F$1,ECOMMERS_SALES[#Headers],0))</f>
        <v>36595</v>
      </c>
      <c r="G197">
        <f>VLOOKUP($A197,'ECOMMERS SALES'!$1:$500,MATCH('vlookup match'!G$1,ECOMMERS_SALES[#Headers],0))</f>
        <v>36595</v>
      </c>
      <c r="H197" t="str">
        <f>VLOOKUP($A197,'ECOMMERS SALES'!$1:$500,MATCH('vlookup match'!H$1,ECOMMERS_SALES[#Headers],0))</f>
        <v>Pune</v>
      </c>
      <c r="I197" t="str">
        <f>VLOOKUP($A197,'ECOMMERS SALES'!$1:$500,MATCH('vlookup match'!I$1,ECOMMERS_SALES[#Headers],0))</f>
        <v>Premimum</v>
      </c>
      <c r="J197" t="str">
        <f>VLOOKUP($A197,'ECOMMERS SALES'!$1:$500,MATCH('vlookup match'!J$1,ECOMMERS_SALES[#Headers],0))</f>
        <v>COD</v>
      </c>
    </row>
    <row r="198" spans="1:10" x14ac:dyDescent="0.35">
      <c r="A198">
        <v>1197</v>
      </c>
      <c r="B198" t="str">
        <f>VLOOKUP($A198,'ECOMMERS SALES'!$1:$500,MATCH('vlookup match'!B$1,ECOMMERS_SALES[#Headers],0))</f>
        <v>17-07-2025</v>
      </c>
      <c r="C198" t="str">
        <f>VLOOKUP($A198,'ECOMMERS SALES'!$1:$500,MATCH('vlookup match'!C$1,ECOMMERS_SALES[#Headers],0))</f>
        <v>Book</v>
      </c>
      <c r="D198" t="str">
        <f>VLOOKUP($A198,'ECOMMERS SALES'!$1:$500,MATCH('vlookup match'!D$1,ECOMMERS_SALES[#Headers],0))</f>
        <v>Books</v>
      </c>
      <c r="E198">
        <f>VLOOKUP($A198,'ECOMMERS SALES'!$1:$500,MATCH('vlookup match'!E$1,ECOMMERS_SALES[#Headers],0))</f>
        <v>5</v>
      </c>
      <c r="F198">
        <f>VLOOKUP($A198,'ECOMMERS SALES'!$1:$500,MATCH('vlookup match'!F$1,ECOMMERS_SALES[#Headers],0))</f>
        <v>570</v>
      </c>
      <c r="G198">
        <f>VLOOKUP($A198,'ECOMMERS SALES'!$1:$500,MATCH('vlookup match'!G$1,ECOMMERS_SALES[#Headers],0))</f>
        <v>2850</v>
      </c>
      <c r="H198" t="str">
        <f>VLOOKUP($A198,'ECOMMERS SALES'!$1:$500,MATCH('vlookup match'!H$1,ECOMMERS_SALES[#Headers],0))</f>
        <v>Hyderabad</v>
      </c>
      <c r="I198" t="str">
        <f>VLOOKUP($A198,'ECOMMERS SALES'!$1:$500,MATCH('vlookup match'!I$1,ECOMMERS_SALES[#Headers],0))</f>
        <v>New</v>
      </c>
      <c r="J198" t="str">
        <f>VLOOKUP($A198,'ECOMMERS SALES'!$1:$500,MATCH('vlookup match'!J$1,ECOMMERS_SALES[#Headers],0))</f>
        <v>UPI</v>
      </c>
    </row>
    <row r="199" spans="1:10" x14ac:dyDescent="0.35">
      <c r="A199">
        <v>1198</v>
      </c>
      <c r="B199" t="str">
        <f>VLOOKUP($A199,'ECOMMERS SALES'!$1:$500,MATCH('vlookup match'!B$1,ECOMMERS_SALES[#Headers],0))</f>
        <v>18-07-2025</v>
      </c>
      <c r="C199" t="str">
        <f>VLOOKUP($A199,'ECOMMERS SALES'!$1:$500,MATCH('vlookup match'!C$1,ECOMMERS_SALES[#Headers],0))</f>
        <v>Backpack</v>
      </c>
      <c r="D199" t="str">
        <f>VLOOKUP($A199,'ECOMMERS SALES'!$1:$500,MATCH('vlookup match'!D$1,ECOMMERS_SALES[#Headers],0))</f>
        <v>Fashion</v>
      </c>
      <c r="E199">
        <f>VLOOKUP($A199,'ECOMMERS SALES'!$1:$500,MATCH('vlookup match'!E$1,ECOMMERS_SALES[#Headers],0))</f>
        <v>3</v>
      </c>
      <c r="F199">
        <f>VLOOKUP($A199,'ECOMMERS SALES'!$1:$500,MATCH('vlookup match'!F$1,ECOMMERS_SALES[#Headers],0))</f>
        <v>1005</v>
      </c>
      <c r="G199">
        <f>VLOOKUP($A199,'ECOMMERS SALES'!$1:$500,MATCH('vlookup match'!G$1,ECOMMERS_SALES[#Headers],0))</f>
        <v>3015</v>
      </c>
      <c r="H199" t="str">
        <f>VLOOKUP($A199,'ECOMMERS SALES'!$1:$500,MATCH('vlookup match'!H$1,ECOMMERS_SALES[#Headers],0))</f>
        <v>Hyderabad</v>
      </c>
      <c r="I199" t="str">
        <f>VLOOKUP($A199,'ECOMMERS SALES'!$1:$500,MATCH('vlookup match'!I$1,ECOMMERS_SALES[#Headers],0))</f>
        <v>New</v>
      </c>
      <c r="J199" t="str">
        <f>VLOOKUP($A199,'ECOMMERS SALES'!$1:$500,MATCH('vlookup match'!J$1,ECOMMERS_SALES[#Headers],0))</f>
        <v>COD</v>
      </c>
    </row>
    <row r="200" spans="1:10" x14ac:dyDescent="0.35">
      <c r="A200">
        <v>1199</v>
      </c>
      <c r="B200" t="str">
        <f>VLOOKUP($A200,'ECOMMERS SALES'!$1:$500,MATCH('vlookup match'!B$1,ECOMMERS_SALES[#Headers],0))</f>
        <v>19-07-2025</v>
      </c>
      <c r="C200" t="str">
        <f>VLOOKUP($A200,'ECOMMERS SALES'!$1:$500,MATCH('vlookup match'!C$1,ECOMMERS_SALES[#Headers],0))</f>
        <v>Smartwatch</v>
      </c>
      <c r="D200" t="str">
        <f>VLOOKUP($A200,'ECOMMERS SALES'!$1:$500,MATCH('vlookup match'!D$1,ECOMMERS_SALES[#Headers],0))</f>
        <v>Electronics</v>
      </c>
      <c r="E200">
        <f>VLOOKUP($A200,'ECOMMERS SALES'!$1:$500,MATCH('vlookup match'!E$1,ECOMMERS_SALES[#Headers],0))</f>
        <v>2</v>
      </c>
      <c r="F200">
        <f>VLOOKUP($A200,'ECOMMERS SALES'!$1:$500,MATCH('vlookup match'!F$1,ECOMMERS_SALES[#Headers],0))</f>
        <v>14435</v>
      </c>
      <c r="G200">
        <f>VLOOKUP($A200,'ECOMMERS SALES'!$1:$500,MATCH('vlookup match'!G$1,ECOMMERS_SALES[#Headers],0))</f>
        <v>28870</v>
      </c>
      <c r="H200" t="str">
        <f>VLOOKUP($A200,'ECOMMERS SALES'!$1:$500,MATCH('vlookup match'!H$1,ECOMMERS_SALES[#Headers],0))</f>
        <v>Delhi</v>
      </c>
      <c r="I200" t="str">
        <f>VLOOKUP($A200,'ECOMMERS SALES'!$1:$500,MATCH('vlookup match'!I$1,ECOMMERS_SALES[#Headers],0))</f>
        <v>New</v>
      </c>
      <c r="J200" t="str">
        <f>VLOOKUP($A200,'ECOMMERS SALES'!$1:$500,MATCH('vlookup match'!J$1,ECOMMERS_SALES[#Headers],0))</f>
        <v>Card</v>
      </c>
    </row>
    <row r="201" spans="1:10" x14ac:dyDescent="0.35">
      <c r="A201">
        <v>1200</v>
      </c>
      <c r="B201" t="str">
        <f>VLOOKUP($A201,'ECOMMERS SALES'!$1:$500,MATCH('vlookup match'!B$1,ECOMMERS_SALES[#Headers],0))</f>
        <v>20-07-2025</v>
      </c>
      <c r="C201" t="str">
        <f>VLOOKUP($A201,'ECOMMERS SALES'!$1:$500,MATCH('vlookup match'!C$1,ECOMMERS_SALES[#Headers],0))</f>
        <v>Water Bottle</v>
      </c>
      <c r="D201" t="str">
        <f>VLOOKUP($A201,'ECOMMERS SALES'!$1:$500,MATCH('vlookup match'!D$1,ECOMMERS_SALES[#Headers],0))</f>
        <v>Other</v>
      </c>
      <c r="E201">
        <f>VLOOKUP($A201,'ECOMMERS SALES'!$1:$500,MATCH('vlookup match'!E$1,ECOMMERS_SALES[#Headers],0))</f>
        <v>5</v>
      </c>
      <c r="F201">
        <f>VLOOKUP($A201,'ECOMMERS SALES'!$1:$500,MATCH('vlookup match'!F$1,ECOMMERS_SALES[#Headers],0))</f>
        <v>351</v>
      </c>
      <c r="G201">
        <f>VLOOKUP($A201,'ECOMMERS SALES'!$1:$500,MATCH('vlookup match'!G$1,ECOMMERS_SALES[#Headers],0))</f>
        <v>1755</v>
      </c>
      <c r="H201" t="str">
        <f>VLOOKUP($A201,'ECOMMERS SALES'!$1:$500,MATCH('vlookup match'!H$1,ECOMMERS_SALES[#Headers],0))</f>
        <v>Bangalore</v>
      </c>
      <c r="I201" t="str">
        <f>VLOOKUP($A201,'ECOMMERS SALES'!$1:$500,MATCH('vlookup match'!I$1,ECOMMERS_SALES[#Headers],0))</f>
        <v>Returning</v>
      </c>
      <c r="J201" t="str">
        <f>VLOOKUP($A201,'ECOMMERS SALES'!$1:$500,MATCH('vlookup match'!J$1,ECOMMERS_SALES[#Headers],0))</f>
        <v>Card</v>
      </c>
    </row>
    <row r="202" spans="1:10" x14ac:dyDescent="0.35">
      <c r="A202">
        <v>1201</v>
      </c>
      <c r="B202" t="str">
        <f>VLOOKUP($A202,'ECOMMERS SALES'!$1:$500,MATCH('vlookup match'!B$1,ECOMMERS_SALES[#Headers],0))</f>
        <v>21-07-2025</v>
      </c>
      <c r="C202" t="str">
        <f>VLOOKUP($A202,'ECOMMERS SALES'!$1:$500,MATCH('vlookup match'!C$1,ECOMMERS_SALES[#Headers],0))</f>
        <v>Laptop</v>
      </c>
      <c r="D202" t="str">
        <f>VLOOKUP($A202,'ECOMMERS SALES'!$1:$500,MATCH('vlookup match'!D$1,ECOMMERS_SALES[#Headers],0))</f>
        <v>Electronics</v>
      </c>
      <c r="E202">
        <f>VLOOKUP($A202,'ECOMMERS SALES'!$1:$500,MATCH('vlookup match'!E$1,ECOMMERS_SALES[#Headers],0))</f>
        <v>2</v>
      </c>
      <c r="F202">
        <f>VLOOKUP($A202,'ECOMMERS SALES'!$1:$500,MATCH('vlookup match'!F$1,ECOMMERS_SALES[#Headers],0))</f>
        <v>60581</v>
      </c>
      <c r="G202">
        <f>VLOOKUP($A202,'ECOMMERS SALES'!$1:$500,MATCH('vlookup match'!G$1,ECOMMERS_SALES[#Headers],0))</f>
        <v>121162</v>
      </c>
      <c r="H202" t="str">
        <f>VLOOKUP($A202,'ECOMMERS SALES'!$1:$500,MATCH('vlookup match'!H$1,ECOMMERS_SALES[#Headers],0))</f>
        <v>Pune</v>
      </c>
      <c r="I202" t="str">
        <f>VLOOKUP($A202,'ECOMMERS SALES'!$1:$500,MATCH('vlookup match'!I$1,ECOMMERS_SALES[#Headers],0))</f>
        <v>Premimum</v>
      </c>
      <c r="J202" t="str">
        <f>VLOOKUP($A202,'ECOMMERS SALES'!$1:$500,MATCH('vlookup match'!J$1,ECOMMERS_SALES[#Headers],0))</f>
        <v>COD</v>
      </c>
    </row>
    <row r="203" spans="1:10" x14ac:dyDescent="0.35">
      <c r="A203">
        <v>1202</v>
      </c>
      <c r="B203" t="str">
        <f>VLOOKUP($A203,'ECOMMERS SALES'!$1:$500,MATCH('vlookup match'!B$1,ECOMMERS_SALES[#Headers],0))</f>
        <v>22-07-2025</v>
      </c>
      <c r="C203" t="str">
        <f>VLOOKUP($A203,'ECOMMERS SALES'!$1:$500,MATCH('vlookup match'!C$1,ECOMMERS_SALES[#Headers],0))</f>
        <v>Headphones</v>
      </c>
      <c r="D203" t="str">
        <f>VLOOKUP($A203,'ECOMMERS SALES'!$1:$500,MATCH('vlookup match'!D$1,ECOMMERS_SALES[#Headers],0))</f>
        <v>Electronics</v>
      </c>
      <c r="E203">
        <f>VLOOKUP($A203,'ECOMMERS SALES'!$1:$500,MATCH('vlookup match'!E$1,ECOMMERS_SALES[#Headers],0))</f>
        <v>1</v>
      </c>
      <c r="F203">
        <f>VLOOKUP($A203,'ECOMMERS SALES'!$1:$500,MATCH('vlookup match'!F$1,ECOMMERS_SALES[#Headers],0))</f>
        <v>2742</v>
      </c>
      <c r="G203">
        <f>VLOOKUP($A203,'ECOMMERS SALES'!$1:$500,MATCH('vlookup match'!G$1,ECOMMERS_SALES[#Headers],0))</f>
        <v>2742</v>
      </c>
      <c r="H203" t="str">
        <f>VLOOKUP($A203,'ECOMMERS SALES'!$1:$500,MATCH('vlookup match'!H$1,ECOMMERS_SALES[#Headers],0))</f>
        <v>Mumbai</v>
      </c>
      <c r="I203" t="str">
        <f>VLOOKUP($A203,'ECOMMERS SALES'!$1:$500,MATCH('vlookup match'!I$1,ECOMMERS_SALES[#Headers],0))</f>
        <v>Returning</v>
      </c>
      <c r="J203" t="str">
        <f>VLOOKUP($A203,'ECOMMERS SALES'!$1:$500,MATCH('vlookup match'!J$1,ECOMMERS_SALES[#Headers],0))</f>
        <v>COD</v>
      </c>
    </row>
    <row r="204" spans="1:10" x14ac:dyDescent="0.35">
      <c r="A204">
        <v>1203</v>
      </c>
      <c r="B204" t="str">
        <f>VLOOKUP($A204,'ECOMMERS SALES'!$1:$500,MATCH('vlookup match'!B$1,ECOMMERS_SALES[#Headers],0))</f>
        <v>23-07-2025</v>
      </c>
      <c r="C204" t="str">
        <f>VLOOKUP($A204,'ECOMMERS SALES'!$1:$500,MATCH('vlookup match'!C$1,ECOMMERS_SALES[#Headers],0))</f>
        <v>Shoes</v>
      </c>
      <c r="D204" t="str">
        <f>VLOOKUP($A204,'ECOMMERS SALES'!$1:$500,MATCH('vlookup match'!D$1,ECOMMERS_SALES[#Headers],0))</f>
        <v>Fashion</v>
      </c>
      <c r="E204">
        <f>VLOOKUP($A204,'ECOMMERS SALES'!$1:$500,MATCH('vlookup match'!E$1,ECOMMERS_SALES[#Headers],0))</f>
        <v>3</v>
      </c>
      <c r="F204">
        <f>VLOOKUP($A204,'ECOMMERS SALES'!$1:$500,MATCH('vlookup match'!F$1,ECOMMERS_SALES[#Headers],0))</f>
        <v>3576</v>
      </c>
      <c r="G204">
        <f>VLOOKUP($A204,'ECOMMERS SALES'!$1:$500,MATCH('vlookup match'!G$1,ECOMMERS_SALES[#Headers],0))</f>
        <v>10728</v>
      </c>
      <c r="H204" t="str">
        <f>VLOOKUP($A204,'ECOMMERS SALES'!$1:$500,MATCH('vlookup match'!H$1,ECOMMERS_SALES[#Headers],0))</f>
        <v>Hyderabad</v>
      </c>
      <c r="I204" t="str">
        <f>VLOOKUP($A204,'ECOMMERS SALES'!$1:$500,MATCH('vlookup match'!I$1,ECOMMERS_SALES[#Headers],0))</f>
        <v>Premimum</v>
      </c>
      <c r="J204" t="str">
        <f>VLOOKUP($A204,'ECOMMERS SALES'!$1:$500,MATCH('vlookup match'!J$1,ECOMMERS_SALES[#Headers],0))</f>
        <v>Card</v>
      </c>
    </row>
    <row r="205" spans="1:10" x14ac:dyDescent="0.35">
      <c r="A205">
        <v>1204</v>
      </c>
      <c r="B205" t="str">
        <f>VLOOKUP($A205,'ECOMMERS SALES'!$1:$500,MATCH('vlookup match'!B$1,ECOMMERS_SALES[#Headers],0))</f>
        <v>24-07-2025</v>
      </c>
      <c r="C205" t="str">
        <f>VLOOKUP($A205,'ECOMMERS SALES'!$1:$500,MATCH('vlookup match'!C$1,ECOMMERS_SALES[#Headers],0))</f>
        <v>Watch</v>
      </c>
      <c r="D205" t="str">
        <f>VLOOKUP($A205,'ECOMMERS SALES'!$1:$500,MATCH('vlookup match'!D$1,ECOMMERS_SALES[#Headers],0))</f>
        <v>Other</v>
      </c>
      <c r="E205">
        <f>VLOOKUP($A205,'ECOMMERS SALES'!$1:$500,MATCH('vlookup match'!E$1,ECOMMERS_SALES[#Headers],0))</f>
        <v>4</v>
      </c>
      <c r="F205">
        <f>VLOOKUP($A205,'ECOMMERS SALES'!$1:$500,MATCH('vlookup match'!F$1,ECOMMERS_SALES[#Headers],0))</f>
        <v>15524</v>
      </c>
      <c r="G205">
        <f>VLOOKUP($A205,'ECOMMERS SALES'!$1:$500,MATCH('vlookup match'!G$1,ECOMMERS_SALES[#Headers],0))</f>
        <v>62096</v>
      </c>
      <c r="H205" t="str">
        <f>VLOOKUP($A205,'ECOMMERS SALES'!$1:$500,MATCH('vlookup match'!H$1,ECOMMERS_SALES[#Headers],0))</f>
        <v>Chennai</v>
      </c>
      <c r="I205" t="str">
        <f>VLOOKUP($A205,'ECOMMERS SALES'!$1:$500,MATCH('vlookup match'!I$1,ECOMMERS_SALES[#Headers],0))</f>
        <v>New</v>
      </c>
      <c r="J205" t="str">
        <f>VLOOKUP($A205,'ECOMMERS SALES'!$1:$500,MATCH('vlookup match'!J$1,ECOMMERS_SALES[#Headers],0))</f>
        <v>Card</v>
      </c>
    </row>
    <row r="206" spans="1:10" x14ac:dyDescent="0.35">
      <c r="A206">
        <v>1205</v>
      </c>
      <c r="B206" t="str">
        <f>VLOOKUP($A206,'ECOMMERS SALES'!$1:$500,MATCH('vlookup match'!B$1,ECOMMERS_SALES[#Headers],0))</f>
        <v>25-07-2025</v>
      </c>
      <c r="C206" t="str">
        <f>VLOOKUP($A206,'ECOMMERS SALES'!$1:$500,MATCH('vlookup match'!C$1,ECOMMERS_SALES[#Headers],0))</f>
        <v>Mobile Case</v>
      </c>
      <c r="D206" t="str">
        <f>VLOOKUP($A206,'ECOMMERS SALES'!$1:$500,MATCH('vlookup match'!D$1,ECOMMERS_SALES[#Headers],0))</f>
        <v>Other</v>
      </c>
      <c r="E206">
        <f>VLOOKUP($A206,'ECOMMERS SALES'!$1:$500,MATCH('vlookup match'!E$1,ECOMMERS_SALES[#Headers],0))</f>
        <v>3</v>
      </c>
      <c r="F206">
        <f>VLOOKUP($A206,'ECOMMERS SALES'!$1:$500,MATCH('vlookup match'!F$1,ECOMMERS_SALES[#Headers],0))</f>
        <v>973</v>
      </c>
      <c r="G206">
        <f>VLOOKUP($A206,'ECOMMERS SALES'!$1:$500,MATCH('vlookup match'!G$1,ECOMMERS_SALES[#Headers],0))</f>
        <v>2919</v>
      </c>
      <c r="H206" t="str">
        <f>VLOOKUP($A206,'ECOMMERS SALES'!$1:$500,MATCH('vlookup match'!H$1,ECOMMERS_SALES[#Headers],0))</f>
        <v>Pune</v>
      </c>
      <c r="I206" t="str">
        <f>VLOOKUP($A206,'ECOMMERS SALES'!$1:$500,MATCH('vlookup match'!I$1,ECOMMERS_SALES[#Headers],0))</f>
        <v>New</v>
      </c>
      <c r="J206" t="str">
        <f>VLOOKUP($A206,'ECOMMERS SALES'!$1:$500,MATCH('vlookup match'!J$1,ECOMMERS_SALES[#Headers],0))</f>
        <v>UPI</v>
      </c>
    </row>
    <row r="207" spans="1:10" x14ac:dyDescent="0.35">
      <c r="A207">
        <v>1206</v>
      </c>
      <c r="B207" t="str">
        <f>VLOOKUP($A207,'ECOMMERS SALES'!$1:$500,MATCH('vlookup match'!B$1,ECOMMERS_SALES[#Headers],0))</f>
        <v>26-07-2025</v>
      </c>
      <c r="C207" t="str">
        <f>VLOOKUP($A207,'ECOMMERS SALES'!$1:$500,MATCH('vlookup match'!C$1,ECOMMERS_SALES[#Headers],0))</f>
        <v>Tablet</v>
      </c>
      <c r="D207" t="str">
        <f>VLOOKUP($A207,'ECOMMERS SALES'!$1:$500,MATCH('vlookup match'!D$1,ECOMMERS_SALES[#Headers],0))</f>
        <v>Electronics</v>
      </c>
      <c r="E207">
        <f>VLOOKUP($A207,'ECOMMERS SALES'!$1:$500,MATCH('vlookup match'!E$1,ECOMMERS_SALES[#Headers],0))</f>
        <v>2</v>
      </c>
      <c r="F207">
        <f>VLOOKUP($A207,'ECOMMERS SALES'!$1:$500,MATCH('vlookup match'!F$1,ECOMMERS_SALES[#Headers],0))</f>
        <v>19223</v>
      </c>
      <c r="G207">
        <f>VLOOKUP($A207,'ECOMMERS SALES'!$1:$500,MATCH('vlookup match'!G$1,ECOMMERS_SALES[#Headers],0))</f>
        <v>38446</v>
      </c>
      <c r="H207" t="str">
        <f>VLOOKUP($A207,'ECOMMERS SALES'!$1:$500,MATCH('vlookup match'!H$1,ECOMMERS_SALES[#Headers],0))</f>
        <v>Pune</v>
      </c>
      <c r="I207" t="str">
        <f>VLOOKUP($A207,'ECOMMERS SALES'!$1:$500,MATCH('vlookup match'!I$1,ECOMMERS_SALES[#Headers],0))</f>
        <v>Premimum</v>
      </c>
      <c r="J207" t="str">
        <f>VLOOKUP($A207,'ECOMMERS SALES'!$1:$500,MATCH('vlookup match'!J$1,ECOMMERS_SALES[#Headers],0))</f>
        <v>UPI</v>
      </c>
    </row>
    <row r="208" spans="1:10" x14ac:dyDescent="0.35">
      <c r="A208">
        <v>1207</v>
      </c>
      <c r="B208" t="str">
        <f>VLOOKUP($A208,'ECOMMERS SALES'!$1:$500,MATCH('vlookup match'!B$1,ECOMMERS_SALES[#Headers],0))</f>
        <v>27-07-2025</v>
      </c>
      <c r="C208" t="str">
        <f>VLOOKUP($A208,'ECOMMERS SALES'!$1:$500,MATCH('vlookup match'!C$1,ECOMMERS_SALES[#Headers],0))</f>
        <v>Book</v>
      </c>
      <c r="D208" t="str">
        <f>VLOOKUP($A208,'ECOMMERS SALES'!$1:$500,MATCH('vlookup match'!D$1,ECOMMERS_SALES[#Headers],0))</f>
        <v>Books</v>
      </c>
      <c r="E208">
        <f>VLOOKUP($A208,'ECOMMERS SALES'!$1:$500,MATCH('vlookup match'!E$1,ECOMMERS_SALES[#Headers],0))</f>
        <v>3</v>
      </c>
      <c r="F208">
        <f>VLOOKUP($A208,'ECOMMERS SALES'!$1:$500,MATCH('vlookup match'!F$1,ECOMMERS_SALES[#Headers],0))</f>
        <v>197</v>
      </c>
      <c r="G208">
        <f>VLOOKUP($A208,'ECOMMERS SALES'!$1:$500,MATCH('vlookup match'!G$1,ECOMMERS_SALES[#Headers],0))</f>
        <v>591</v>
      </c>
      <c r="H208" t="str">
        <f>VLOOKUP($A208,'ECOMMERS SALES'!$1:$500,MATCH('vlookup match'!H$1,ECOMMERS_SALES[#Headers],0))</f>
        <v>Mumbai</v>
      </c>
      <c r="I208" t="str">
        <f>VLOOKUP($A208,'ECOMMERS SALES'!$1:$500,MATCH('vlookup match'!I$1,ECOMMERS_SALES[#Headers],0))</f>
        <v>Returning</v>
      </c>
      <c r="J208" t="str">
        <f>VLOOKUP($A208,'ECOMMERS SALES'!$1:$500,MATCH('vlookup match'!J$1,ECOMMERS_SALES[#Headers],0))</f>
        <v>Card</v>
      </c>
    </row>
    <row r="209" spans="1:10" x14ac:dyDescent="0.35">
      <c r="A209">
        <v>1208</v>
      </c>
      <c r="B209" t="str">
        <f>VLOOKUP($A209,'ECOMMERS SALES'!$1:$500,MATCH('vlookup match'!B$1,ECOMMERS_SALES[#Headers],0))</f>
        <v>28-07-2025</v>
      </c>
      <c r="C209" t="str">
        <f>VLOOKUP($A209,'ECOMMERS SALES'!$1:$500,MATCH('vlookup match'!C$1,ECOMMERS_SALES[#Headers],0))</f>
        <v>Backpack</v>
      </c>
      <c r="D209" t="str">
        <f>VLOOKUP($A209,'ECOMMERS SALES'!$1:$500,MATCH('vlookup match'!D$1,ECOMMERS_SALES[#Headers],0))</f>
        <v>Fashion</v>
      </c>
      <c r="E209">
        <f>VLOOKUP($A209,'ECOMMERS SALES'!$1:$500,MATCH('vlookup match'!E$1,ECOMMERS_SALES[#Headers],0))</f>
        <v>4</v>
      </c>
      <c r="F209">
        <f>VLOOKUP($A209,'ECOMMERS SALES'!$1:$500,MATCH('vlookup match'!F$1,ECOMMERS_SALES[#Headers],0))</f>
        <v>1862</v>
      </c>
      <c r="G209">
        <f>VLOOKUP($A209,'ECOMMERS SALES'!$1:$500,MATCH('vlookup match'!G$1,ECOMMERS_SALES[#Headers],0))</f>
        <v>7448</v>
      </c>
      <c r="H209" t="str">
        <f>VLOOKUP($A209,'ECOMMERS SALES'!$1:$500,MATCH('vlookup match'!H$1,ECOMMERS_SALES[#Headers],0))</f>
        <v>Chennai</v>
      </c>
      <c r="I209" t="str">
        <f>VLOOKUP($A209,'ECOMMERS SALES'!$1:$500,MATCH('vlookup match'!I$1,ECOMMERS_SALES[#Headers],0))</f>
        <v>Returning</v>
      </c>
      <c r="J209" t="str">
        <f>VLOOKUP($A209,'ECOMMERS SALES'!$1:$500,MATCH('vlookup match'!J$1,ECOMMERS_SALES[#Headers],0))</f>
        <v>UPI</v>
      </c>
    </row>
    <row r="210" spans="1:10" x14ac:dyDescent="0.35">
      <c r="A210">
        <v>1209</v>
      </c>
      <c r="B210" t="str">
        <f>VLOOKUP($A210,'ECOMMERS SALES'!$1:$500,MATCH('vlookup match'!B$1,ECOMMERS_SALES[#Headers],0))</f>
        <v>29-07-2025</v>
      </c>
      <c r="C210" t="str">
        <f>VLOOKUP($A210,'ECOMMERS SALES'!$1:$500,MATCH('vlookup match'!C$1,ECOMMERS_SALES[#Headers],0))</f>
        <v>Smartwatch</v>
      </c>
      <c r="D210" t="str">
        <f>VLOOKUP($A210,'ECOMMERS SALES'!$1:$500,MATCH('vlookup match'!D$1,ECOMMERS_SALES[#Headers],0))</f>
        <v>Electronics</v>
      </c>
      <c r="E210">
        <f>VLOOKUP($A210,'ECOMMERS SALES'!$1:$500,MATCH('vlookup match'!E$1,ECOMMERS_SALES[#Headers],0))</f>
        <v>2</v>
      </c>
      <c r="F210">
        <f>VLOOKUP($A210,'ECOMMERS SALES'!$1:$500,MATCH('vlookup match'!F$1,ECOMMERS_SALES[#Headers],0))</f>
        <v>7732</v>
      </c>
      <c r="G210">
        <f>VLOOKUP($A210,'ECOMMERS SALES'!$1:$500,MATCH('vlookup match'!G$1,ECOMMERS_SALES[#Headers],0))</f>
        <v>15464</v>
      </c>
      <c r="H210" t="str">
        <f>VLOOKUP($A210,'ECOMMERS SALES'!$1:$500,MATCH('vlookup match'!H$1,ECOMMERS_SALES[#Headers],0))</f>
        <v>Bangalore</v>
      </c>
      <c r="I210" t="str">
        <f>VLOOKUP($A210,'ECOMMERS SALES'!$1:$500,MATCH('vlookup match'!I$1,ECOMMERS_SALES[#Headers],0))</f>
        <v>Returning</v>
      </c>
      <c r="J210" t="str">
        <f>VLOOKUP($A210,'ECOMMERS SALES'!$1:$500,MATCH('vlookup match'!J$1,ECOMMERS_SALES[#Headers],0))</f>
        <v>COD</v>
      </c>
    </row>
    <row r="211" spans="1:10" x14ac:dyDescent="0.35">
      <c r="A211">
        <v>1210</v>
      </c>
      <c r="B211" t="str">
        <f>VLOOKUP($A211,'ECOMMERS SALES'!$1:$500,MATCH('vlookup match'!B$1,ECOMMERS_SALES[#Headers],0))</f>
        <v>30-07-2025</v>
      </c>
      <c r="C211" t="str">
        <f>VLOOKUP($A211,'ECOMMERS SALES'!$1:$500,MATCH('vlookup match'!C$1,ECOMMERS_SALES[#Headers],0))</f>
        <v>Water Bottle</v>
      </c>
      <c r="D211" t="str">
        <f>VLOOKUP($A211,'ECOMMERS SALES'!$1:$500,MATCH('vlookup match'!D$1,ECOMMERS_SALES[#Headers],0))</f>
        <v>Other</v>
      </c>
      <c r="E211">
        <f>VLOOKUP($A211,'ECOMMERS SALES'!$1:$500,MATCH('vlookup match'!E$1,ECOMMERS_SALES[#Headers],0))</f>
        <v>3</v>
      </c>
      <c r="F211">
        <f>VLOOKUP($A211,'ECOMMERS SALES'!$1:$500,MATCH('vlookup match'!F$1,ECOMMERS_SALES[#Headers],0))</f>
        <v>508</v>
      </c>
      <c r="G211">
        <f>VLOOKUP($A211,'ECOMMERS SALES'!$1:$500,MATCH('vlookup match'!G$1,ECOMMERS_SALES[#Headers],0))</f>
        <v>1524</v>
      </c>
      <c r="H211" t="str">
        <f>VLOOKUP($A211,'ECOMMERS SALES'!$1:$500,MATCH('vlookup match'!H$1,ECOMMERS_SALES[#Headers],0))</f>
        <v>Mumbai</v>
      </c>
      <c r="I211" t="str">
        <f>VLOOKUP($A211,'ECOMMERS SALES'!$1:$500,MATCH('vlookup match'!I$1,ECOMMERS_SALES[#Headers],0))</f>
        <v>Premimum</v>
      </c>
      <c r="J211" t="str">
        <f>VLOOKUP($A211,'ECOMMERS SALES'!$1:$500,MATCH('vlookup match'!J$1,ECOMMERS_SALES[#Headers],0))</f>
        <v>COD</v>
      </c>
    </row>
    <row r="212" spans="1:10" x14ac:dyDescent="0.35">
      <c r="A212">
        <v>1211</v>
      </c>
      <c r="B212" t="str">
        <f>VLOOKUP($A212,'ECOMMERS SALES'!$1:$500,MATCH('vlookup match'!B$1,ECOMMERS_SALES[#Headers],0))</f>
        <v>31-07-2025</v>
      </c>
      <c r="C212" t="str">
        <f>VLOOKUP($A212,'ECOMMERS SALES'!$1:$500,MATCH('vlookup match'!C$1,ECOMMERS_SALES[#Headers],0))</f>
        <v>Laptop</v>
      </c>
      <c r="D212" t="str">
        <f>VLOOKUP($A212,'ECOMMERS SALES'!$1:$500,MATCH('vlookup match'!D$1,ECOMMERS_SALES[#Headers],0))</f>
        <v>Electronics</v>
      </c>
      <c r="E212">
        <f>VLOOKUP($A212,'ECOMMERS SALES'!$1:$500,MATCH('vlookup match'!E$1,ECOMMERS_SALES[#Headers],0))</f>
        <v>1</v>
      </c>
      <c r="F212">
        <f>VLOOKUP($A212,'ECOMMERS SALES'!$1:$500,MATCH('vlookup match'!F$1,ECOMMERS_SALES[#Headers],0))</f>
        <v>55970</v>
      </c>
      <c r="G212">
        <f>VLOOKUP($A212,'ECOMMERS SALES'!$1:$500,MATCH('vlookup match'!G$1,ECOMMERS_SALES[#Headers],0))</f>
        <v>55970</v>
      </c>
      <c r="H212" t="str">
        <f>VLOOKUP($A212,'ECOMMERS SALES'!$1:$500,MATCH('vlookup match'!H$1,ECOMMERS_SALES[#Headers],0))</f>
        <v>Pune</v>
      </c>
      <c r="I212" t="str">
        <f>VLOOKUP($A212,'ECOMMERS SALES'!$1:$500,MATCH('vlookup match'!I$1,ECOMMERS_SALES[#Headers],0))</f>
        <v>Premimum</v>
      </c>
      <c r="J212" t="str">
        <f>VLOOKUP($A212,'ECOMMERS SALES'!$1:$500,MATCH('vlookup match'!J$1,ECOMMERS_SALES[#Headers],0))</f>
        <v>COD</v>
      </c>
    </row>
    <row r="213" spans="1:10" x14ac:dyDescent="0.35">
      <c r="A213">
        <v>1212</v>
      </c>
      <c r="B213" t="str">
        <f>VLOOKUP($A213,'ECOMMERS SALES'!$1:$500,MATCH('vlookup match'!B$1,ECOMMERS_SALES[#Headers],0))</f>
        <v>01-08-2025</v>
      </c>
      <c r="C213" t="str">
        <f>VLOOKUP($A213,'ECOMMERS SALES'!$1:$500,MATCH('vlookup match'!C$1,ECOMMERS_SALES[#Headers],0))</f>
        <v>Headphones</v>
      </c>
      <c r="D213" t="str">
        <f>VLOOKUP($A213,'ECOMMERS SALES'!$1:$500,MATCH('vlookup match'!D$1,ECOMMERS_SALES[#Headers],0))</f>
        <v>Electronics</v>
      </c>
      <c r="E213">
        <f>VLOOKUP($A213,'ECOMMERS SALES'!$1:$500,MATCH('vlookup match'!E$1,ECOMMERS_SALES[#Headers],0))</f>
        <v>2</v>
      </c>
      <c r="F213">
        <f>VLOOKUP($A213,'ECOMMERS SALES'!$1:$500,MATCH('vlookup match'!F$1,ECOMMERS_SALES[#Headers],0))</f>
        <v>2129</v>
      </c>
      <c r="G213">
        <f>VLOOKUP($A213,'ECOMMERS SALES'!$1:$500,MATCH('vlookup match'!G$1,ECOMMERS_SALES[#Headers],0))</f>
        <v>4258</v>
      </c>
      <c r="H213" t="str">
        <f>VLOOKUP($A213,'ECOMMERS SALES'!$1:$500,MATCH('vlookup match'!H$1,ECOMMERS_SALES[#Headers],0))</f>
        <v>Hyderabad</v>
      </c>
      <c r="I213" t="str">
        <f>VLOOKUP($A213,'ECOMMERS SALES'!$1:$500,MATCH('vlookup match'!I$1,ECOMMERS_SALES[#Headers],0))</f>
        <v>Returning</v>
      </c>
      <c r="J213" t="str">
        <f>VLOOKUP($A213,'ECOMMERS SALES'!$1:$500,MATCH('vlookup match'!J$1,ECOMMERS_SALES[#Headers],0))</f>
        <v>COD</v>
      </c>
    </row>
    <row r="214" spans="1:10" x14ac:dyDescent="0.35">
      <c r="A214">
        <v>1213</v>
      </c>
      <c r="B214" t="str">
        <f>VLOOKUP($A214,'ECOMMERS SALES'!$1:$500,MATCH('vlookup match'!B$1,ECOMMERS_SALES[#Headers],0))</f>
        <v>02-08-2025</v>
      </c>
      <c r="C214" t="str">
        <f>VLOOKUP($A214,'ECOMMERS SALES'!$1:$500,MATCH('vlookup match'!C$1,ECOMMERS_SALES[#Headers],0))</f>
        <v>Shoes</v>
      </c>
      <c r="D214" t="str">
        <f>VLOOKUP($A214,'ECOMMERS SALES'!$1:$500,MATCH('vlookup match'!D$1,ECOMMERS_SALES[#Headers],0))</f>
        <v>Fashion</v>
      </c>
      <c r="E214">
        <f>VLOOKUP($A214,'ECOMMERS SALES'!$1:$500,MATCH('vlookup match'!E$1,ECOMMERS_SALES[#Headers],0))</f>
        <v>3</v>
      </c>
      <c r="F214">
        <f>VLOOKUP($A214,'ECOMMERS SALES'!$1:$500,MATCH('vlookup match'!F$1,ECOMMERS_SALES[#Headers],0))</f>
        <v>2280</v>
      </c>
      <c r="G214">
        <f>VLOOKUP($A214,'ECOMMERS SALES'!$1:$500,MATCH('vlookup match'!G$1,ECOMMERS_SALES[#Headers],0))</f>
        <v>6840</v>
      </c>
      <c r="H214" t="str">
        <f>VLOOKUP($A214,'ECOMMERS SALES'!$1:$500,MATCH('vlookup match'!H$1,ECOMMERS_SALES[#Headers],0))</f>
        <v>Pune</v>
      </c>
      <c r="I214" t="str">
        <f>VLOOKUP($A214,'ECOMMERS SALES'!$1:$500,MATCH('vlookup match'!I$1,ECOMMERS_SALES[#Headers],0))</f>
        <v>Premimum</v>
      </c>
      <c r="J214" t="str">
        <f>VLOOKUP($A214,'ECOMMERS SALES'!$1:$500,MATCH('vlookup match'!J$1,ECOMMERS_SALES[#Headers],0))</f>
        <v>UPI</v>
      </c>
    </row>
    <row r="215" spans="1:10" x14ac:dyDescent="0.35">
      <c r="A215">
        <v>1214</v>
      </c>
      <c r="B215" t="str">
        <f>VLOOKUP($A215,'ECOMMERS SALES'!$1:$500,MATCH('vlookup match'!B$1,ECOMMERS_SALES[#Headers],0))</f>
        <v>03-08-2025</v>
      </c>
      <c r="C215" t="str">
        <f>VLOOKUP($A215,'ECOMMERS SALES'!$1:$500,MATCH('vlookup match'!C$1,ECOMMERS_SALES[#Headers],0))</f>
        <v>Watch</v>
      </c>
      <c r="D215" t="str">
        <f>VLOOKUP($A215,'ECOMMERS SALES'!$1:$500,MATCH('vlookup match'!D$1,ECOMMERS_SALES[#Headers],0))</f>
        <v>Other</v>
      </c>
      <c r="E215">
        <f>VLOOKUP($A215,'ECOMMERS SALES'!$1:$500,MATCH('vlookup match'!E$1,ECOMMERS_SALES[#Headers],0))</f>
        <v>1</v>
      </c>
      <c r="F215">
        <f>VLOOKUP($A215,'ECOMMERS SALES'!$1:$500,MATCH('vlookup match'!F$1,ECOMMERS_SALES[#Headers],0))</f>
        <v>2260</v>
      </c>
      <c r="G215">
        <f>VLOOKUP($A215,'ECOMMERS SALES'!$1:$500,MATCH('vlookup match'!G$1,ECOMMERS_SALES[#Headers],0))</f>
        <v>2260</v>
      </c>
      <c r="H215" t="str">
        <f>VLOOKUP($A215,'ECOMMERS SALES'!$1:$500,MATCH('vlookup match'!H$1,ECOMMERS_SALES[#Headers],0))</f>
        <v>Delhi</v>
      </c>
      <c r="I215" t="str">
        <f>VLOOKUP($A215,'ECOMMERS SALES'!$1:$500,MATCH('vlookup match'!I$1,ECOMMERS_SALES[#Headers],0))</f>
        <v>Premimum</v>
      </c>
      <c r="J215" t="str">
        <f>VLOOKUP($A215,'ECOMMERS SALES'!$1:$500,MATCH('vlookup match'!J$1,ECOMMERS_SALES[#Headers],0))</f>
        <v>Card</v>
      </c>
    </row>
    <row r="216" spans="1:10" x14ac:dyDescent="0.35">
      <c r="A216">
        <v>1215</v>
      </c>
      <c r="B216" t="str">
        <f>VLOOKUP($A216,'ECOMMERS SALES'!$1:$500,MATCH('vlookup match'!B$1,ECOMMERS_SALES[#Headers],0))</f>
        <v>04-08-2025</v>
      </c>
      <c r="C216" t="str">
        <f>VLOOKUP($A216,'ECOMMERS SALES'!$1:$500,MATCH('vlookup match'!C$1,ECOMMERS_SALES[#Headers],0))</f>
        <v>Mobile Case</v>
      </c>
      <c r="D216" t="str">
        <f>VLOOKUP($A216,'ECOMMERS SALES'!$1:$500,MATCH('vlookup match'!D$1,ECOMMERS_SALES[#Headers],0))</f>
        <v>Other</v>
      </c>
      <c r="E216">
        <f>VLOOKUP($A216,'ECOMMERS SALES'!$1:$500,MATCH('vlookup match'!E$1,ECOMMERS_SALES[#Headers],0))</f>
        <v>4</v>
      </c>
      <c r="F216">
        <f>VLOOKUP($A216,'ECOMMERS SALES'!$1:$500,MATCH('vlookup match'!F$1,ECOMMERS_SALES[#Headers],0))</f>
        <v>962</v>
      </c>
      <c r="G216">
        <f>VLOOKUP($A216,'ECOMMERS SALES'!$1:$500,MATCH('vlookup match'!G$1,ECOMMERS_SALES[#Headers],0))</f>
        <v>3848</v>
      </c>
      <c r="H216" t="str">
        <f>VLOOKUP($A216,'ECOMMERS SALES'!$1:$500,MATCH('vlookup match'!H$1,ECOMMERS_SALES[#Headers],0))</f>
        <v>Hyderabad</v>
      </c>
      <c r="I216" t="str">
        <f>VLOOKUP($A216,'ECOMMERS SALES'!$1:$500,MATCH('vlookup match'!I$1,ECOMMERS_SALES[#Headers],0))</f>
        <v>Premimum</v>
      </c>
      <c r="J216" t="str">
        <f>VLOOKUP($A216,'ECOMMERS SALES'!$1:$500,MATCH('vlookup match'!J$1,ECOMMERS_SALES[#Headers],0))</f>
        <v>UPI</v>
      </c>
    </row>
    <row r="217" spans="1:10" x14ac:dyDescent="0.35">
      <c r="A217">
        <v>1216</v>
      </c>
      <c r="B217" t="str">
        <f>VLOOKUP($A217,'ECOMMERS SALES'!$1:$500,MATCH('vlookup match'!B$1,ECOMMERS_SALES[#Headers],0))</f>
        <v>05-08-2025</v>
      </c>
      <c r="C217" t="str">
        <f>VLOOKUP($A217,'ECOMMERS SALES'!$1:$500,MATCH('vlookup match'!C$1,ECOMMERS_SALES[#Headers],0))</f>
        <v>Tablet</v>
      </c>
      <c r="D217" t="str">
        <f>VLOOKUP($A217,'ECOMMERS SALES'!$1:$500,MATCH('vlookup match'!D$1,ECOMMERS_SALES[#Headers],0))</f>
        <v>Electronics</v>
      </c>
      <c r="E217">
        <f>VLOOKUP($A217,'ECOMMERS SALES'!$1:$500,MATCH('vlookup match'!E$1,ECOMMERS_SALES[#Headers],0))</f>
        <v>2</v>
      </c>
      <c r="F217">
        <f>VLOOKUP($A217,'ECOMMERS SALES'!$1:$500,MATCH('vlookup match'!F$1,ECOMMERS_SALES[#Headers],0))</f>
        <v>12775</v>
      </c>
      <c r="G217">
        <f>VLOOKUP($A217,'ECOMMERS SALES'!$1:$500,MATCH('vlookup match'!G$1,ECOMMERS_SALES[#Headers],0))</f>
        <v>25550</v>
      </c>
      <c r="H217" t="str">
        <f>VLOOKUP($A217,'ECOMMERS SALES'!$1:$500,MATCH('vlookup match'!H$1,ECOMMERS_SALES[#Headers],0))</f>
        <v>Bangalore</v>
      </c>
      <c r="I217" t="str">
        <f>VLOOKUP($A217,'ECOMMERS SALES'!$1:$500,MATCH('vlookup match'!I$1,ECOMMERS_SALES[#Headers],0))</f>
        <v>Returning</v>
      </c>
      <c r="J217" t="str">
        <f>VLOOKUP($A217,'ECOMMERS SALES'!$1:$500,MATCH('vlookup match'!J$1,ECOMMERS_SALES[#Headers],0))</f>
        <v>Card</v>
      </c>
    </row>
    <row r="218" spans="1:10" x14ac:dyDescent="0.35">
      <c r="A218">
        <v>1217</v>
      </c>
      <c r="B218" t="str">
        <f>VLOOKUP($A218,'ECOMMERS SALES'!$1:$500,MATCH('vlookup match'!B$1,ECOMMERS_SALES[#Headers],0))</f>
        <v>06-08-2025</v>
      </c>
      <c r="C218" t="str">
        <f>VLOOKUP($A218,'ECOMMERS SALES'!$1:$500,MATCH('vlookup match'!C$1,ECOMMERS_SALES[#Headers],0))</f>
        <v>Book</v>
      </c>
      <c r="D218" t="str">
        <f>VLOOKUP($A218,'ECOMMERS SALES'!$1:$500,MATCH('vlookup match'!D$1,ECOMMERS_SALES[#Headers],0))</f>
        <v>Books</v>
      </c>
      <c r="E218">
        <f>VLOOKUP($A218,'ECOMMERS SALES'!$1:$500,MATCH('vlookup match'!E$1,ECOMMERS_SALES[#Headers],0))</f>
        <v>2</v>
      </c>
      <c r="F218">
        <f>VLOOKUP($A218,'ECOMMERS SALES'!$1:$500,MATCH('vlookup match'!F$1,ECOMMERS_SALES[#Headers],0))</f>
        <v>685</v>
      </c>
      <c r="G218">
        <f>VLOOKUP($A218,'ECOMMERS SALES'!$1:$500,MATCH('vlookup match'!G$1,ECOMMERS_SALES[#Headers],0))</f>
        <v>1370</v>
      </c>
      <c r="H218" t="str">
        <f>VLOOKUP($A218,'ECOMMERS SALES'!$1:$500,MATCH('vlookup match'!H$1,ECOMMERS_SALES[#Headers],0))</f>
        <v>Chennai</v>
      </c>
      <c r="I218" t="str">
        <f>VLOOKUP($A218,'ECOMMERS SALES'!$1:$500,MATCH('vlookup match'!I$1,ECOMMERS_SALES[#Headers],0))</f>
        <v>New</v>
      </c>
      <c r="J218" t="str">
        <f>VLOOKUP($A218,'ECOMMERS SALES'!$1:$500,MATCH('vlookup match'!J$1,ECOMMERS_SALES[#Headers],0))</f>
        <v>COD</v>
      </c>
    </row>
    <row r="219" spans="1:10" x14ac:dyDescent="0.35">
      <c r="A219">
        <v>1218</v>
      </c>
      <c r="B219" t="str">
        <f>VLOOKUP($A219,'ECOMMERS SALES'!$1:$500,MATCH('vlookup match'!B$1,ECOMMERS_SALES[#Headers],0))</f>
        <v>07-08-2025</v>
      </c>
      <c r="C219" t="str">
        <f>VLOOKUP($A219,'ECOMMERS SALES'!$1:$500,MATCH('vlookup match'!C$1,ECOMMERS_SALES[#Headers],0))</f>
        <v>Backpack</v>
      </c>
      <c r="D219" t="str">
        <f>VLOOKUP($A219,'ECOMMERS SALES'!$1:$500,MATCH('vlookup match'!D$1,ECOMMERS_SALES[#Headers],0))</f>
        <v>Fashion</v>
      </c>
      <c r="E219">
        <f>VLOOKUP($A219,'ECOMMERS SALES'!$1:$500,MATCH('vlookup match'!E$1,ECOMMERS_SALES[#Headers],0))</f>
        <v>4</v>
      </c>
      <c r="F219">
        <f>VLOOKUP($A219,'ECOMMERS SALES'!$1:$500,MATCH('vlookup match'!F$1,ECOMMERS_SALES[#Headers],0))</f>
        <v>1218</v>
      </c>
      <c r="G219">
        <f>VLOOKUP($A219,'ECOMMERS SALES'!$1:$500,MATCH('vlookup match'!G$1,ECOMMERS_SALES[#Headers],0))</f>
        <v>4872</v>
      </c>
      <c r="H219" t="str">
        <f>VLOOKUP($A219,'ECOMMERS SALES'!$1:$500,MATCH('vlookup match'!H$1,ECOMMERS_SALES[#Headers],0))</f>
        <v>Mumbai</v>
      </c>
      <c r="I219" t="str">
        <f>VLOOKUP($A219,'ECOMMERS SALES'!$1:$500,MATCH('vlookup match'!I$1,ECOMMERS_SALES[#Headers],0))</f>
        <v>New</v>
      </c>
      <c r="J219" t="str">
        <f>VLOOKUP($A219,'ECOMMERS SALES'!$1:$500,MATCH('vlookup match'!J$1,ECOMMERS_SALES[#Headers],0))</f>
        <v>COD</v>
      </c>
    </row>
    <row r="220" spans="1:10" x14ac:dyDescent="0.35">
      <c r="A220">
        <v>1219</v>
      </c>
      <c r="B220" t="str">
        <f>VLOOKUP($A220,'ECOMMERS SALES'!$1:$500,MATCH('vlookup match'!B$1,ECOMMERS_SALES[#Headers],0))</f>
        <v>08-08-2025</v>
      </c>
      <c r="C220" t="str">
        <f>VLOOKUP($A220,'ECOMMERS SALES'!$1:$500,MATCH('vlookup match'!C$1,ECOMMERS_SALES[#Headers],0))</f>
        <v>Smartwatch</v>
      </c>
      <c r="D220" t="str">
        <f>VLOOKUP($A220,'ECOMMERS SALES'!$1:$500,MATCH('vlookup match'!D$1,ECOMMERS_SALES[#Headers],0))</f>
        <v>Electronics</v>
      </c>
      <c r="E220">
        <f>VLOOKUP($A220,'ECOMMERS SALES'!$1:$500,MATCH('vlookup match'!E$1,ECOMMERS_SALES[#Headers],0))</f>
        <v>1</v>
      </c>
      <c r="F220">
        <f>VLOOKUP($A220,'ECOMMERS SALES'!$1:$500,MATCH('vlookup match'!F$1,ECOMMERS_SALES[#Headers],0))</f>
        <v>4031</v>
      </c>
      <c r="G220">
        <f>VLOOKUP($A220,'ECOMMERS SALES'!$1:$500,MATCH('vlookup match'!G$1,ECOMMERS_SALES[#Headers],0))</f>
        <v>4031</v>
      </c>
      <c r="H220" t="str">
        <f>VLOOKUP($A220,'ECOMMERS SALES'!$1:$500,MATCH('vlookup match'!H$1,ECOMMERS_SALES[#Headers],0))</f>
        <v>Pune</v>
      </c>
      <c r="I220" t="str">
        <f>VLOOKUP($A220,'ECOMMERS SALES'!$1:$500,MATCH('vlookup match'!I$1,ECOMMERS_SALES[#Headers],0))</f>
        <v>Premimum</v>
      </c>
      <c r="J220" t="str">
        <f>VLOOKUP($A220,'ECOMMERS SALES'!$1:$500,MATCH('vlookup match'!J$1,ECOMMERS_SALES[#Headers],0))</f>
        <v>Card</v>
      </c>
    </row>
    <row r="221" spans="1:10" x14ac:dyDescent="0.35">
      <c r="A221">
        <v>1220</v>
      </c>
      <c r="B221" t="str">
        <f>VLOOKUP($A221,'ECOMMERS SALES'!$1:$500,MATCH('vlookup match'!B$1,ECOMMERS_SALES[#Headers],0))</f>
        <v>09-08-2025</v>
      </c>
      <c r="C221" t="str">
        <f>VLOOKUP($A221,'ECOMMERS SALES'!$1:$500,MATCH('vlookup match'!C$1,ECOMMERS_SALES[#Headers],0))</f>
        <v>Water Bottle</v>
      </c>
      <c r="D221" t="str">
        <f>VLOOKUP($A221,'ECOMMERS SALES'!$1:$500,MATCH('vlookup match'!D$1,ECOMMERS_SALES[#Headers],0))</f>
        <v>Other</v>
      </c>
      <c r="E221">
        <f>VLOOKUP($A221,'ECOMMERS SALES'!$1:$500,MATCH('vlookup match'!E$1,ECOMMERS_SALES[#Headers],0))</f>
        <v>2</v>
      </c>
      <c r="F221">
        <f>VLOOKUP($A221,'ECOMMERS SALES'!$1:$500,MATCH('vlookup match'!F$1,ECOMMERS_SALES[#Headers],0))</f>
        <v>140</v>
      </c>
      <c r="G221">
        <f>VLOOKUP($A221,'ECOMMERS SALES'!$1:$500,MATCH('vlookup match'!G$1,ECOMMERS_SALES[#Headers],0))</f>
        <v>280</v>
      </c>
      <c r="H221" t="str">
        <f>VLOOKUP($A221,'ECOMMERS SALES'!$1:$500,MATCH('vlookup match'!H$1,ECOMMERS_SALES[#Headers],0))</f>
        <v>Bangalore</v>
      </c>
      <c r="I221" t="str">
        <f>VLOOKUP($A221,'ECOMMERS SALES'!$1:$500,MATCH('vlookup match'!I$1,ECOMMERS_SALES[#Headers],0))</f>
        <v>Premimum</v>
      </c>
      <c r="J221" t="str">
        <f>VLOOKUP($A221,'ECOMMERS SALES'!$1:$500,MATCH('vlookup match'!J$1,ECOMMERS_SALES[#Headers],0))</f>
        <v>Card</v>
      </c>
    </row>
    <row r="222" spans="1:10" x14ac:dyDescent="0.35">
      <c r="A222">
        <v>1221</v>
      </c>
      <c r="B222" t="str">
        <f>VLOOKUP($A222,'ECOMMERS SALES'!$1:$500,MATCH('vlookup match'!B$1,ECOMMERS_SALES[#Headers],0))</f>
        <v>10-08-2025</v>
      </c>
      <c r="C222" t="str">
        <f>VLOOKUP($A222,'ECOMMERS SALES'!$1:$500,MATCH('vlookup match'!C$1,ECOMMERS_SALES[#Headers],0))</f>
        <v>Laptop</v>
      </c>
      <c r="D222" t="str">
        <f>VLOOKUP($A222,'ECOMMERS SALES'!$1:$500,MATCH('vlookup match'!D$1,ECOMMERS_SALES[#Headers],0))</f>
        <v>Electronics</v>
      </c>
      <c r="E222">
        <f>VLOOKUP($A222,'ECOMMERS SALES'!$1:$500,MATCH('vlookup match'!E$1,ECOMMERS_SALES[#Headers],0))</f>
        <v>2</v>
      </c>
      <c r="F222">
        <f>VLOOKUP($A222,'ECOMMERS SALES'!$1:$500,MATCH('vlookup match'!F$1,ECOMMERS_SALES[#Headers],0))</f>
        <v>54557</v>
      </c>
      <c r="G222">
        <f>VLOOKUP($A222,'ECOMMERS SALES'!$1:$500,MATCH('vlookup match'!G$1,ECOMMERS_SALES[#Headers],0))</f>
        <v>109114</v>
      </c>
      <c r="H222" t="str">
        <f>VLOOKUP($A222,'ECOMMERS SALES'!$1:$500,MATCH('vlookup match'!H$1,ECOMMERS_SALES[#Headers],0))</f>
        <v>Hyderabad</v>
      </c>
      <c r="I222" t="str">
        <f>VLOOKUP($A222,'ECOMMERS SALES'!$1:$500,MATCH('vlookup match'!I$1,ECOMMERS_SALES[#Headers],0))</f>
        <v>Returning</v>
      </c>
      <c r="J222" t="str">
        <f>VLOOKUP($A222,'ECOMMERS SALES'!$1:$500,MATCH('vlookup match'!J$1,ECOMMERS_SALES[#Headers],0))</f>
        <v>COD</v>
      </c>
    </row>
    <row r="223" spans="1:10" x14ac:dyDescent="0.35">
      <c r="A223">
        <v>1222</v>
      </c>
      <c r="B223" t="str">
        <f>VLOOKUP($A223,'ECOMMERS SALES'!$1:$500,MATCH('vlookup match'!B$1,ECOMMERS_SALES[#Headers],0))</f>
        <v>11-08-2025</v>
      </c>
      <c r="C223" t="str">
        <f>VLOOKUP($A223,'ECOMMERS SALES'!$1:$500,MATCH('vlookup match'!C$1,ECOMMERS_SALES[#Headers],0))</f>
        <v>Headphones</v>
      </c>
      <c r="D223" t="str">
        <f>VLOOKUP($A223,'ECOMMERS SALES'!$1:$500,MATCH('vlookup match'!D$1,ECOMMERS_SALES[#Headers],0))</f>
        <v>Electronics</v>
      </c>
      <c r="E223">
        <f>VLOOKUP($A223,'ECOMMERS SALES'!$1:$500,MATCH('vlookup match'!E$1,ECOMMERS_SALES[#Headers],0))</f>
        <v>2</v>
      </c>
      <c r="F223">
        <f>VLOOKUP($A223,'ECOMMERS SALES'!$1:$500,MATCH('vlookup match'!F$1,ECOMMERS_SALES[#Headers],0))</f>
        <v>1892</v>
      </c>
      <c r="G223">
        <f>VLOOKUP($A223,'ECOMMERS SALES'!$1:$500,MATCH('vlookup match'!G$1,ECOMMERS_SALES[#Headers],0))</f>
        <v>3784</v>
      </c>
      <c r="H223" t="str">
        <f>VLOOKUP($A223,'ECOMMERS SALES'!$1:$500,MATCH('vlookup match'!H$1,ECOMMERS_SALES[#Headers],0))</f>
        <v>Bangalore</v>
      </c>
      <c r="I223" t="str">
        <f>VLOOKUP($A223,'ECOMMERS SALES'!$1:$500,MATCH('vlookup match'!I$1,ECOMMERS_SALES[#Headers],0))</f>
        <v>Premimum</v>
      </c>
      <c r="J223" t="str">
        <f>VLOOKUP($A223,'ECOMMERS SALES'!$1:$500,MATCH('vlookup match'!J$1,ECOMMERS_SALES[#Headers],0))</f>
        <v>Card</v>
      </c>
    </row>
    <row r="224" spans="1:10" x14ac:dyDescent="0.35">
      <c r="A224">
        <v>1223</v>
      </c>
      <c r="B224" t="str">
        <f>VLOOKUP($A224,'ECOMMERS SALES'!$1:$500,MATCH('vlookup match'!B$1,ECOMMERS_SALES[#Headers],0))</f>
        <v>12-08-2025</v>
      </c>
      <c r="C224" t="str">
        <f>VLOOKUP($A224,'ECOMMERS SALES'!$1:$500,MATCH('vlookup match'!C$1,ECOMMERS_SALES[#Headers],0))</f>
        <v>Shoes</v>
      </c>
      <c r="D224" t="str">
        <f>VLOOKUP($A224,'ECOMMERS SALES'!$1:$500,MATCH('vlookup match'!D$1,ECOMMERS_SALES[#Headers],0))</f>
        <v>Fashion</v>
      </c>
      <c r="E224">
        <f>VLOOKUP($A224,'ECOMMERS SALES'!$1:$500,MATCH('vlookup match'!E$1,ECOMMERS_SALES[#Headers],0))</f>
        <v>3</v>
      </c>
      <c r="F224">
        <f>VLOOKUP($A224,'ECOMMERS SALES'!$1:$500,MATCH('vlookup match'!F$1,ECOMMERS_SALES[#Headers],0))</f>
        <v>3197</v>
      </c>
      <c r="G224">
        <f>VLOOKUP($A224,'ECOMMERS SALES'!$1:$500,MATCH('vlookup match'!G$1,ECOMMERS_SALES[#Headers],0))</f>
        <v>9591</v>
      </c>
      <c r="H224" t="str">
        <f>VLOOKUP($A224,'ECOMMERS SALES'!$1:$500,MATCH('vlookup match'!H$1,ECOMMERS_SALES[#Headers],0))</f>
        <v>Delhi</v>
      </c>
      <c r="I224" t="str">
        <f>VLOOKUP($A224,'ECOMMERS SALES'!$1:$500,MATCH('vlookup match'!I$1,ECOMMERS_SALES[#Headers],0))</f>
        <v>Premimum</v>
      </c>
      <c r="J224" t="str">
        <f>VLOOKUP($A224,'ECOMMERS SALES'!$1:$500,MATCH('vlookup match'!J$1,ECOMMERS_SALES[#Headers],0))</f>
        <v>COD</v>
      </c>
    </row>
    <row r="225" spans="1:10" x14ac:dyDescent="0.35">
      <c r="A225">
        <v>1224</v>
      </c>
      <c r="B225" t="str">
        <f>VLOOKUP($A225,'ECOMMERS SALES'!$1:$500,MATCH('vlookup match'!B$1,ECOMMERS_SALES[#Headers],0))</f>
        <v>13-08-2025</v>
      </c>
      <c r="C225" t="str">
        <f>VLOOKUP($A225,'ECOMMERS SALES'!$1:$500,MATCH('vlookup match'!C$1,ECOMMERS_SALES[#Headers],0))</f>
        <v>Watch</v>
      </c>
      <c r="D225" t="str">
        <f>VLOOKUP($A225,'ECOMMERS SALES'!$1:$500,MATCH('vlookup match'!D$1,ECOMMERS_SALES[#Headers],0))</f>
        <v>Other</v>
      </c>
      <c r="E225">
        <f>VLOOKUP($A225,'ECOMMERS SALES'!$1:$500,MATCH('vlookup match'!E$1,ECOMMERS_SALES[#Headers],0))</f>
        <v>5</v>
      </c>
      <c r="F225">
        <f>VLOOKUP($A225,'ECOMMERS SALES'!$1:$500,MATCH('vlookup match'!F$1,ECOMMERS_SALES[#Headers],0))</f>
        <v>10225</v>
      </c>
      <c r="G225">
        <f>VLOOKUP($A225,'ECOMMERS SALES'!$1:$500,MATCH('vlookup match'!G$1,ECOMMERS_SALES[#Headers],0))</f>
        <v>51125</v>
      </c>
      <c r="H225" t="str">
        <f>VLOOKUP($A225,'ECOMMERS SALES'!$1:$500,MATCH('vlookup match'!H$1,ECOMMERS_SALES[#Headers],0))</f>
        <v>Delhi</v>
      </c>
      <c r="I225" t="str">
        <f>VLOOKUP($A225,'ECOMMERS SALES'!$1:$500,MATCH('vlookup match'!I$1,ECOMMERS_SALES[#Headers],0))</f>
        <v>Returning</v>
      </c>
      <c r="J225" t="str">
        <f>VLOOKUP($A225,'ECOMMERS SALES'!$1:$500,MATCH('vlookup match'!J$1,ECOMMERS_SALES[#Headers],0))</f>
        <v>COD</v>
      </c>
    </row>
    <row r="226" spans="1:10" x14ac:dyDescent="0.35">
      <c r="A226">
        <v>1225</v>
      </c>
      <c r="B226" t="str">
        <f>VLOOKUP($A226,'ECOMMERS SALES'!$1:$500,MATCH('vlookup match'!B$1,ECOMMERS_SALES[#Headers],0))</f>
        <v>14-08-2025</v>
      </c>
      <c r="C226" t="str">
        <f>VLOOKUP($A226,'ECOMMERS SALES'!$1:$500,MATCH('vlookup match'!C$1,ECOMMERS_SALES[#Headers],0))</f>
        <v>Mobile Case</v>
      </c>
      <c r="D226" t="str">
        <f>VLOOKUP($A226,'ECOMMERS SALES'!$1:$500,MATCH('vlookup match'!D$1,ECOMMERS_SALES[#Headers],0))</f>
        <v>Other</v>
      </c>
      <c r="E226">
        <f>VLOOKUP($A226,'ECOMMERS SALES'!$1:$500,MATCH('vlookup match'!E$1,ECOMMERS_SALES[#Headers],0))</f>
        <v>2</v>
      </c>
      <c r="F226">
        <f>VLOOKUP($A226,'ECOMMERS SALES'!$1:$500,MATCH('vlookup match'!F$1,ECOMMERS_SALES[#Headers],0))</f>
        <v>899</v>
      </c>
      <c r="G226">
        <f>VLOOKUP($A226,'ECOMMERS SALES'!$1:$500,MATCH('vlookup match'!G$1,ECOMMERS_SALES[#Headers],0))</f>
        <v>1798</v>
      </c>
      <c r="H226" t="str">
        <f>VLOOKUP($A226,'ECOMMERS SALES'!$1:$500,MATCH('vlookup match'!H$1,ECOMMERS_SALES[#Headers],0))</f>
        <v>Mumbai</v>
      </c>
      <c r="I226" t="str">
        <f>VLOOKUP($A226,'ECOMMERS SALES'!$1:$500,MATCH('vlookup match'!I$1,ECOMMERS_SALES[#Headers],0))</f>
        <v>New</v>
      </c>
      <c r="J226" t="str">
        <f>VLOOKUP($A226,'ECOMMERS SALES'!$1:$500,MATCH('vlookup match'!J$1,ECOMMERS_SALES[#Headers],0))</f>
        <v>UPI</v>
      </c>
    </row>
    <row r="227" spans="1:10" x14ac:dyDescent="0.35">
      <c r="A227">
        <v>1226</v>
      </c>
      <c r="B227" t="str">
        <f>VLOOKUP($A227,'ECOMMERS SALES'!$1:$500,MATCH('vlookup match'!B$1,ECOMMERS_SALES[#Headers],0))</f>
        <v>15-08-2025</v>
      </c>
      <c r="C227" t="str">
        <f>VLOOKUP($A227,'ECOMMERS SALES'!$1:$500,MATCH('vlookup match'!C$1,ECOMMERS_SALES[#Headers],0))</f>
        <v>Tablet</v>
      </c>
      <c r="D227" t="str">
        <f>VLOOKUP($A227,'ECOMMERS SALES'!$1:$500,MATCH('vlookup match'!D$1,ECOMMERS_SALES[#Headers],0))</f>
        <v>Electronics</v>
      </c>
      <c r="E227">
        <f>VLOOKUP($A227,'ECOMMERS SALES'!$1:$500,MATCH('vlookup match'!E$1,ECOMMERS_SALES[#Headers],0))</f>
        <v>1</v>
      </c>
      <c r="F227">
        <f>VLOOKUP($A227,'ECOMMERS SALES'!$1:$500,MATCH('vlookup match'!F$1,ECOMMERS_SALES[#Headers],0))</f>
        <v>32743</v>
      </c>
      <c r="G227">
        <f>VLOOKUP($A227,'ECOMMERS SALES'!$1:$500,MATCH('vlookup match'!G$1,ECOMMERS_SALES[#Headers],0))</f>
        <v>32743</v>
      </c>
      <c r="H227" t="str">
        <f>VLOOKUP($A227,'ECOMMERS SALES'!$1:$500,MATCH('vlookup match'!H$1,ECOMMERS_SALES[#Headers],0))</f>
        <v>Mumbai</v>
      </c>
      <c r="I227" t="str">
        <f>VLOOKUP($A227,'ECOMMERS SALES'!$1:$500,MATCH('vlookup match'!I$1,ECOMMERS_SALES[#Headers],0))</f>
        <v>Premimum</v>
      </c>
      <c r="J227" t="str">
        <f>VLOOKUP($A227,'ECOMMERS SALES'!$1:$500,MATCH('vlookup match'!J$1,ECOMMERS_SALES[#Headers],0))</f>
        <v>Card</v>
      </c>
    </row>
    <row r="228" spans="1:10" x14ac:dyDescent="0.35">
      <c r="A228">
        <v>1227</v>
      </c>
      <c r="B228" t="str">
        <f>VLOOKUP($A228,'ECOMMERS SALES'!$1:$500,MATCH('vlookup match'!B$1,ECOMMERS_SALES[#Headers],0))</f>
        <v>16-08-2025</v>
      </c>
      <c r="C228" t="str">
        <f>VLOOKUP($A228,'ECOMMERS SALES'!$1:$500,MATCH('vlookup match'!C$1,ECOMMERS_SALES[#Headers],0))</f>
        <v>Book</v>
      </c>
      <c r="D228" t="str">
        <f>VLOOKUP($A228,'ECOMMERS SALES'!$1:$500,MATCH('vlookup match'!D$1,ECOMMERS_SALES[#Headers],0))</f>
        <v>Books</v>
      </c>
      <c r="E228">
        <f>VLOOKUP($A228,'ECOMMERS SALES'!$1:$500,MATCH('vlookup match'!E$1,ECOMMERS_SALES[#Headers],0))</f>
        <v>3</v>
      </c>
      <c r="F228">
        <f>VLOOKUP($A228,'ECOMMERS SALES'!$1:$500,MATCH('vlookup match'!F$1,ECOMMERS_SALES[#Headers],0))</f>
        <v>736</v>
      </c>
      <c r="G228">
        <f>VLOOKUP($A228,'ECOMMERS SALES'!$1:$500,MATCH('vlookup match'!G$1,ECOMMERS_SALES[#Headers],0))</f>
        <v>2208</v>
      </c>
      <c r="H228" t="str">
        <f>VLOOKUP($A228,'ECOMMERS SALES'!$1:$500,MATCH('vlookup match'!H$1,ECOMMERS_SALES[#Headers],0))</f>
        <v>Bangalore</v>
      </c>
      <c r="I228" t="str">
        <f>VLOOKUP($A228,'ECOMMERS SALES'!$1:$500,MATCH('vlookup match'!I$1,ECOMMERS_SALES[#Headers],0))</f>
        <v>Returning</v>
      </c>
      <c r="J228" t="str">
        <f>VLOOKUP($A228,'ECOMMERS SALES'!$1:$500,MATCH('vlookup match'!J$1,ECOMMERS_SALES[#Headers],0))</f>
        <v>COD</v>
      </c>
    </row>
    <row r="229" spans="1:10" x14ac:dyDescent="0.35">
      <c r="A229">
        <v>1228</v>
      </c>
      <c r="B229" t="str">
        <f>VLOOKUP($A229,'ECOMMERS SALES'!$1:$500,MATCH('vlookup match'!B$1,ECOMMERS_SALES[#Headers],0))</f>
        <v>17-08-2025</v>
      </c>
      <c r="C229" t="str">
        <f>VLOOKUP($A229,'ECOMMERS SALES'!$1:$500,MATCH('vlookup match'!C$1,ECOMMERS_SALES[#Headers],0))</f>
        <v>Backpack</v>
      </c>
      <c r="D229" t="str">
        <f>VLOOKUP($A229,'ECOMMERS SALES'!$1:$500,MATCH('vlookup match'!D$1,ECOMMERS_SALES[#Headers],0))</f>
        <v>Fashion</v>
      </c>
      <c r="E229">
        <f>VLOOKUP($A229,'ECOMMERS SALES'!$1:$500,MATCH('vlookup match'!E$1,ECOMMERS_SALES[#Headers],0))</f>
        <v>4</v>
      </c>
      <c r="F229">
        <f>VLOOKUP($A229,'ECOMMERS SALES'!$1:$500,MATCH('vlookup match'!F$1,ECOMMERS_SALES[#Headers],0))</f>
        <v>1504</v>
      </c>
      <c r="G229">
        <f>VLOOKUP($A229,'ECOMMERS SALES'!$1:$500,MATCH('vlookup match'!G$1,ECOMMERS_SALES[#Headers],0))</f>
        <v>6016</v>
      </c>
      <c r="H229" t="str">
        <f>VLOOKUP($A229,'ECOMMERS SALES'!$1:$500,MATCH('vlookup match'!H$1,ECOMMERS_SALES[#Headers],0))</f>
        <v>Delhi</v>
      </c>
      <c r="I229" t="str">
        <f>VLOOKUP($A229,'ECOMMERS SALES'!$1:$500,MATCH('vlookup match'!I$1,ECOMMERS_SALES[#Headers],0))</f>
        <v>Premimum</v>
      </c>
      <c r="J229" t="str">
        <f>VLOOKUP($A229,'ECOMMERS SALES'!$1:$500,MATCH('vlookup match'!J$1,ECOMMERS_SALES[#Headers],0))</f>
        <v>COD</v>
      </c>
    </row>
    <row r="230" spans="1:10" x14ac:dyDescent="0.35">
      <c r="A230">
        <v>1229</v>
      </c>
      <c r="B230" t="str">
        <f>VLOOKUP($A230,'ECOMMERS SALES'!$1:$500,MATCH('vlookup match'!B$1,ECOMMERS_SALES[#Headers],0))</f>
        <v>18-08-2025</v>
      </c>
      <c r="C230" t="str">
        <f>VLOOKUP($A230,'ECOMMERS SALES'!$1:$500,MATCH('vlookup match'!C$1,ECOMMERS_SALES[#Headers],0))</f>
        <v>Smartwatch</v>
      </c>
      <c r="D230" t="str">
        <f>VLOOKUP($A230,'ECOMMERS SALES'!$1:$500,MATCH('vlookup match'!D$1,ECOMMERS_SALES[#Headers],0))</f>
        <v>Electronics</v>
      </c>
      <c r="E230">
        <f>VLOOKUP($A230,'ECOMMERS SALES'!$1:$500,MATCH('vlookup match'!E$1,ECOMMERS_SALES[#Headers],0))</f>
        <v>2</v>
      </c>
      <c r="F230">
        <f>VLOOKUP($A230,'ECOMMERS SALES'!$1:$500,MATCH('vlookup match'!F$1,ECOMMERS_SALES[#Headers],0))</f>
        <v>7086</v>
      </c>
      <c r="G230">
        <f>VLOOKUP($A230,'ECOMMERS SALES'!$1:$500,MATCH('vlookup match'!G$1,ECOMMERS_SALES[#Headers],0))</f>
        <v>14172</v>
      </c>
      <c r="H230" t="str">
        <f>VLOOKUP($A230,'ECOMMERS SALES'!$1:$500,MATCH('vlookup match'!H$1,ECOMMERS_SALES[#Headers],0))</f>
        <v>Pune</v>
      </c>
      <c r="I230" t="str">
        <f>VLOOKUP($A230,'ECOMMERS SALES'!$1:$500,MATCH('vlookup match'!I$1,ECOMMERS_SALES[#Headers],0))</f>
        <v>Premimum</v>
      </c>
      <c r="J230" t="str">
        <f>VLOOKUP($A230,'ECOMMERS SALES'!$1:$500,MATCH('vlookup match'!J$1,ECOMMERS_SALES[#Headers],0))</f>
        <v>Card</v>
      </c>
    </row>
    <row r="231" spans="1:10" x14ac:dyDescent="0.35">
      <c r="A231">
        <v>1230</v>
      </c>
      <c r="B231" t="str">
        <f>VLOOKUP($A231,'ECOMMERS SALES'!$1:$500,MATCH('vlookup match'!B$1,ECOMMERS_SALES[#Headers],0))</f>
        <v>19-08-2025</v>
      </c>
      <c r="C231" t="str">
        <f>VLOOKUP($A231,'ECOMMERS SALES'!$1:$500,MATCH('vlookup match'!C$1,ECOMMERS_SALES[#Headers],0))</f>
        <v>Water Bottle</v>
      </c>
      <c r="D231" t="str">
        <f>VLOOKUP($A231,'ECOMMERS SALES'!$1:$500,MATCH('vlookup match'!D$1,ECOMMERS_SALES[#Headers],0))</f>
        <v>Other</v>
      </c>
      <c r="E231">
        <f>VLOOKUP($A231,'ECOMMERS SALES'!$1:$500,MATCH('vlookup match'!E$1,ECOMMERS_SALES[#Headers],0))</f>
        <v>1</v>
      </c>
      <c r="F231">
        <f>VLOOKUP($A231,'ECOMMERS SALES'!$1:$500,MATCH('vlookup match'!F$1,ECOMMERS_SALES[#Headers],0))</f>
        <v>783</v>
      </c>
      <c r="G231">
        <f>VLOOKUP($A231,'ECOMMERS SALES'!$1:$500,MATCH('vlookup match'!G$1,ECOMMERS_SALES[#Headers],0))</f>
        <v>783</v>
      </c>
      <c r="H231" t="str">
        <f>VLOOKUP($A231,'ECOMMERS SALES'!$1:$500,MATCH('vlookup match'!H$1,ECOMMERS_SALES[#Headers],0))</f>
        <v>Hyderabad</v>
      </c>
      <c r="I231" t="str">
        <f>VLOOKUP($A231,'ECOMMERS SALES'!$1:$500,MATCH('vlookup match'!I$1,ECOMMERS_SALES[#Headers],0))</f>
        <v>Returning</v>
      </c>
      <c r="J231" t="str">
        <f>VLOOKUP($A231,'ECOMMERS SALES'!$1:$500,MATCH('vlookup match'!J$1,ECOMMERS_SALES[#Headers],0))</f>
        <v>UPI</v>
      </c>
    </row>
    <row r="232" spans="1:10" x14ac:dyDescent="0.35">
      <c r="A232">
        <v>1231</v>
      </c>
      <c r="B232" t="str">
        <f>VLOOKUP($A232,'ECOMMERS SALES'!$1:$500,MATCH('vlookup match'!B$1,ECOMMERS_SALES[#Headers],0))</f>
        <v>20-08-2025</v>
      </c>
      <c r="C232" t="str">
        <f>VLOOKUP($A232,'ECOMMERS SALES'!$1:$500,MATCH('vlookup match'!C$1,ECOMMERS_SALES[#Headers],0))</f>
        <v>Laptop</v>
      </c>
      <c r="D232" t="str">
        <f>VLOOKUP($A232,'ECOMMERS SALES'!$1:$500,MATCH('vlookup match'!D$1,ECOMMERS_SALES[#Headers],0))</f>
        <v>Electronics</v>
      </c>
      <c r="E232">
        <f>VLOOKUP($A232,'ECOMMERS SALES'!$1:$500,MATCH('vlookup match'!E$1,ECOMMERS_SALES[#Headers],0))</f>
        <v>1</v>
      </c>
      <c r="F232">
        <f>VLOOKUP($A232,'ECOMMERS SALES'!$1:$500,MATCH('vlookup match'!F$1,ECOMMERS_SALES[#Headers],0))</f>
        <v>67161</v>
      </c>
      <c r="G232">
        <f>VLOOKUP($A232,'ECOMMERS SALES'!$1:$500,MATCH('vlookup match'!G$1,ECOMMERS_SALES[#Headers],0))</f>
        <v>67161</v>
      </c>
      <c r="H232" t="str">
        <f>VLOOKUP($A232,'ECOMMERS SALES'!$1:$500,MATCH('vlookup match'!H$1,ECOMMERS_SALES[#Headers],0))</f>
        <v>Pune</v>
      </c>
      <c r="I232" t="str">
        <f>VLOOKUP($A232,'ECOMMERS SALES'!$1:$500,MATCH('vlookup match'!I$1,ECOMMERS_SALES[#Headers],0))</f>
        <v>New</v>
      </c>
      <c r="J232" t="str">
        <f>VLOOKUP($A232,'ECOMMERS SALES'!$1:$500,MATCH('vlookup match'!J$1,ECOMMERS_SALES[#Headers],0))</f>
        <v>COD</v>
      </c>
    </row>
    <row r="233" spans="1:10" x14ac:dyDescent="0.35">
      <c r="A233">
        <v>1232</v>
      </c>
      <c r="B233" t="str">
        <f>VLOOKUP($A233,'ECOMMERS SALES'!$1:$500,MATCH('vlookup match'!B$1,ECOMMERS_SALES[#Headers],0))</f>
        <v>21-08-2025</v>
      </c>
      <c r="C233" t="str">
        <f>VLOOKUP($A233,'ECOMMERS SALES'!$1:$500,MATCH('vlookup match'!C$1,ECOMMERS_SALES[#Headers],0))</f>
        <v>Headphones</v>
      </c>
      <c r="D233" t="str">
        <f>VLOOKUP($A233,'ECOMMERS SALES'!$1:$500,MATCH('vlookup match'!D$1,ECOMMERS_SALES[#Headers],0))</f>
        <v>Electronics</v>
      </c>
      <c r="E233">
        <f>VLOOKUP($A233,'ECOMMERS SALES'!$1:$500,MATCH('vlookup match'!E$1,ECOMMERS_SALES[#Headers],0))</f>
        <v>3</v>
      </c>
      <c r="F233">
        <f>VLOOKUP($A233,'ECOMMERS SALES'!$1:$500,MATCH('vlookup match'!F$1,ECOMMERS_SALES[#Headers],0))</f>
        <v>2774</v>
      </c>
      <c r="G233">
        <f>VLOOKUP($A233,'ECOMMERS SALES'!$1:$500,MATCH('vlookup match'!G$1,ECOMMERS_SALES[#Headers],0))</f>
        <v>8322</v>
      </c>
      <c r="H233" t="str">
        <f>VLOOKUP($A233,'ECOMMERS SALES'!$1:$500,MATCH('vlookup match'!H$1,ECOMMERS_SALES[#Headers],0))</f>
        <v>Chennai</v>
      </c>
      <c r="I233" t="str">
        <f>VLOOKUP($A233,'ECOMMERS SALES'!$1:$500,MATCH('vlookup match'!I$1,ECOMMERS_SALES[#Headers],0))</f>
        <v>New</v>
      </c>
      <c r="J233" t="str">
        <f>VLOOKUP($A233,'ECOMMERS SALES'!$1:$500,MATCH('vlookup match'!J$1,ECOMMERS_SALES[#Headers],0))</f>
        <v>UPI</v>
      </c>
    </row>
    <row r="234" spans="1:10" x14ac:dyDescent="0.35">
      <c r="A234">
        <v>1233</v>
      </c>
      <c r="B234" t="str">
        <f>VLOOKUP($A234,'ECOMMERS SALES'!$1:$500,MATCH('vlookup match'!B$1,ECOMMERS_SALES[#Headers],0))</f>
        <v>22-08-2025</v>
      </c>
      <c r="C234" t="str">
        <f>VLOOKUP($A234,'ECOMMERS SALES'!$1:$500,MATCH('vlookup match'!C$1,ECOMMERS_SALES[#Headers],0))</f>
        <v>Shoes</v>
      </c>
      <c r="D234" t="str">
        <f>VLOOKUP($A234,'ECOMMERS SALES'!$1:$500,MATCH('vlookup match'!D$1,ECOMMERS_SALES[#Headers],0))</f>
        <v>Fashion</v>
      </c>
      <c r="E234">
        <f>VLOOKUP($A234,'ECOMMERS SALES'!$1:$500,MATCH('vlookup match'!E$1,ECOMMERS_SALES[#Headers],0))</f>
        <v>2</v>
      </c>
      <c r="F234">
        <f>VLOOKUP($A234,'ECOMMERS SALES'!$1:$500,MATCH('vlookup match'!F$1,ECOMMERS_SALES[#Headers],0))</f>
        <v>1961</v>
      </c>
      <c r="G234">
        <f>VLOOKUP($A234,'ECOMMERS SALES'!$1:$500,MATCH('vlookup match'!G$1,ECOMMERS_SALES[#Headers],0))</f>
        <v>3922</v>
      </c>
      <c r="H234" t="str">
        <f>VLOOKUP($A234,'ECOMMERS SALES'!$1:$500,MATCH('vlookup match'!H$1,ECOMMERS_SALES[#Headers],0))</f>
        <v>Delhi</v>
      </c>
      <c r="I234" t="str">
        <f>VLOOKUP($A234,'ECOMMERS SALES'!$1:$500,MATCH('vlookup match'!I$1,ECOMMERS_SALES[#Headers],0))</f>
        <v>Premimum</v>
      </c>
      <c r="J234" t="str">
        <f>VLOOKUP($A234,'ECOMMERS SALES'!$1:$500,MATCH('vlookup match'!J$1,ECOMMERS_SALES[#Headers],0))</f>
        <v>Card</v>
      </c>
    </row>
    <row r="235" spans="1:10" x14ac:dyDescent="0.35">
      <c r="A235">
        <v>1234</v>
      </c>
      <c r="B235" t="str">
        <f>VLOOKUP($A235,'ECOMMERS SALES'!$1:$500,MATCH('vlookup match'!B$1,ECOMMERS_SALES[#Headers],0))</f>
        <v>23-08-2025</v>
      </c>
      <c r="C235" t="str">
        <f>VLOOKUP($A235,'ECOMMERS SALES'!$1:$500,MATCH('vlookup match'!C$1,ECOMMERS_SALES[#Headers],0))</f>
        <v>Watch</v>
      </c>
      <c r="D235" t="str">
        <f>VLOOKUP($A235,'ECOMMERS SALES'!$1:$500,MATCH('vlookup match'!D$1,ECOMMERS_SALES[#Headers],0))</f>
        <v>Other</v>
      </c>
      <c r="E235">
        <f>VLOOKUP($A235,'ECOMMERS SALES'!$1:$500,MATCH('vlookup match'!E$1,ECOMMERS_SALES[#Headers],0))</f>
        <v>3</v>
      </c>
      <c r="F235">
        <f>VLOOKUP($A235,'ECOMMERS SALES'!$1:$500,MATCH('vlookup match'!F$1,ECOMMERS_SALES[#Headers],0))</f>
        <v>3843</v>
      </c>
      <c r="G235">
        <f>VLOOKUP($A235,'ECOMMERS SALES'!$1:$500,MATCH('vlookup match'!G$1,ECOMMERS_SALES[#Headers],0))</f>
        <v>11529</v>
      </c>
      <c r="H235" t="str">
        <f>VLOOKUP($A235,'ECOMMERS SALES'!$1:$500,MATCH('vlookup match'!H$1,ECOMMERS_SALES[#Headers],0))</f>
        <v>Hyderabad</v>
      </c>
      <c r="I235" t="str">
        <f>VLOOKUP($A235,'ECOMMERS SALES'!$1:$500,MATCH('vlookup match'!I$1,ECOMMERS_SALES[#Headers],0))</f>
        <v>New</v>
      </c>
      <c r="J235" t="str">
        <f>VLOOKUP($A235,'ECOMMERS SALES'!$1:$500,MATCH('vlookup match'!J$1,ECOMMERS_SALES[#Headers],0))</f>
        <v>Card</v>
      </c>
    </row>
    <row r="236" spans="1:10" x14ac:dyDescent="0.35">
      <c r="A236">
        <v>1235</v>
      </c>
      <c r="B236" t="str">
        <f>VLOOKUP($A236,'ECOMMERS SALES'!$1:$500,MATCH('vlookup match'!B$1,ECOMMERS_SALES[#Headers],0))</f>
        <v>24-08-2025</v>
      </c>
      <c r="C236" t="str">
        <f>VLOOKUP($A236,'ECOMMERS SALES'!$1:$500,MATCH('vlookup match'!C$1,ECOMMERS_SALES[#Headers],0))</f>
        <v>Mobile Case</v>
      </c>
      <c r="D236" t="str">
        <f>VLOOKUP($A236,'ECOMMERS SALES'!$1:$500,MATCH('vlookup match'!D$1,ECOMMERS_SALES[#Headers],0))</f>
        <v>Other</v>
      </c>
      <c r="E236">
        <f>VLOOKUP($A236,'ECOMMERS SALES'!$1:$500,MATCH('vlookup match'!E$1,ECOMMERS_SALES[#Headers],0))</f>
        <v>2</v>
      </c>
      <c r="F236">
        <f>VLOOKUP($A236,'ECOMMERS SALES'!$1:$500,MATCH('vlookup match'!F$1,ECOMMERS_SALES[#Headers],0))</f>
        <v>515</v>
      </c>
      <c r="G236">
        <f>VLOOKUP($A236,'ECOMMERS SALES'!$1:$500,MATCH('vlookup match'!G$1,ECOMMERS_SALES[#Headers],0))</f>
        <v>1030</v>
      </c>
      <c r="H236" t="str">
        <f>VLOOKUP($A236,'ECOMMERS SALES'!$1:$500,MATCH('vlookup match'!H$1,ECOMMERS_SALES[#Headers],0))</f>
        <v>Mumbai</v>
      </c>
      <c r="I236" t="str">
        <f>VLOOKUP($A236,'ECOMMERS SALES'!$1:$500,MATCH('vlookup match'!I$1,ECOMMERS_SALES[#Headers],0))</f>
        <v>Premimum</v>
      </c>
      <c r="J236" t="str">
        <f>VLOOKUP($A236,'ECOMMERS SALES'!$1:$500,MATCH('vlookup match'!J$1,ECOMMERS_SALES[#Headers],0))</f>
        <v>COD</v>
      </c>
    </row>
    <row r="237" spans="1:10" x14ac:dyDescent="0.35">
      <c r="A237">
        <v>1236</v>
      </c>
      <c r="B237" t="str">
        <f>VLOOKUP($A237,'ECOMMERS SALES'!$1:$500,MATCH('vlookup match'!B$1,ECOMMERS_SALES[#Headers],0))</f>
        <v>25-08-2025</v>
      </c>
      <c r="C237" t="str">
        <f>VLOOKUP($A237,'ECOMMERS SALES'!$1:$500,MATCH('vlookup match'!C$1,ECOMMERS_SALES[#Headers],0))</f>
        <v>Tablet</v>
      </c>
      <c r="D237" t="str">
        <f>VLOOKUP($A237,'ECOMMERS SALES'!$1:$500,MATCH('vlookup match'!D$1,ECOMMERS_SALES[#Headers],0))</f>
        <v>Electronics</v>
      </c>
      <c r="E237">
        <f>VLOOKUP($A237,'ECOMMERS SALES'!$1:$500,MATCH('vlookup match'!E$1,ECOMMERS_SALES[#Headers],0))</f>
        <v>2</v>
      </c>
      <c r="F237">
        <f>VLOOKUP($A237,'ECOMMERS SALES'!$1:$500,MATCH('vlookup match'!F$1,ECOMMERS_SALES[#Headers],0))</f>
        <v>18773</v>
      </c>
      <c r="G237">
        <f>VLOOKUP($A237,'ECOMMERS SALES'!$1:$500,MATCH('vlookup match'!G$1,ECOMMERS_SALES[#Headers],0))</f>
        <v>37546</v>
      </c>
      <c r="H237" t="str">
        <f>VLOOKUP($A237,'ECOMMERS SALES'!$1:$500,MATCH('vlookup match'!H$1,ECOMMERS_SALES[#Headers],0))</f>
        <v>Hyderabad</v>
      </c>
      <c r="I237" t="str">
        <f>VLOOKUP($A237,'ECOMMERS SALES'!$1:$500,MATCH('vlookup match'!I$1,ECOMMERS_SALES[#Headers],0))</f>
        <v>New</v>
      </c>
      <c r="J237" t="str">
        <f>VLOOKUP($A237,'ECOMMERS SALES'!$1:$500,MATCH('vlookup match'!J$1,ECOMMERS_SALES[#Headers],0))</f>
        <v>COD</v>
      </c>
    </row>
    <row r="238" spans="1:10" x14ac:dyDescent="0.35">
      <c r="A238">
        <v>1237</v>
      </c>
      <c r="B238" t="str">
        <f>VLOOKUP($A238,'ECOMMERS SALES'!$1:$500,MATCH('vlookup match'!B$1,ECOMMERS_SALES[#Headers],0))</f>
        <v>26-08-2025</v>
      </c>
      <c r="C238" t="str">
        <f>VLOOKUP($A238,'ECOMMERS SALES'!$1:$500,MATCH('vlookup match'!C$1,ECOMMERS_SALES[#Headers],0))</f>
        <v>Book</v>
      </c>
      <c r="D238" t="str">
        <f>VLOOKUP($A238,'ECOMMERS SALES'!$1:$500,MATCH('vlookup match'!D$1,ECOMMERS_SALES[#Headers],0))</f>
        <v>Books</v>
      </c>
      <c r="E238">
        <f>VLOOKUP($A238,'ECOMMERS SALES'!$1:$500,MATCH('vlookup match'!E$1,ECOMMERS_SALES[#Headers],0))</f>
        <v>2</v>
      </c>
      <c r="F238">
        <f>VLOOKUP($A238,'ECOMMERS SALES'!$1:$500,MATCH('vlookup match'!F$1,ECOMMERS_SALES[#Headers],0))</f>
        <v>418</v>
      </c>
      <c r="G238">
        <f>VLOOKUP($A238,'ECOMMERS SALES'!$1:$500,MATCH('vlookup match'!G$1,ECOMMERS_SALES[#Headers],0))</f>
        <v>836</v>
      </c>
      <c r="H238" t="str">
        <f>VLOOKUP($A238,'ECOMMERS SALES'!$1:$500,MATCH('vlookup match'!H$1,ECOMMERS_SALES[#Headers],0))</f>
        <v>Hyderabad</v>
      </c>
      <c r="I238" t="str">
        <f>VLOOKUP($A238,'ECOMMERS SALES'!$1:$500,MATCH('vlookup match'!I$1,ECOMMERS_SALES[#Headers],0))</f>
        <v>New</v>
      </c>
      <c r="J238" t="str">
        <f>VLOOKUP($A238,'ECOMMERS SALES'!$1:$500,MATCH('vlookup match'!J$1,ECOMMERS_SALES[#Headers],0))</f>
        <v>Card</v>
      </c>
    </row>
    <row r="239" spans="1:10" x14ac:dyDescent="0.35">
      <c r="A239">
        <v>1238</v>
      </c>
      <c r="B239" t="str">
        <f>VLOOKUP($A239,'ECOMMERS SALES'!$1:$500,MATCH('vlookup match'!B$1,ECOMMERS_SALES[#Headers],0))</f>
        <v>27-08-2025</v>
      </c>
      <c r="C239" t="str">
        <f>VLOOKUP($A239,'ECOMMERS SALES'!$1:$500,MATCH('vlookup match'!C$1,ECOMMERS_SALES[#Headers],0))</f>
        <v>Backpack</v>
      </c>
      <c r="D239" t="str">
        <f>VLOOKUP($A239,'ECOMMERS SALES'!$1:$500,MATCH('vlookup match'!D$1,ECOMMERS_SALES[#Headers],0))</f>
        <v>Fashion</v>
      </c>
      <c r="E239">
        <f>VLOOKUP($A239,'ECOMMERS SALES'!$1:$500,MATCH('vlookup match'!E$1,ECOMMERS_SALES[#Headers],0))</f>
        <v>2</v>
      </c>
      <c r="F239">
        <f>VLOOKUP($A239,'ECOMMERS SALES'!$1:$500,MATCH('vlookup match'!F$1,ECOMMERS_SALES[#Headers],0))</f>
        <v>996</v>
      </c>
      <c r="G239">
        <f>VLOOKUP($A239,'ECOMMERS SALES'!$1:$500,MATCH('vlookup match'!G$1,ECOMMERS_SALES[#Headers],0))</f>
        <v>1992</v>
      </c>
      <c r="H239" t="str">
        <f>VLOOKUP($A239,'ECOMMERS SALES'!$1:$500,MATCH('vlookup match'!H$1,ECOMMERS_SALES[#Headers],0))</f>
        <v>Mumbai</v>
      </c>
      <c r="I239" t="str">
        <f>VLOOKUP($A239,'ECOMMERS SALES'!$1:$500,MATCH('vlookup match'!I$1,ECOMMERS_SALES[#Headers],0))</f>
        <v>Returning</v>
      </c>
      <c r="J239" t="str">
        <f>VLOOKUP($A239,'ECOMMERS SALES'!$1:$500,MATCH('vlookup match'!J$1,ECOMMERS_SALES[#Headers],0))</f>
        <v>Card</v>
      </c>
    </row>
    <row r="240" spans="1:10" x14ac:dyDescent="0.35">
      <c r="A240">
        <v>1239</v>
      </c>
      <c r="B240" t="str">
        <f>VLOOKUP($A240,'ECOMMERS SALES'!$1:$500,MATCH('vlookup match'!B$1,ECOMMERS_SALES[#Headers],0))</f>
        <v>28-08-2025</v>
      </c>
      <c r="C240" t="str">
        <f>VLOOKUP($A240,'ECOMMERS SALES'!$1:$500,MATCH('vlookup match'!C$1,ECOMMERS_SALES[#Headers],0))</f>
        <v>Smartwatch</v>
      </c>
      <c r="D240" t="str">
        <f>VLOOKUP($A240,'ECOMMERS SALES'!$1:$500,MATCH('vlookup match'!D$1,ECOMMERS_SALES[#Headers],0))</f>
        <v>Electronics</v>
      </c>
      <c r="E240">
        <f>VLOOKUP($A240,'ECOMMERS SALES'!$1:$500,MATCH('vlookup match'!E$1,ECOMMERS_SALES[#Headers],0))</f>
        <v>2</v>
      </c>
      <c r="F240">
        <f>VLOOKUP($A240,'ECOMMERS SALES'!$1:$500,MATCH('vlookup match'!F$1,ECOMMERS_SALES[#Headers],0))</f>
        <v>12569</v>
      </c>
      <c r="G240">
        <f>VLOOKUP($A240,'ECOMMERS SALES'!$1:$500,MATCH('vlookup match'!G$1,ECOMMERS_SALES[#Headers],0))</f>
        <v>25138</v>
      </c>
      <c r="H240" t="str">
        <f>VLOOKUP($A240,'ECOMMERS SALES'!$1:$500,MATCH('vlookup match'!H$1,ECOMMERS_SALES[#Headers],0))</f>
        <v>Hyderabad</v>
      </c>
      <c r="I240" t="str">
        <f>VLOOKUP($A240,'ECOMMERS SALES'!$1:$500,MATCH('vlookup match'!I$1,ECOMMERS_SALES[#Headers],0))</f>
        <v>Premimum</v>
      </c>
      <c r="J240" t="str">
        <f>VLOOKUP($A240,'ECOMMERS SALES'!$1:$500,MATCH('vlookup match'!J$1,ECOMMERS_SALES[#Headers],0))</f>
        <v>UPI</v>
      </c>
    </row>
    <row r="241" spans="1:10" x14ac:dyDescent="0.35">
      <c r="A241">
        <v>1240</v>
      </c>
      <c r="B241" t="str">
        <f>VLOOKUP($A241,'ECOMMERS SALES'!$1:$500,MATCH('vlookup match'!B$1,ECOMMERS_SALES[#Headers],0))</f>
        <v>29-08-2025</v>
      </c>
      <c r="C241" t="str">
        <f>VLOOKUP($A241,'ECOMMERS SALES'!$1:$500,MATCH('vlookup match'!C$1,ECOMMERS_SALES[#Headers],0))</f>
        <v>Water Bottle</v>
      </c>
      <c r="D241" t="str">
        <f>VLOOKUP($A241,'ECOMMERS SALES'!$1:$500,MATCH('vlookup match'!D$1,ECOMMERS_SALES[#Headers],0))</f>
        <v>Other</v>
      </c>
      <c r="E241">
        <f>VLOOKUP($A241,'ECOMMERS SALES'!$1:$500,MATCH('vlookup match'!E$1,ECOMMERS_SALES[#Headers],0))</f>
        <v>3</v>
      </c>
      <c r="F241">
        <f>VLOOKUP($A241,'ECOMMERS SALES'!$1:$500,MATCH('vlookup match'!F$1,ECOMMERS_SALES[#Headers],0))</f>
        <v>241</v>
      </c>
      <c r="G241">
        <f>VLOOKUP($A241,'ECOMMERS SALES'!$1:$500,MATCH('vlookup match'!G$1,ECOMMERS_SALES[#Headers],0))</f>
        <v>723</v>
      </c>
      <c r="H241" t="str">
        <f>VLOOKUP($A241,'ECOMMERS SALES'!$1:$500,MATCH('vlookup match'!H$1,ECOMMERS_SALES[#Headers],0))</f>
        <v>Delhi</v>
      </c>
      <c r="I241" t="str">
        <f>VLOOKUP($A241,'ECOMMERS SALES'!$1:$500,MATCH('vlookup match'!I$1,ECOMMERS_SALES[#Headers],0))</f>
        <v>Returning</v>
      </c>
      <c r="J241" t="str">
        <f>VLOOKUP($A241,'ECOMMERS SALES'!$1:$500,MATCH('vlookup match'!J$1,ECOMMERS_SALES[#Headers],0))</f>
        <v>Card</v>
      </c>
    </row>
    <row r="242" spans="1:10" x14ac:dyDescent="0.35">
      <c r="A242">
        <v>1241</v>
      </c>
      <c r="B242" t="str">
        <f>VLOOKUP($A242,'ECOMMERS SALES'!$1:$500,MATCH('vlookup match'!B$1,ECOMMERS_SALES[#Headers],0))</f>
        <v>30-08-2025</v>
      </c>
      <c r="C242" t="str">
        <f>VLOOKUP($A242,'ECOMMERS SALES'!$1:$500,MATCH('vlookup match'!C$1,ECOMMERS_SALES[#Headers],0))</f>
        <v>Laptop</v>
      </c>
      <c r="D242" t="str">
        <f>VLOOKUP($A242,'ECOMMERS SALES'!$1:$500,MATCH('vlookup match'!D$1,ECOMMERS_SALES[#Headers],0))</f>
        <v>Electronics</v>
      </c>
      <c r="E242">
        <f>VLOOKUP($A242,'ECOMMERS SALES'!$1:$500,MATCH('vlookup match'!E$1,ECOMMERS_SALES[#Headers],0))</f>
        <v>1</v>
      </c>
      <c r="F242">
        <f>VLOOKUP($A242,'ECOMMERS SALES'!$1:$500,MATCH('vlookup match'!F$1,ECOMMERS_SALES[#Headers],0))</f>
        <v>51561</v>
      </c>
      <c r="G242">
        <f>VLOOKUP($A242,'ECOMMERS SALES'!$1:$500,MATCH('vlookup match'!G$1,ECOMMERS_SALES[#Headers],0))</f>
        <v>51561</v>
      </c>
      <c r="H242" t="str">
        <f>VLOOKUP($A242,'ECOMMERS SALES'!$1:$500,MATCH('vlookup match'!H$1,ECOMMERS_SALES[#Headers],0))</f>
        <v>Pune</v>
      </c>
      <c r="I242" t="str">
        <f>VLOOKUP($A242,'ECOMMERS SALES'!$1:$500,MATCH('vlookup match'!I$1,ECOMMERS_SALES[#Headers],0))</f>
        <v>New</v>
      </c>
      <c r="J242" t="str">
        <f>VLOOKUP($A242,'ECOMMERS SALES'!$1:$500,MATCH('vlookup match'!J$1,ECOMMERS_SALES[#Headers],0))</f>
        <v>UPI</v>
      </c>
    </row>
    <row r="243" spans="1:10" x14ac:dyDescent="0.35">
      <c r="A243">
        <v>1242</v>
      </c>
      <c r="B243" t="str">
        <f>VLOOKUP($A243,'ECOMMERS SALES'!$1:$500,MATCH('vlookup match'!B$1,ECOMMERS_SALES[#Headers],0))</f>
        <v>31-08-2025</v>
      </c>
      <c r="C243" t="str">
        <f>VLOOKUP($A243,'ECOMMERS SALES'!$1:$500,MATCH('vlookup match'!C$1,ECOMMERS_SALES[#Headers],0))</f>
        <v>Headphones</v>
      </c>
      <c r="D243" t="str">
        <f>VLOOKUP($A243,'ECOMMERS SALES'!$1:$500,MATCH('vlookup match'!D$1,ECOMMERS_SALES[#Headers],0))</f>
        <v>Electronics</v>
      </c>
      <c r="E243">
        <f>VLOOKUP($A243,'ECOMMERS SALES'!$1:$500,MATCH('vlookup match'!E$1,ECOMMERS_SALES[#Headers],0))</f>
        <v>3</v>
      </c>
      <c r="F243">
        <f>VLOOKUP($A243,'ECOMMERS SALES'!$1:$500,MATCH('vlookup match'!F$1,ECOMMERS_SALES[#Headers],0))</f>
        <v>2846</v>
      </c>
      <c r="G243">
        <f>VLOOKUP($A243,'ECOMMERS SALES'!$1:$500,MATCH('vlookup match'!G$1,ECOMMERS_SALES[#Headers],0))</f>
        <v>8538</v>
      </c>
      <c r="H243" t="str">
        <f>VLOOKUP($A243,'ECOMMERS SALES'!$1:$500,MATCH('vlookup match'!H$1,ECOMMERS_SALES[#Headers],0))</f>
        <v>Delhi</v>
      </c>
      <c r="I243" t="str">
        <f>VLOOKUP($A243,'ECOMMERS SALES'!$1:$500,MATCH('vlookup match'!I$1,ECOMMERS_SALES[#Headers],0))</f>
        <v>Premimum</v>
      </c>
      <c r="J243" t="str">
        <f>VLOOKUP($A243,'ECOMMERS SALES'!$1:$500,MATCH('vlookup match'!J$1,ECOMMERS_SALES[#Headers],0))</f>
        <v>Card</v>
      </c>
    </row>
    <row r="244" spans="1:10" x14ac:dyDescent="0.35">
      <c r="A244">
        <v>1243</v>
      </c>
      <c r="B244" t="str">
        <f>VLOOKUP($A244,'ECOMMERS SALES'!$1:$500,MATCH('vlookup match'!B$1,ECOMMERS_SALES[#Headers],0))</f>
        <v>01-09-2025</v>
      </c>
      <c r="C244" t="str">
        <f>VLOOKUP($A244,'ECOMMERS SALES'!$1:$500,MATCH('vlookup match'!C$1,ECOMMERS_SALES[#Headers],0))</f>
        <v>Shoes</v>
      </c>
      <c r="D244" t="str">
        <f>VLOOKUP($A244,'ECOMMERS SALES'!$1:$500,MATCH('vlookup match'!D$1,ECOMMERS_SALES[#Headers],0))</f>
        <v>Fashion</v>
      </c>
      <c r="E244">
        <f>VLOOKUP($A244,'ECOMMERS SALES'!$1:$500,MATCH('vlookup match'!E$1,ECOMMERS_SALES[#Headers],0))</f>
        <v>2</v>
      </c>
      <c r="F244">
        <f>VLOOKUP($A244,'ECOMMERS SALES'!$1:$500,MATCH('vlookup match'!F$1,ECOMMERS_SALES[#Headers],0))</f>
        <v>1792</v>
      </c>
      <c r="G244">
        <f>VLOOKUP($A244,'ECOMMERS SALES'!$1:$500,MATCH('vlookup match'!G$1,ECOMMERS_SALES[#Headers],0))</f>
        <v>3584</v>
      </c>
      <c r="H244" t="str">
        <f>VLOOKUP($A244,'ECOMMERS SALES'!$1:$500,MATCH('vlookup match'!H$1,ECOMMERS_SALES[#Headers],0))</f>
        <v>Hyderabad</v>
      </c>
      <c r="I244" t="str">
        <f>VLOOKUP($A244,'ECOMMERS SALES'!$1:$500,MATCH('vlookup match'!I$1,ECOMMERS_SALES[#Headers],0))</f>
        <v>Premimum</v>
      </c>
      <c r="J244" t="str">
        <f>VLOOKUP($A244,'ECOMMERS SALES'!$1:$500,MATCH('vlookup match'!J$1,ECOMMERS_SALES[#Headers],0))</f>
        <v>UPI</v>
      </c>
    </row>
    <row r="245" spans="1:10" x14ac:dyDescent="0.35">
      <c r="A245">
        <v>1244</v>
      </c>
      <c r="B245" t="str">
        <f>VLOOKUP($A245,'ECOMMERS SALES'!$1:$500,MATCH('vlookup match'!B$1,ECOMMERS_SALES[#Headers],0))</f>
        <v>02-09-2025</v>
      </c>
      <c r="C245" t="str">
        <f>VLOOKUP($A245,'ECOMMERS SALES'!$1:$500,MATCH('vlookup match'!C$1,ECOMMERS_SALES[#Headers],0))</f>
        <v>Watch</v>
      </c>
      <c r="D245" t="str">
        <f>VLOOKUP($A245,'ECOMMERS SALES'!$1:$500,MATCH('vlookup match'!D$1,ECOMMERS_SALES[#Headers],0))</f>
        <v>Other</v>
      </c>
      <c r="E245">
        <f>VLOOKUP($A245,'ECOMMERS SALES'!$1:$500,MATCH('vlookup match'!E$1,ECOMMERS_SALES[#Headers],0))</f>
        <v>1</v>
      </c>
      <c r="F245">
        <f>VLOOKUP($A245,'ECOMMERS SALES'!$1:$500,MATCH('vlookup match'!F$1,ECOMMERS_SALES[#Headers],0))</f>
        <v>17414</v>
      </c>
      <c r="G245">
        <f>VLOOKUP($A245,'ECOMMERS SALES'!$1:$500,MATCH('vlookup match'!G$1,ECOMMERS_SALES[#Headers],0))</f>
        <v>17414</v>
      </c>
      <c r="H245" t="str">
        <f>VLOOKUP($A245,'ECOMMERS SALES'!$1:$500,MATCH('vlookup match'!H$1,ECOMMERS_SALES[#Headers],0))</f>
        <v>Hyderabad</v>
      </c>
      <c r="I245" t="str">
        <f>VLOOKUP($A245,'ECOMMERS SALES'!$1:$500,MATCH('vlookup match'!I$1,ECOMMERS_SALES[#Headers],0))</f>
        <v>Premimum</v>
      </c>
      <c r="J245" t="str">
        <f>VLOOKUP($A245,'ECOMMERS SALES'!$1:$500,MATCH('vlookup match'!J$1,ECOMMERS_SALES[#Headers],0))</f>
        <v>UPI</v>
      </c>
    </row>
    <row r="246" spans="1:10" x14ac:dyDescent="0.35">
      <c r="A246">
        <v>1245</v>
      </c>
      <c r="B246" t="str">
        <f>VLOOKUP($A246,'ECOMMERS SALES'!$1:$500,MATCH('vlookup match'!B$1,ECOMMERS_SALES[#Headers],0))</f>
        <v>03-09-2025</v>
      </c>
      <c r="C246" t="str">
        <f>VLOOKUP($A246,'ECOMMERS SALES'!$1:$500,MATCH('vlookup match'!C$1,ECOMMERS_SALES[#Headers],0))</f>
        <v>Mobile Case</v>
      </c>
      <c r="D246" t="str">
        <f>VLOOKUP($A246,'ECOMMERS SALES'!$1:$500,MATCH('vlookup match'!D$1,ECOMMERS_SALES[#Headers],0))</f>
        <v>Other</v>
      </c>
      <c r="E246">
        <f>VLOOKUP($A246,'ECOMMERS SALES'!$1:$500,MATCH('vlookup match'!E$1,ECOMMERS_SALES[#Headers],0))</f>
        <v>5</v>
      </c>
      <c r="F246">
        <f>VLOOKUP($A246,'ECOMMERS SALES'!$1:$500,MATCH('vlookup match'!F$1,ECOMMERS_SALES[#Headers],0))</f>
        <v>417</v>
      </c>
      <c r="G246">
        <f>VLOOKUP($A246,'ECOMMERS SALES'!$1:$500,MATCH('vlookup match'!G$1,ECOMMERS_SALES[#Headers],0))</f>
        <v>2085</v>
      </c>
      <c r="H246" t="str">
        <f>VLOOKUP($A246,'ECOMMERS SALES'!$1:$500,MATCH('vlookup match'!H$1,ECOMMERS_SALES[#Headers],0))</f>
        <v>Mumbai</v>
      </c>
      <c r="I246" t="str">
        <f>VLOOKUP($A246,'ECOMMERS SALES'!$1:$500,MATCH('vlookup match'!I$1,ECOMMERS_SALES[#Headers],0))</f>
        <v>New</v>
      </c>
      <c r="J246" t="str">
        <f>VLOOKUP($A246,'ECOMMERS SALES'!$1:$500,MATCH('vlookup match'!J$1,ECOMMERS_SALES[#Headers],0))</f>
        <v>COD</v>
      </c>
    </row>
    <row r="247" spans="1:10" x14ac:dyDescent="0.35">
      <c r="A247">
        <v>1246</v>
      </c>
      <c r="B247" t="str">
        <f>VLOOKUP($A247,'ECOMMERS SALES'!$1:$500,MATCH('vlookup match'!B$1,ECOMMERS_SALES[#Headers],0))</f>
        <v>04-09-2025</v>
      </c>
      <c r="C247" t="str">
        <f>VLOOKUP($A247,'ECOMMERS SALES'!$1:$500,MATCH('vlookup match'!C$1,ECOMMERS_SALES[#Headers],0))</f>
        <v>Tablet</v>
      </c>
      <c r="D247" t="str">
        <f>VLOOKUP($A247,'ECOMMERS SALES'!$1:$500,MATCH('vlookup match'!D$1,ECOMMERS_SALES[#Headers],0))</f>
        <v>Electronics</v>
      </c>
      <c r="E247">
        <f>VLOOKUP($A247,'ECOMMERS SALES'!$1:$500,MATCH('vlookup match'!E$1,ECOMMERS_SALES[#Headers],0))</f>
        <v>1</v>
      </c>
      <c r="F247">
        <f>VLOOKUP($A247,'ECOMMERS SALES'!$1:$500,MATCH('vlookup match'!F$1,ECOMMERS_SALES[#Headers],0))</f>
        <v>32293</v>
      </c>
      <c r="G247">
        <f>VLOOKUP($A247,'ECOMMERS SALES'!$1:$500,MATCH('vlookup match'!G$1,ECOMMERS_SALES[#Headers],0))</f>
        <v>32293</v>
      </c>
      <c r="H247" t="str">
        <f>VLOOKUP($A247,'ECOMMERS SALES'!$1:$500,MATCH('vlookup match'!H$1,ECOMMERS_SALES[#Headers],0))</f>
        <v>Pune</v>
      </c>
      <c r="I247" t="str">
        <f>VLOOKUP($A247,'ECOMMERS SALES'!$1:$500,MATCH('vlookup match'!I$1,ECOMMERS_SALES[#Headers],0))</f>
        <v>Premimum</v>
      </c>
      <c r="J247" t="str">
        <f>VLOOKUP($A247,'ECOMMERS SALES'!$1:$500,MATCH('vlookup match'!J$1,ECOMMERS_SALES[#Headers],0))</f>
        <v>UPI</v>
      </c>
    </row>
    <row r="248" spans="1:10" x14ac:dyDescent="0.35">
      <c r="A248">
        <v>1247</v>
      </c>
      <c r="B248" t="str">
        <f>VLOOKUP($A248,'ECOMMERS SALES'!$1:$500,MATCH('vlookup match'!B$1,ECOMMERS_SALES[#Headers],0))</f>
        <v>05-09-2025</v>
      </c>
      <c r="C248" t="str">
        <f>VLOOKUP($A248,'ECOMMERS SALES'!$1:$500,MATCH('vlookup match'!C$1,ECOMMERS_SALES[#Headers],0))</f>
        <v>Book</v>
      </c>
      <c r="D248" t="str">
        <f>VLOOKUP($A248,'ECOMMERS SALES'!$1:$500,MATCH('vlookup match'!D$1,ECOMMERS_SALES[#Headers],0))</f>
        <v>Books</v>
      </c>
      <c r="E248">
        <f>VLOOKUP($A248,'ECOMMERS SALES'!$1:$500,MATCH('vlookup match'!E$1,ECOMMERS_SALES[#Headers],0))</f>
        <v>2</v>
      </c>
      <c r="F248">
        <f>VLOOKUP($A248,'ECOMMERS SALES'!$1:$500,MATCH('vlookup match'!F$1,ECOMMERS_SALES[#Headers],0))</f>
        <v>750</v>
      </c>
      <c r="G248">
        <f>VLOOKUP($A248,'ECOMMERS SALES'!$1:$500,MATCH('vlookup match'!G$1,ECOMMERS_SALES[#Headers],0))</f>
        <v>1500</v>
      </c>
      <c r="H248" t="str">
        <f>VLOOKUP($A248,'ECOMMERS SALES'!$1:$500,MATCH('vlookup match'!H$1,ECOMMERS_SALES[#Headers],0))</f>
        <v>Mumbai</v>
      </c>
      <c r="I248" t="str">
        <f>VLOOKUP($A248,'ECOMMERS SALES'!$1:$500,MATCH('vlookup match'!I$1,ECOMMERS_SALES[#Headers],0))</f>
        <v>Returning</v>
      </c>
      <c r="J248" t="str">
        <f>VLOOKUP($A248,'ECOMMERS SALES'!$1:$500,MATCH('vlookup match'!J$1,ECOMMERS_SALES[#Headers],0))</f>
        <v>COD</v>
      </c>
    </row>
    <row r="249" spans="1:10" x14ac:dyDescent="0.35">
      <c r="A249">
        <v>1248</v>
      </c>
      <c r="B249" t="str">
        <f>VLOOKUP($A249,'ECOMMERS SALES'!$1:$500,MATCH('vlookup match'!B$1,ECOMMERS_SALES[#Headers],0))</f>
        <v>06-09-2025</v>
      </c>
      <c r="C249" t="str">
        <f>VLOOKUP($A249,'ECOMMERS SALES'!$1:$500,MATCH('vlookup match'!C$1,ECOMMERS_SALES[#Headers],0))</f>
        <v>Backpack</v>
      </c>
      <c r="D249" t="str">
        <f>VLOOKUP($A249,'ECOMMERS SALES'!$1:$500,MATCH('vlookup match'!D$1,ECOMMERS_SALES[#Headers],0))</f>
        <v>Fashion</v>
      </c>
      <c r="E249">
        <f>VLOOKUP($A249,'ECOMMERS SALES'!$1:$500,MATCH('vlookup match'!E$1,ECOMMERS_SALES[#Headers],0))</f>
        <v>3</v>
      </c>
      <c r="F249">
        <f>VLOOKUP($A249,'ECOMMERS SALES'!$1:$500,MATCH('vlookup match'!F$1,ECOMMERS_SALES[#Headers],0))</f>
        <v>1702</v>
      </c>
      <c r="G249">
        <f>VLOOKUP($A249,'ECOMMERS SALES'!$1:$500,MATCH('vlookup match'!G$1,ECOMMERS_SALES[#Headers],0))</f>
        <v>5106</v>
      </c>
      <c r="H249" t="str">
        <f>VLOOKUP($A249,'ECOMMERS SALES'!$1:$500,MATCH('vlookup match'!H$1,ECOMMERS_SALES[#Headers],0))</f>
        <v>Mumbai</v>
      </c>
      <c r="I249" t="str">
        <f>VLOOKUP($A249,'ECOMMERS SALES'!$1:$500,MATCH('vlookup match'!I$1,ECOMMERS_SALES[#Headers],0))</f>
        <v>Premimum</v>
      </c>
      <c r="J249" t="str">
        <f>VLOOKUP($A249,'ECOMMERS SALES'!$1:$500,MATCH('vlookup match'!J$1,ECOMMERS_SALES[#Headers],0))</f>
        <v>COD</v>
      </c>
    </row>
    <row r="250" spans="1:10" x14ac:dyDescent="0.35">
      <c r="A250">
        <v>1249</v>
      </c>
      <c r="B250" t="str">
        <f>VLOOKUP($A250,'ECOMMERS SALES'!$1:$500,MATCH('vlookup match'!B$1,ECOMMERS_SALES[#Headers],0))</f>
        <v>07-09-2025</v>
      </c>
      <c r="C250" t="str">
        <f>VLOOKUP($A250,'ECOMMERS SALES'!$1:$500,MATCH('vlookup match'!C$1,ECOMMERS_SALES[#Headers],0))</f>
        <v>Smartwatch</v>
      </c>
      <c r="D250" t="str">
        <f>VLOOKUP($A250,'ECOMMERS SALES'!$1:$500,MATCH('vlookup match'!D$1,ECOMMERS_SALES[#Headers],0))</f>
        <v>Electronics</v>
      </c>
      <c r="E250">
        <f>VLOOKUP($A250,'ECOMMERS SALES'!$1:$500,MATCH('vlookup match'!E$1,ECOMMERS_SALES[#Headers],0))</f>
        <v>1</v>
      </c>
      <c r="F250">
        <f>VLOOKUP($A250,'ECOMMERS SALES'!$1:$500,MATCH('vlookup match'!F$1,ECOMMERS_SALES[#Headers],0))</f>
        <v>10698</v>
      </c>
      <c r="G250">
        <f>VLOOKUP($A250,'ECOMMERS SALES'!$1:$500,MATCH('vlookup match'!G$1,ECOMMERS_SALES[#Headers],0))</f>
        <v>10698</v>
      </c>
      <c r="H250" t="str">
        <f>VLOOKUP($A250,'ECOMMERS SALES'!$1:$500,MATCH('vlookup match'!H$1,ECOMMERS_SALES[#Headers],0))</f>
        <v>Delhi</v>
      </c>
      <c r="I250" t="str">
        <f>VLOOKUP($A250,'ECOMMERS SALES'!$1:$500,MATCH('vlookup match'!I$1,ECOMMERS_SALES[#Headers],0))</f>
        <v>New</v>
      </c>
      <c r="J250" t="str">
        <f>VLOOKUP($A250,'ECOMMERS SALES'!$1:$500,MATCH('vlookup match'!J$1,ECOMMERS_SALES[#Headers],0))</f>
        <v>Card</v>
      </c>
    </row>
    <row r="251" spans="1:10" x14ac:dyDescent="0.35">
      <c r="A251">
        <v>1250</v>
      </c>
      <c r="B251" t="str">
        <f>VLOOKUP($A251,'ECOMMERS SALES'!$1:$500,MATCH('vlookup match'!B$1,ECOMMERS_SALES[#Headers],0))</f>
        <v>08-09-2025</v>
      </c>
      <c r="C251" t="str">
        <f>VLOOKUP($A251,'ECOMMERS SALES'!$1:$500,MATCH('vlookup match'!C$1,ECOMMERS_SALES[#Headers],0))</f>
        <v>Water Bottle</v>
      </c>
      <c r="D251" t="str">
        <f>VLOOKUP($A251,'ECOMMERS SALES'!$1:$500,MATCH('vlookup match'!D$1,ECOMMERS_SALES[#Headers],0))</f>
        <v>Other</v>
      </c>
      <c r="E251">
        <f>VLOOKUP($A251,'ECOMMERS SALES'!$1:$500,MATCH('vlookup match'!E$1,ECOMMERS_SALES[#Headers],0))</f>
        <v>3</v>
      </c>
      <c r="F251">
        <f>VLOOKUP($A251,'ECOMMERS SALES'!$1:$500,MATCH('vlookup match'!F$1,ECOMMERS_SALES[#Headers],0))</f>
        <v>468</v>
      </c>
      <c r="G251">
        <f>VLOOKUP($A251,'ECOMMERS SALES'!$1:$500,MATCH('vlookup match'!G$1,ECOMMERS_SALES[#Headers],0))</f>
        <v>1404</v>
      </c>
      <c r="H251" t="str">
        <f>VLOOKUP($A251,'ECOMMERS SALES'!$1:$500,MATCH('vlookup match'!H$1,ECOMMERS_SALES[#Headers],0))</f>
        <v>Delhi</v>
      </c>
      <c r="I251" t="str">
        <f>VLOOKUP($A251,'ECOMMERS SALES'!$1:$500,MATCH('vlookup match'!I$1,ECOMMERS_SALES[#Headers],0))</f>
        <v>Premimum</v>
      </c>
      <c r="J251" t="str">
        <f>VLOOKUP($A251,'ECOMMERS SALES'!$1:$500,MATCH('vlookup match'!J$1,ECOMMERS_SALES[#Headers],0))</f>
        <v>UPI</v>
      </c>
    </row>
    <row r="252" spans="1:10" x14ac:dyDescent="0.35">
      <c r="A252">
        <v>1251</v>
      </c>
      <c r="B252" t="str">
        <f>VLOOKUP($A252,'ECOMMERS SALES'!$1:$500,MATCH('vlookup match'!B$1,ECOMMERS_SALES[#Headers],0))</f>
        <v>09-09-2025</v>
      </c>
      <c r="C252" t="str">
        <f>VLOOKUP($A252,'ECOMMERS SALES'!$1:$500,MATCH('vlookup match'!C$1,ECOMMERS_SALES[#Headers],0))</f>
        <v>Laptop</v>
      </c>
      <c r="D252" t="str">
        <f>VLOOKUP($A252,'ECOMMERS SALES'!$1:$500,MATCH('vlookup match'!D$1,ECOMMERS_SALES[#Headers],0))</f>
        <v>Electronics</v>
      </c>
      <c r="E252">
        <f>VLOOKUP($A252,'ECOMMERS SALES'!$1:$500,MATCH('vlookup match'!E$1,ECOMMERS_SALES[#Headers],0))</f>
        <v>2</v>
      </c>
      <c r="F252">
        <f>VLOOKUP($A252,'ECOMMERS SALES'!$1:$500,MATCH('vlookup match'!F$1,ECOMMERS_SALES[#Headers],0))</f>
        <v>57310</v>
      </c>
      <c r="G252">
        <f>VLOOKUP($A252,'ECOMMERS SALES'!$1:$500,MATCH('vlookup match'!G$1,ECOMMERS_SALES[#Headers],0))</f>
        <v>114620</v>
      </c>
      <c r="H252" t="str">
        <f>VLOOKUP($A252,'ECOMMERS SALES'!$1:$500,MATCH('vlookup match'!H$1,ECOMMERS_SALES[#Headers],0))</f>
        <v>Pune</v>
      </c>
      <c r="I252" t="str">
        <f>VLOOKUP($A252,'ECOMMERS SALES'!$1:$500,MATCH('vlookup match'!I$1,ECOMMERS_SALES[#Headers],0))</f>
        <v>New</v>
      </c>
      <c r="J252" t="str">
        <f>VLOOKUP($A252,'ECOMMERS SALES'!$1:$500,MATCH('vlookup match'!J$1,ECOMMERS_SALES[#Headers],0))</f>
        <v>COD</v>
      </c>
    </row>
    <row r="253" spans="1:10" x14ac:dyDescent="0.35">
      <c r="A253">
        <v>1252</v>
      </c>
      <c r="B253" t="str">
        <f>VLOOKUP($A253,'ECOMMERS SALES'!$1:$500,MATCH('vlookup match'!B$1,ECOMMERS_SALES[#Headers],0))</f>
        <v>10-09-2025</v>
      </c>
      <c r="C253" t="str">
        <f>VLOOKUP($A253,'ECOMMERS SALES'!$1:$500,MATCH('vlookup match'!C$1,ECOMMERS_SALES[#Headers],0))</f>
        <v>Headphones</v>
      </c>
      <c r="D253" t="str">
        <f>VLOOKUP($A253,'ECOMMERS SALES'!$1:$500,MATCH('vlookup match'!D$1,ECOMMERS_SALES[#Headers],0))</f>
        <v>Electronics</v>
      </c>
      <c r="E253">
        <f>VLOOKUP($A253,'ECOMMERS SALES'!$1:$500,MATCH('vlookup match'!E$1,ECOMMERS_SALES[#Headers],0))</f>
        <v>1</v>
      </c>
      <c r="F253">
        <f>VLOOKUP($A253,'ECOMMERS SALES'!$1:$500,MATCH('vlookup match'!F$1,ECOMMERS_SALES[#Headers],0))</f>
        <v>1155</v>
      </c>
      <c r="G253">
        <f>VLOOKUP($A253,'ECOMMERS SALES'!$1:$500,MATCH('vlookup match'!G$1,ECOMMERS_SALES[#Headers],0))</f>
        <v>1155</v>
      </c>
      <c r="H253" t="str">
        <f>VLOOKUP($A253,'ECOMMERS SALES'!$1:$500,MATCH('vlookup match'!H$1,ECOMMERS_SALES[#Headers],0))</f>
        <v>Mumbai</v>
      </c>
      <c r="I253" t="str">
        <f>VLOOKUP($A253,'ECOMMERS SALES'!$1:$500,MATCH('vlookup match'!I$1,ECOMMERS_SALES[#Headers],0))</f>
        <v>New</v>
      </c>
      <c r="J253" t="str">
        <f>VLOOKUP($A253,'ECOMMERS SALES'!$1:$500,MATCH('vlookup match'!J$1,ECOMMERS_SALES[#Headers],0))</f>
        <v>COD</v>
      </c>
    </row>
    <row r="254" spans="1:10" x14ac:dyDescent="0.35">
      <c r="A254">
        <v>1253</v>
      </c>
      <c r="B254" t="str">
        <f>VLOOKUP($A254,'ECOMMERS SALES'!$1:$500,MATCH('vlookup match'!B$1,ECOMMERS_SALES[#Headers],0))</f>
        <v>11-09-2025</v>
      </c>
      <c r="C254" t="str">
        <f>VLOOKUP($A254,'ECOMMERS SALES'!$1:$500,MATCH('vlookup match'!C$1,ECOMMERS_SALES[#Headers],0))</f>
        <v>Shoes</v>
      </c>
      <c r="D254" t="str">
        <f>VLOOKUP($A254,'ECOMMERS SALES'!$1:$500,MATCH('vlookup match'!D$1,ECOMMERS_SALES[#Headers],0))</f>
        <v>Fashion</v>
      </c>
      <c r="E254">
        <f>VLOOKUP($A254,'ECOMMERS SALES'!$1:$500,MATCH('vlookup match'!E$1,ECOMMERS_SALES[#Headers],0))</f>
        <v>1</v>
      </c>
      <c r="F254">
        <f>VLOOKUP($A254,'ECOMMERS SALES'!$1:$500,MATCH('vlookup match'!F$1,ECOMMERS_SALES[#Headers],0))</f>
        <v>3955</v>
      </c>
      <c r="G254">
        <f>VLOOKUP($A254,'ECOMMERS SALES'!$1:$500,MATCH('vlookup match'!G$1,ECOMMERS_SALES[#Headers],0))</f>
        <v>3955</v>
      </c>
      <c r="H254" t="str">
        <f>VLOOKUP($A254,'ECOMMERS SALES'!$1:$500,MATCH('vlookup match'!H$1,ECOMMERS_SALES[#Headers],0))</f>
        <v>Pune</v>
      </c>
      <c r="I254" t="str">
        <f>VLOOKUP($A254,'ECOMMERS SALES'!$1:$500,MATCH('vlookup match'!I$1,ECOMMERS_SALES[#Headers],0))</f>
        <v>New</v>
      </c>
      <c r="J254" t="str">
        <f>VLOOKUP($A254,'ECOMMERS SALES'!$1:$500,MATCH('vlookup match'!J$1,ECOMMERS_SALES[#Headers],0))</f>
        <v>UPI</v>
      </c>
    </row>
    <row r="255" spans="1:10" x14ac:dyDescent="0.35">
      <c r="A255">
        <v>1254</v>
      </c>
      <c r="B255" t="str">
        <f>VLOOKUP($A255,'ECOMMERS SALES'!$1:$500,MATCH('vlookup match'!B$1,ECOMMERS_SALES[#Headers],0))</f>
        <v>12-09-2025</v>
      </c>
      <c r="C255" t="str">
        <f>VLOOKUP($A255,'ECOMMERS SALES'!$1:$500,MATCH('vlookup match'!C$1,ECOMMERS_SALES[#Headers],0))</f>
        <v>Watch</v>
      </c>
      <c r="D255" t="str">
        <f>VLOOKUP($A255,'ECOMMERS SALES'!$1:$500,MATCH('vlookup match'!D$1,ECOMMERS_SALES[#Headers],0))</f>
        <v>Other</v>
      </c>
      <c r="E255">
        <f>VLOOKUP($A255,'ECOMMERS SALES'!$1:$500,MATCH('vlookup match'!E$1,ECOMMERS_SALES[#Headers],0))</f>
        <v>2</v>
      </c>
      <c r="F255">
        <f>VLOOKUP($A255,'ECOMMERS SALES'!$1:$500,MATCH('vlookup match'!F$1,ECOMMERS_SALES[#Headers],0))</f>
        <v>11560</v>
      </c>
      <c r="G255">
        <f>VLOOKUP($A255,'ECOMMERS SALES'!$1:$500,MATCH('vlookup match'!G$1,ECOMMERS_SALES[#Headers],0))</f>
        <v>23120</v>
      </c>
      <c r="H255" t="str">
        <f>VLOOKUP($A255,'ECOMMERS SALES'!$1:$500,MATCH('vlookup match'!H$1,ECOMMERS_SALES[#Headers],0))</f>
        <v>Pune</v>
      </c>
      <c r="I255" t="str">
        <f>VLOOKUP($A255,'ECOMMERS SALES'!$1:$500,MATCH('vlookup match'!I$1,ECOMMERS_SALES[#Headers],0))</f>
        <v>Returning</v>
      </c>
      <c r="J255" t="str">
        <f>VLOOKUP($A255,'ECOMMERS SALES'!$1:$500,MATCH('vlookup match'!J$1,ECOMMERS_SALES[#Headers],0))</f>
        <v>COD</v>
      </c>
    </row>
    <row r="256" spans="1:10" x14ac:dyDescent="0.35">
      <c r="A256">
        <v>1255</v>
      </c>
      <c r="B256" t="str">
        <f>VLOOKUP($A256,'ECOMMERS SALES'!$1:$500,MATCH('vlookup match'!B$1,ECOMMERS_SALES[#Headers],0))</f>
        <v>13-09-2025</v>
      </c>
      <c r="C256" t="str">
        <f>VLOOKUP($A256,'ECOMMERS SALES'!$1:$500,MATCH('vlookup match'!C$1,ECOMMERS_SALES[#Headers],0))</f>
        <v>Mobile Case</v>
      </c>
      <c r="D256" t="str">
        <f>VLOOKUP($A256,'ECOMMERS SALES'!$1:$500,MATCH('vlookup match'!D$1,ECOMMERS_SALES[#Headers],0))</f>
        <v>Other</v>
      </c>
      <c r="E256">
        <f>VLOOKUP($A256,'ECOMMERS SALES'!$1:$500,MATCH('vlookup match'!E$1,ECOMMERS_SALES[#Headers],0))</f>
        <v>3</v>
      </c>
      <c r="F256">
        <f>VLOOKUP($A256,'ECOMMERS SALES'!$1:$500,MATCH('vlookup match'!F$1,ECOMMERS_SALES[#Headers],0))</f>
        <v>457</v>
      </c>
      <c r="G256">
        <f>VLOOKUP($A256,'ECOMMERS SALES'!$1:$500,MATCH('vlookup match'!G$1,ECOMMERS_SALES[#Headers],0))</f>
        <v>1371</v>
      </c>
      <c r="H256" t="str">
        <f>VLOOKUP($A256,'ECOMMERS SALES'!$1:$500,MATCH('vlookup match'!H$1,ECOMMERS_SALES[#Headers],0))</f>
        <v>Pune</v>
      </c>
      <c r="I256" t="str">
        <f>VLOOKUP($A256,'ECOMMERS SALES'!$1:$500,MATCH('vlookup match'!I$1,ECOMMERS_SALES[#Headers],0))</f>
        <v>New</v>
      </c>
      <c r="J256" t="str">
        <f>VLOOKUP($A256,'ECOMMERS SALES'!$1:$500,MATCH('vlookup match'!J$1,ECOMMERS_SALES[#Headers],0))</f>
        <v>UPI</v>
      </c>
    </row>
    <row r="257" spans="1:10" x14ac:dyDescent="0.35">
      <c r="A257">
        <v>1256</v>
      </c>
      <c r="B257" t="str">
        <f>VLOOKUP($A257,'ECOMMERS SALES'!$1:$500,MATCH('vlookup match'!B$1,ECOMMERS_SALES[#Headers],0))</f>
        <v>14-09-2025</v>
      </c>
      <c r="C257" t="str">
        <f>VLOOKUP($A257,'ECOMMERS SALES'!$1:$500,MATCH('vlookup match'!C$1,ECOMMERS_SALES[#Headers],0))</f>
        <v>Tablet</v>
      </c>
      <c r="D257" t="str">
        <f>VLOOKUP($A257,'ECOMMERS SALES'!$1:$500,MATCH('vlookup match'!D$1,ECOMMERS_SALES[#Headers],0))</f>
        <v>Electronics</v>
      </c>
      <c r="E257">
        <f>VLOOKUP($A257,'ECOMMERS SALES'!$1:$500,MATCH('vlookup match'!E$1,ECOMMERS_SALES[#Headers],0))</f>
        <v>2</v>
      </c>
      <c r="F257">
        <f>VLOOKUP($A257,'ECOMMERS SALES'!$1:$500,MATCH('vlookup match'!F$1,ECOMMERS_SALES[#Headers],0))</f>
        <v>22337</v>
      </c>
      <c r="G257">
        <f>VLOOKUP($A257,'ECOMMERS SALES'!$1:$500,MATCH('vlookup match'!G$1,ECOMMERS_SALES[#Headers],0))</f>
        <v>44674</v>
      </c>
      <c r="H257" t="str">
        <f>VLOOKUP($A257,'ECOMMERS SALES'!$1:$500,MATCH('vlookup match'!H$1,ECOMMERS_SALES[#Headers],0))</f>
        <v>Mumbai</v>
      </c>
      <c r="I257" t="str">
        <f>VLOOKUP($A257,'ECOMMERS SALES'!$1:$500,MATCH('vlookup match'!I$1,ECOMMERS_SALES[#Headers],0))</f>
        <v>New</v>
      </c>
      <c r="J257" t="str">
        <f>VLOOKUP($A257,'ECOMMERS SALES'!$1:$500,MATCH('vlookup match'!J$1,ECOMMERS_SALES[#Headers],0))</f>
        <v>Card</v>
      </c>
    </row>
    <row r="258" spans="1:10" x14ac:dyDescent="0.35">
      <c r="A258">
        <v>1257</v>
      </c>
      <c r="B258" t="str">
        <f>VLOOKUP($A258,'ECOMMERS SALES'!$1:$500,MATCH('vlookup match'!B$1,ECOMMERS_SALES[#Headers],0))</f>
        <v>15-09-2025</v>
      </c>
      <c r="C258" t="str">
        <f>VLOOKUP($A258,'ECOMMERS SALES'!$1:$500,MATCH('vlookup match'!C$1,ECOMMERS_SALES[#Headers],0))</f>
        <v>Book</v>
      </c>
      <c r="D258" t="str">
        <f>VLOOKUP($A258,'ECOMMERS SALES'!$1:$500,MATCH('vlookup match'!D$1,ECOMMERS_SALES[#Headers],0))</f>
        <v>Books</v>
      </c>
      <c r="E258">
        <f>VLOOKUP($A258,'ECOMMERS SALES'!$1:$500,MATCH('vlookup match'!E$1,ECOMMERS_SALES[#Headers],0))</f>
        <v>5</v>
      </c>
      <c r="F258">
        <f>VLOOKUP($A258,'ECOMMERS SALES'!$1:$500,MATCH('vlookup match'!F$1,ECOMMERS_SALES[#Headers],0))</f>
        <v>379</v>
      </c>
      <c r="G258">
        <f>VLOOKUP($A258,'ECOMMERS SALES'!$1:$500,MATCH('vlookup match'!G$1,ECOMMERS_SALES[#Headers],0))</f>
        <v>1895</v>
      </c>
      <c r="H258" t="str">
        <f>VLOOKUP($A258,'ECOMMERS SALES'!$1:$500,MATCH('vlookup match'!H$1,ECOMMERS_SALES[#Headers],0))</f>
        <v>Mumbai</v>
      </c>
      <c r="I258" t="str">
        <f>VLOOKUP($A258,'ECOMMERS SALES'!$1:$500,MATCH('vlookup match'!I$1,ECOMMERS_SALES[#Headers],0))</f>
        <v>Returning</v>
      </c>
      <c r="J258" t="str">
        <f>VLOOKUP($A258,'ECOMMERS SALES'!$1:$500,MATCH('vlookup match'!J$1,ECOMMERS_SALES[#Headers],0))</f>
        <v>COD</v>
      </c>
    </row>
    <row r="259" spans="1:10" x14ac:dyDescent="0.35">
      <c r="A259">
        <v>1258</v>
      </c>
      <c r="B259" t="str">
        <f>VLOOKUP($A259,'ECOMMERS SALES'!$1:$500,MATCH('vlookup match'!B$1,ECOMMERS_SALES[#Headers],0))</f>
        <v>16-09-2025</v>
      </c>
      <c r="C259" t="str">
        <f>VLOOKUP($A259,'ECOMMERS SALES'!$1:$500,MATCH('vlookup match'!C$1,ECOMMERS_SALES[#Headers],0))</f>
        <v>Backpack</v>
      </c>
      <c r="D259" t="str">
        <f>VLOOKUP($A259,'ECOMMERS SALES'!$1:$500,MATCH('vlookup match'!D$1,ECOMMERS_SALES[#Headers],0))</f>
        <v>Fashion</v>
      </c>
      <c r="E259">
        <f>VLOOKUP($A259,'ECOMMERS SALES'!$1:$500,MATCH('vlookup match'!E$1,ECOMMERS_SALES[#Headers],0))</f>
        <v>5</v>
      </c>
      <c r="F259">
        <f>VLOOKUP($A259,'ECOMMERS SALES'!$1:$500,MATCH('vlookup match'!F$1,ECOMMERS_SALES[#Headers],0))</f>
        <v>667</v>
      </c>
      <c r="G259">
        <f>VLOOKUP($A259,'ECOMMERS SALES'!$1:$500,MATCH('vlookup match'!G$1,ECOMMERS_SALES[#Headers],0))</f>
        <v>3335</v>
      </c>
      <c r="H259" t="str">
        <f>VLOOKUP($A259,'ECOMMERS SALES'!$1:$500,MATCH('vlookup match'!H$1,ECOMMERS_SALES[#Headers],0))</f>
        <v>Chennai</v>
      </c>
      <c r="I259" t="str">
        <f>VLOOKUP($A259,'ECOMMERS SALES'!$1:$500,MATCH('vlookup match'!I$1,ECOMMERS_SALES[#Headers],0))</f>
        <v>New</v>
      </c>
      <c r="J259" t="str">
        <f>VLOOKUP($A259,'ECOMMERS SALES'!$1:$500,MATCH('vlookup match'!J$1,ECOMMERS_SALES[#Headers],0))</f>
        <v>Card</v>
      </c>
    </row>
    <row r="260" spans="1:10" x14ac:dyDescent="0.35">
      <c r="A260">
        <v>1259</v>
      </c>
      <c r="B260" t="str">
        <f>VLOOKUP($A260,'ECOMMERS SALES'!$1:$500,MATCH('vlookup match'!B$1,ECOMMERS_SALES[#Headers],0))</f>
        <v>17-09-2025</v>
      </c>
      <c r="C260" t="str">
        <f>VLOOKUP($A260,'ECOMMERS SALES'!$1:$500,MATCH('vlookup match'!C$1,ECOMMERS_SALES[#Headers],0))</f>
        <v>Smartwatch</v>
      </c>
      <c r="D260" t="str">
        <f>VLOOKUP($A260,'ECOMMERS SALES'!$1:$500,MATCH('vlookup match'!D$1,ECOMMERS_SALES[#Headers],0))</f>
        <v>Electronics</v>
      </c>
      <c r="E260">
        <f>VLOOKUP($A260,'ECOMMERS SALES'!$1:$500,MATCH('vlookup match'!E$1,ECOMMERS_SALES[#Headers],0))</f>
        <v>2</v>
      </c>
      <c r="F260">
        <f>VLOOKUP($A260,'ECOMMERS SALES'!$1:$500,MATCH('vlookup match'!F$1,ECOMMERS_SALES[#Headers],0))</f>
        <v>13263</v>
      </c>
      <c r="G260">
        <f>VLOOKUP($A260,'ECOMMERS SALES'!$1:$500,MATCH('vlookup match'!G$1,ECOMMERS_SALES[#Headers],0))</f>
        <v>26526</v>
      </c>
      <c r="H260" t="str">
        <f>VLOOKUP($A260,'ECOMMERS SALES'!$1:$500,MATCH('vlookup match'!H$1,ECOMMERS_SALES[#Headers],0))</f>
        <v>Hyderabad</v>
      </c>
      <c r="I260" t="str">
        <f>VLOOKUP($A260,'ECOMMERS SALES'!$1:$500,MATCH('vlookup match'!I$1,ECOMMERS_SALES[#Headers],0))</f>
        <v>New</v>
      </c>
      <c r="J260" t="str">
        <f>VLOOKUP($A260,'ECOMMERS SALES'!$1:$500,MATCH('vlookup match'!J$1,ECOMMERS_SALES[#Headers],0))</f>
        <v>UPI</v>
      </c>
    </row>
    <row r="261" spans="1:10" x14ac:dyDescent="0.35">
      <c r="A261">
        <v>1260</v>
      </c>
      <c r="B261" t="str">
        <f>VLOOKUP($A261,'ECOMMERS SALES'!$1:$500,MATCH('vlookup match'!B$1,ECOMMERS_SALES[#Headers],0))</f>
        <v>18-09-2025</v>
      </c>
      <c r="C261" t="str">
        <f>VLOOKUP($A261,'ECOMMERS SALES'!$1:$500,MATCH('vlookup match'!C$1,ECOMMERS_SALES[#Headers],0))</f>
        <v>Water Bottle</v>
      </c>
      <c r="D261" t="str">
        <f>VLOOKUP($A261,'ECOMMERS SALES'!$1:$500,MATCH('vlookup match'!D$1,ECOMMERS_SALES[#Headers],0))</f>
        <v>Other</v>
      </c>
      <c r="E261">
        <f>VLOOKUP($A261,'ECOMMERS SALES'!$1:$500,MATCH('vlookup match'!E$1,ECOMMERS_SALES[#Headers],0))</f>
        <v>4</v>
      </c>
      <c r="F261">
        <f>VLOOKUP($A261,'ECOMMERS SALES'!$1:$500,MATCH('vlookup match'!F$1,ECOMMERS_SALES[#Headers],0))</f>
        <v>503</v>
      </c>
      <c r="G261">
        <f>VLOOKUP($A261,'ECOMMERS SALES'!$1:$500,MATCH('vlookup match'!G$1,ECOMMERS_SALES[#Headers],0))</f>
        <v>2012</v>
      </c>
      <c r="H261" t="str">
        <f>VLOOKUP($A261,'ECOMMERS SALES'!$1:$500,MATCH('vlookup match'!H$1,ECOMMERS_SALES[#Headers],0))</f>
        <v>Pune</v>
      </c>
      <c r="I261" t="str">
        <f>VLOOKUP($A261,'ECOMMERS SALES'!$1:$500,MATCH('vlookup match'!I$1,ECOMMERS_SALES[#Headers],0))</f>
        <v>Premimum</v>
      </c>
      <c r="J261" t="str">
        <f>VLOOKUP($A261,'ECOMMERS SALES'!$1:$500,MATCH('vlookup match'!J$1,ECOMMERS_SALES[#Headers],0))</f>
        <v>UPI</v>
      </c>
    </row>
    <row r="262" spans="1:10" x14ac:dyDescent="0.35">
      <c r="A262">
        <v>1261</v>
      </c>
      <c r="B262" t="str">
        <f>VLOOKUP($A262,'ECOMMERS SALES'!$1:$500,MATCH('vlookup match'!B$1,ECOMMERS_SALES[#Headers],0))</f>
        <v>19-09-2025</v>
      </c>
      <c r="C262" t="str">
        <f>VLOOKUP($A262,'ECOMMERS SALES'!$1:$500,MATCH('vlookup match'!C$1,ECOMMERS_SALES[#Headers],0))</f>
        <v>Laptop</v>
      </c>
      <c r="D262" t="str">
        <f>VLOOKUP($A262,'ECOMMERS SALES'!$1:$500,MATCH('vlookup match'!D$1,ECOMMERS_SALES[#Headers],0))</f>
        <v>Electronics</v>
      </c>
      <c r="E262">
        <f>VLOOKUP($A262,'ECOMMERS SALES'!$1:$500,MATCH('vlookup match'!E$1,ECOMMERS_SALES[#Headers],0))</f>
        <v>1</v>
      </c>
      <c r="F262">
        <f>VLOOKUP($A262,'ECOMMERS SALES'!$1:$500,MATCH('vlookup match'!F$1,ECOMMERS_SALES[#Headers],0))</f>
        <v>53499</v>
      </c>
      <c r="G262">
        <f>VLOOKUP($A262,'ECOMMERS SALES'!$1:$500,MATCH('vlookup match'!G$1,ECOMMERS_SALES[#Headers],0))</f>
        <v>53499</v>
      </c>
      <c r="H262" t="str">
        <f>VLOOKUP($A262,'ECOMMERS SALES'!$1:$500,MATCH('vlookup match'!H$1,ECOMMERS_SALES[#Headers],0))</f>
        <v>Chennai</v>
      </c>
      <c r="I262" t="str">
        <f>VLOOKUP($A262,'ECOMMERS SALES'!$1:$500,MATCH('vlookup match'!I$1,ECOMMERS_SALES[#Headers],0))</f>
        <v>Premimum</v>
      </c>
      <c r="J262" t="str">
        <f>VLOOKUP($A262,'ECOMMERS SALES'!$1:$500,MATCH('vlookup match'!J$1,ECOMMERS_SALES[#Headers],0))</f>
        <v>Card</v>
      </c>
    </row>
    <row r="263" spans="1:10" x14ac:dyDescent="0.35">
      <c r="A263">
        <v>1262</v>
      </c>
      <c r="B263" t="str">
        <f>VLOOKUP($A263,'ECOMMERS SALES'!$1:$500,MATCH('vlookup match'!B$1,ECOMMERS_SALES[#Headers],0))</f>
        <v>20-09-2025</v>
      </c>
      <c r="C263" t="str">
        <f>VLOOKUP($A263,'ECOMMERS SALES'!$1:$500,MATCH('vlookup match'!C$1,ECOMMERS_SALES[#Headers],0))</f>
        <v>Headphones</v>
      </c>
      <c r="D263" t="str">
        <f>VLOOKUP($A263,'ECOMMERS SALES'!$1:$500,MATCH('vlookup match'!D$1,ECOMMERS_SALES[#Headers],0))</f>
        <v>Electronics</v>
      </c>
      <c r="E263">
        <f>VLOOKUP($A263,'ECOMMERS SALES'!$1:$500,MATCH('vlookup match'!E$1,ECOMMERS_SALES[#Headers],0))</f>
        <v>1</v>
      </c>
      <c r="F263">
        <f>VLOOKUP($A263,'ECOMMERS SALES'!$1:$500,MATCH('vlookup match'!F$1,ECOMMERS_SALES[#Headers],0))</f>
        <v>3910</v>
      </c>
      <c r="G263">
        <f>VLOOKUP($A263,'ECOMMERS SALES'!$1:$500,MATCH('vlookup match'!G$1,ECOMMERS_SALES[#Headers],0))</f>
        <v>3910</v>
      </c>
      <c r="H263" t="str">
        <f>VLOOKUP($A263,'ECOMMERS SALES'!$1:$500,MATCH('vlookup match'!H$1,ECOMMERS_SALES[#Headers],0))</f>
        <v>Bangalore</v>
      </c>
      <c r="I263" t="str">
        <f>VLOOKUP($A263,'ECOMMERS SALES'!$1:$500,MATCH('vlookup match'!I$1,ECOMMERS_SALES[#Headers],0))</f>
        <v>Premimum</v>
      </c>
      <c r="J263" t="str">
        <f>VLOOKUP($A263,'ECOMMERS SALES'!$1:$500,MATCH('vlookup match'!J$1,ECOMMERS_SALES[#Headers],0))</f>
        <v>UPI</v>
      </c>
    </row>
    <row r="264" spans="1:10" x14ac:dyDescent="0.35">
      <c r="A264">
        <v>1263</v>
      </c>
      <c r="B264" t="str">
        <f>VLOOKUP($A264,'ECOMMERS SALES'!$1:$500,MATCH('vlookup match'!B$1,ECOMMERS_SALES[#Headers],0))</f>
        <v>21-09-2025</v>
      </c>
      <c r="C264" t="str">
        <f>VLOOKUP($A264,'ECOMMERS SALES'!$1:$500,MATCH('vlookup match'!C$1,ECOMMERS_SALES[#Headers],0))</f>
        <v>Shoes</v>
      </c>
      <c r="D264" t="str">
        <f>VLOOKUP($A264,'ECOMMERS SALES'!$1:$500,MATCH('vlookup match'!D$1,ECOMMERS_SALES[#Headers],0))</f>
        <v>Fashion</v>
      </c>
      <c r="E264">
        <f>VLOOKUP($A264,'ECOMMERS SALES'!$1:$500,MATCH('vlookup match'!E$1,ECOMMERS_SALES[#Headers],0))</f>
        <v>1</v>
      </c>
      <c r="F264">
        <f>VLOOKUP($A264,'ECOMMERS SALES'!$1:$500,MATCH('vlookup match'!F$1,ECOMMERS_SALES[#Headers],0))</f>
        <v>3590</v>
      </c>
      <c r="G264">
        <f>VLOOKUP($A264,'ECOMMERS SALES'!$1:$500,MATCH('vlookup match'!G$1,ECOMMERS_SALES[#Headers],0))</f>
        <v>3590</v>
      </c>
      <c r="H264" t="str">
        <f>VLOOKUP($A264,'ECOMMERS SALES'!$1:$500,MATCH('vlookup match'!H$1,ECOMMERS_SALES[#Headers],0))</f>
        <v>Hyderabad</v>
      </c>
      <c r="I264" t="str">
        <f>VLOOKUP($A264,'ECOMMERS SALES'!$1:$500,MATCH('vlookup match'!I$1,ECOMMERS_SALES[#Headers],0))</f>
        <v>Returning</v>
      </c>
      <c r="J264" t="str">
        <f>VLOOKUP($A264,'ECOMMERS SALES'!$1:$500,MATCH('vlookup match'!J$1,ECOMMERS_SALES[#Headers],0))</f>
        <v>Card</v>
      </c>
    </row>
    <row r="265" spans="1:10" x14ac:dyDescent="0.35">
      <c r="A265">
        <v>1264</v>
      </c>
      <c r="B265" t="str">
        <f>VLOOKUP($A265,'ECOMMERS SALES'!$1:$500,MATCH('vlookup match'!B$1,ECOMMERS_SALES[#Headers],0))</f>
        <v>22-09-2025</v>
      </c>
      <c r="C265" t="str">
        <f>VLOOKUP($A265,'ECOMMERS SALES'!$1:$500,MATCH('vlookup match'!C$1,ECOMMERS_SALES[#Headers],0))</f>
        <v>Watch</v>
      </c>
      <c r="D265" t="str">
        <f>VLOOKUP($A265,'ECOMMERS SALES'!$1:$500,MATCH('vlookup match'!D$1,ECOMMERS_SALES[#Headers],0))</f>
        <v>Other</v>
      </c>
      <c r="E265">
        <f>VLOOKUP($A265,'ECOMMERS SALES'!$1:$500,MATCH('vlookup match'!E$1,ECOMMERS_SALES[#Headers],0))</f>
        <v>5</v>
      </c>
      <c r="F265">
        <f>VLOOKUP($A265,'ECOMMERS SALES'!$1:$500,MATCH('vlookup match'!F$1,ECOMMERS_SALES[#Headers],0))</f>
        <v>4354</v>
      </c>
      <c r="G265">
        <f>VLOOKUP($A265,'ECOMMERS SALES'!$1:$500,MATCH('vlookup match'!G$1,ECOMMERS_SALES[#Headers],0))</f>
        <v>21770</v>
      </c>
      <c r="H265" t="str">
        <f>VLOOKUP($A265,'ECOMMERS SALES'!$1:$500,MATCH('vlookup match'!H$1,ECOMMERS_SALES[#Headers],0))</f>
        <v>Bangalore</v>
      </c>
      <c r="I265" t="str">
        <f>VLOOKUP($A265,'ECOMMERS SALES'!$1:$500,MATCH('vlookup match'!I$1,ECOMMERS_SALES[#Headers],0))</f>
        <v>Returning</v>
      </c>
      <c r="J265" t="str">
        <f>VLOOKUP($A265,'ECOMMERS SALES'!$1:$500,MATCH('vlookup match'!J$1,ECOMMERS_SALES[#Headers],0))</f>
        <v>UPI</v>
      </c>
    </row>
    <row r="266" spans="1:10" x14ac:dyDescent="0.35">
      <c r="A266">
        <v>1265</v>
      </c>
      <c r="B266" t="str">
        <f>VLOOKUP($A266,'ECOMMERS SALES'!$1:$500,MATCH('vlookup match'!B$1,ECOMMERS_SALES[#Headers],0))</f>
        <v>23-09-2025</v>
      </c>
      <c r="C266" t="str">
        <f>VLOOKUP($A266,'ECOMMERS SALES'!$1:$500,MATCH('vlookup match'!C$1,ECOMMERS_SALES[#Headers],0))</f>
        <v>Mobile Case</v>
      </c>
      <c r="D266" t="str">
        <f>VLOOKUP($A266,'ECOMMERS SALES'!$1:$500,MATCH('vlookup match'!D$1,ECOMMERS_SALES[#Headers],0))</f>
        <v>Other</v>
      </c>
      <c r="E266">
        <f>VLOOKUP($A266,'ECOMMERS SALES'!$1:$500,MATCH('vlookup match'!E$1,ECOMMERS_SALES[#Headers],0))</f>
        <v>1</v>
      </c>
      <c r="F266">
        <f>VLOOKUP($A266,'ECOMMERS SALES'!$1:$500,MATCH('vlookup match'!F$1,ECOMMERS_SALES[#Headers],0))</f>
        <v>878</v>
      </c>
      <c r="G266">
        <f>VLOOKUP($A266,'ECOMMERS SALES'!$1:$500,MATCH('vlookup match'!G$1,ECOMMERS_SALES[#Headers],0))</f>
        <v>878</v>
      </c>
      <c r="H266" t="str">
        <f>VLOOKUP($A266,'ECOMMERS SALES'!$1:$500,MATCH('vlookup match'!H$1,ECOMMERS_SALES[#Headers],0))</f>
        <v>Chennai</v>
      </c>
      <c r="I266" t="str">
        <f>VLOOKUP($A266,'ECOMMERS SALES'!$1:$500,MATCH('vlookup match'!I$1,ECOMMERS_SALES[#Headers],0))</f>
        <v>Premimum</v>
      </c>
      <c r="J266" t="str">
        <f>VLOOKUP($A266,'ECOMMERS SALES'!$1:$500,MATCH('vlookup match'!J$1,ECOMMERS_SALES[#Headers],0))</f>
        <v>Card</v>
      </c>
    </row>
    <row r="267" spans="1:10" x14ac:dyDescent="0.35">
      <c r="A267">
        <v>1266</v>
      </c>
      <c r="B267" t="str">
        <f>VLOOKUP($A267,'ECOMMERS SALES'!$1:$500,MATCH('vlookup match'!B$1,ECOMMERS_SALES[#Headers],0))</f>
        <v>24-09-2025</v>
      </c>
      <c r="C267" t="str">
        <f>VLOOKUP($A267,'ECOMMERS SALES'!$1:$500,MATCH('vlookup match'!C$1,ECOMMERS_SALES[#Headers],0))</f>
        <v>Tablet</v>
      </c>
      <c r="D267" t="str">
        <f>VLOOKUP($A267,'ECOMMERS SALES'!$1:$500,MATCH('vlookup match'!D$1,ECOMMERS_SALES[#Headers],0))</f>
        <v>Electronics</v>
      </c>
      <c r="E267">
        <f>VLOOKUP($A267,'ECOMMERS SALES'!$1:$500,MATCH('vlookup match'!E$1,ECOMMERS_SALES[#Headers],0))</f>
        <v>1</v>
      </c>
      <c r="F267">
        <f>VLOOKUP($A267,'ECOMMERS SALES'!$1:$500,MATCH('vlookup match'!F$1,ECOMMERS_SALES[#Headers],0))</f>
        <v>28657</v>
      </c>
      <c r="G267">
        <f>VLOOKUP($A267,'ECOMMERS SALES'!$1:$500,MATCH('vlookup match'!G$1,ECOMMERS_SALES[#Headers],0))</f>
        <v>28657</v>
      </c>
      <c r="H267" t="str">
        <f>VLOOKUP($A267,'ECOMMERS SALES'!$1:$500,MATCH('vlookup match'!H$1,ECOMMERS_SALES[#Headers],0))</f>
        <v>Mumbai</v>
      </c>
      <c r="I267" t="str">
        <f>VLOOKUP($A267,'ECOMMERS SALES'!$1:$500,MATCH('vlookup match'!I$1,ECOMMERS_SALES[#Headers],0))</f>
        <v>Returning</v>
      </c>
      <c r="J267" t="str">
        <f>VLOOKUP($A267,'ECOMMERS SALES'!$1:$500,MATCH('vlookup match'!J$1,ECOMMERS_SALES[#Headers],0))</f>
        <v>COD</v>
      </c>
    </row>
    <row r="268" spans="1:10" x14ac:dyDescent="0.35">
      <c r="A268">
        <v>1267</v>
      </c>
      <c r="B268" t="str">
        <f>VLOOKUP($A268,'ECOMMERS SALES'!$1:$500,MATCH('vlookup match'!B$1,ECOMMERS_SALES[#Headers],0))</f>
        <v>25-09-2025</v>
      </c>
      <c r="C268" t="str">
        <f>VLOOKUP($A268,'ECOMMERS SALES'!$1:$500,MATCH('vlookup match'!C$1,ECOMMERS_SALES[#Headers],0))</f>
        <v>Book</v>
      </c>
      <c r="D268" t="str">
        <f>VLOOKUP($A268,'ECOMMERS SALES'!$1:$500,MATCH('vlookup match'!D$1,ECOMMERS_SALES[#Headers],0))</f>
        <v>Books</v>
      </c>
      <c r="E268">
        <f>VLOOKUP($A268,'ECOMMERS SALES'!$1:$500,MATCH('vlookup match'!E$1,ECOMMERS_SALES[#Headers],0))</f>
        <v>1</v>
      </c>
      <c r="F268">
        <f>VLOOKUP($A268,'ECOMMERS SALES'!$1:$500,MATCH('vlookup match'!F$1,ECOMMERS_SALES[#Headers],0))</f>
        <v>394</v>
      </c>
      <c r="G268">
        <f>VLOOKUP($A268,'ECOMMERS SALES'!$1:$500,MATCH('vlookup match'!G$1,ECOMMERS_SALES[#Headers],0))</f>
        <v>394</v>
      </c>
      <c r="H268" t="str">
        <f>VLOOKUP($A268,'ECOMMERS SALES'!$1:$500,MATCH('vlookup match'!H$1,ECOMMERS_SALES[#Headers],0))</f>
        <v>Delhi</v>
      </c>
      <c r="I268" t="str">
        <f>VLOOKUP($A268,'ECOMMERS SALES'!$1:$500,MATCH('vlookup match'!I$1,ECOMMERS_SALES[#Headers],0))</f>
        <v>Premimum</v>
      </c>
      <c r="J268" t="str">
        <f>VLOOKUP($A268,'ECOMMERS SALES'!$1:$500,MATCH('vlookup match'!J$1,ECOMMERS_SALES[#Headers],0))</f>
        <v>COD</v>
      </c>
    </row>
    <row r="269" spans="1:10" x14ac:dyDescent="0.35">
      <c r="A269">
        <v>1268</v>
      </c>
      <c r="B269" t="str">
        <f>VLOOKUP($A269,'ECOMMERS SALES'!$1:$500,MATCH('vlookup match'!B$1,ECOMMERS_SALES[#Headers],0))</f>
        <v>26-09-2025</v>
      </c>
      <c r="C269" t="str">
        <f>VLOOKUP($A269,'ECOMMERS SALES'!$1:$500,MATCH('vlookup match'!C$1,ECOMMERS_SALES[#Headers],0))</f>
        <v>Backpack</v>
      </c>
      <c r="D269" t="str">
        <f>VLOOKUP($A269,'ECOMMERS SALES'!$1:$500,MATCH('vlookup match'!D$1,ECOMMERS_SALES[#Headers],0))</f>
        <v>Fashion</v>
      </c>
      <c r="E269">
        <f>VLOOKUP($A269,'ECOMMERS SALES'!$1:$500,MATCH('vlookup match'!E$1,ECOMMERS_SALES[#Headers],0))</f>
        <v>3</v>
      </c>
      <c r="F269">
        <f>VLOOKUP($A269,'ECOMMERS SALES'!$1:$500,MATCH('vlookup match'!F$1,ECOMMERS_SALES[#Headers],0))</f>
        <v>1554</v>
      </c>
      <c r="G269">
        <f>VLOOKUP($A269,'ECOMMERS SALES'!$1:$500,MATCH('vlookup match'!G$1,ECOMMERS_SALES[#Headers],0))</f>
        <v>4662</v>
      </c>
      <c r="H269" t="str">
        <f>VLOOKUP($A269,'ECOMMERS SALES'!$1:$500,MATCH('vlookup match'!H$1,ECOMMERS_SALES[#Headers],0))</f>
        <v>Hyderabad</v>
      </c>
      <c r="I269" t="str">
        <f>VLOOKUP($A269,'ECOMMERS SALES'!$1:$500,MATCH('vlookup match'!I$1,ECOMMERS_SALES[#Headers],0))</f>
        <v>Premimum</v>
      </c>
      <c r="J269" t="str">
        <f>VLOOKUP($A269,'ECOMMERS SALES'!$1:$500,MATCH('vlookup match'!J$1,ECOMMERS_SALES[#Headers],0))</f>
        <v>UPI</v>
      </c>
    </row>
    <row r="270" spans="1:10" x14ac:dyDescent="0.35">
      <c r="A270">
        <v>1269</v>
      </c>
      <c r="B270" t="str">
        <f>VLOOKUP($A270,'ECOMMERS SALES'!$1:$500,MATCH('vlookup match'!B$1,ECOMMERS_SALES[#Headers],0))</f>
        <v>27-09-2025</v>
      </c>
      <c r="C270" t="str">
        <f>VLOOKUP($A270,'ECOMMERS SALES'!$1:$500,MATCH('vlookup match'!C$1,ECOMMERS_SALES[#Headers],0))</f>
        <v>Smartwatch</v>
      </c>
      <c r="D270" t="str">
        <f>VLOOKUP($A270,'ECOMMERS SALES'!$1:$500,MATCH('vlookup match'!D$1,ECOMMERS_SALES[#Headers],0))</f>
        <v>Electronics</v>
      </c>
      <c r="E270">
        <f>VLOOKUP($A270,'ECOMMERS SALES'!$1:$500,MATCH('vlookup match'!E$1,ECOMMERS_SALES[#Headers],0))</f>
        <v>1</v>
      </c>
      <c r="F270">
        <f>VLOOKUP($A270,'ECOMMERS SALES'!$1:$500,MATCH('vlookup match'!F$1,ECOMMERS_SALES[#Headers],0))</f>
        <v>4066</v>
      </c>
      <c r="G270">
        <f>VLOOKUP($A270,'ECOMMERS SALES'!$1:$500,MATCH('vlookup match'!G$1,ECOMMERS_SALES[#Headers],0))</f>
        <v>4066</v>
      </c>
      <c r="H270" t="str">
        <f>VLOOKUP($A270,'ECOMMERS SALES'!$1:$500,MATCH('vlookup match'!H$1,ECOMMERS_SALES[#Headers],0))</f>
        <v>Bangalore</v>
      </c>
      <c r="I270" t="str">
        <f>VLOOKUP($A270,'ECOMMERS SALES'!$1:$500,MATCH('vlookup match'!I$1,ECOMMERS_SALES[#Headers],0))</f>
        <v>Returning</v>
      </c>
      <c r="J270" t="str">
        <f>VLOOKUP($A270,'ECOMMERS SALES'!$1:$500,MATCH('vlookup match'!J$1,ECOMMERS_SALES[#Headers],0))</f>
        <v>UPI</v>
      </c>
    </row>
    <row r="271" spans="1:10" x14ac:dyDescent="0.35">
      <c r="A271">
        <v>1270</v>
      </c>
      <c r="B271" t="str">
        <f>VLOOKUP($A271,'ECOMMERS SALES'!$1:$500,MATCH('vlookup match'!B$1,ECOMMERS_SALES[#Headers],0))</f>
        <v>28-09-2025</v>
      </c>
      <c r="C271" t="str">
        <f>VLOOKUP($A271,'ECOMMERS SALES'!$1:$500,MATCH('vlookup match'!C$1,ECOMMERS_SALES[#Headers],0))</f>
        <v>Water Bottle</v>
      </c>
      <c r="D271" t="str">
        <f>VLOOKUP($A271,'ECOMMERS SALES'!$1:$500,MATCH('vlookup match'!D$1,ECOMMERS_SALES[#Headers],0))</f>
        <v>Other</v>
      </c>
      <c r="E271">
        <f>VLOOKUP($A271,'ECOMMERS SALES'!$1:$500,MATCH('vlookup match'!E$1,ECOMMERS_SALES[#Headers],0))</f>
        <v>5</v>
      </c>
      <c r="F271">
        <f>VLOOKUP($A271,'ECOMMERS SALES'!$1:$500,MATCH('vlookup match'!F$1,ECOMMERS_SALES[#Headers],0))</f>
        <v>210</v>
      </c>
      <c r="G271">
        <f>VLOOKUP($A271,'ECOMMERS SALES'!$1:$500,MATCH('vlookup match'!G$1,ECOMMERS_SALES[#Headers],0))</f>
        <v>1050</v>
      </c>
      <c r="H271" t="str">
        <f>VLOOKUP($A271,'ECOMMERS SALES'!$1:$500,MATCH('vlookup match'!H$1,ECOMMERS_SALES[#Headers],0))</f>
        <v>Delhi</v>
      </c>
      <c r="I271" t="str">
        <f>VLOOKUP($A271,'ECOMMERS SALES'!$1:$500,MATCH('vlookup match'!I$1,ECOMMERS_SALES[#Headers],0))</f>
        <v>New</v>
      </c>
      <c r="J271" t="str">
        <f>VLOOKUP($A271,'ECOMMERS SALES'!$1:$500,MATCH('vlookup match'!J$1,ECOMMERS_SALES[#Headers],0))</f>
        <v>UPI</v>
      </c>
    </row>
    <row r="272" spans="1:10" x14ac:dyDescent="0.35">
      <c r="A272">
        <v>1271</v>
      </c>
      <c r="B272" t="str">
        <f>VLOOKUP($A272,'ECOMMERS SALES'!$1:$500,MATCH('vlookup match'!B$1,ECOMMERS_SALES[#Headers],0))</f>
        <v>29-09-2025</v>
      </c>
      <c r="C272" t="str">
        <f>VLOOKUP($A272,'ECOMMERS SALES'!$1:$500,MATCH('vlookup match'!C$1,ECOMMERS_SALES[#Headers],0))</f>
        <v>Laptop</v>
      </c>
      <c r="D272" t="str">
        <f>VLOOKUP($A272,'ECOMMERS SALES'!$1:$500,MATCH('vlookup match'!D$1,ECOMMERS_SALES[#Headers],0))</f>
        <v>Electronics</v>
      </c>
      <c r="E272">
        <f>VLOOKUP($A272,'ECOMMERS SALES'!$1:$500,MATCH('vlookup match'!E$1,ECOMMERS_SALES[#Headers],0))</f>
        <v>1</v>
      </c>
      <c r="F272">
        <f>VLOOKUP($A272,'ECOMMERS SALES'!$1:$500,MATCH('vlookup match'!F$1,ECOMMERS_SALES[#Headers],0))</f>
        <v>40792</v>
      </c>
      <c r="G272">
        <f>VLOOKUP($A272,'ECOMMERS SALES'!$1:$500,MATCH('vlookup match'!G$1,ECOMMERS_SALES[#Headers],0))</f>
        <v>40792</v>
      </c>
      <c r="H272" t="str">
        <f>VLOOKUP($A272,'ECOMMERS SALES'!$1:$500,MATCH('vlookup match'!H$1,ECOMMERS_SALES[#Headers],0))</f>
        <v>Bangalore</v>
      </c>
      <c r="I272" t="str">
        <f>VLOOKUP($A272,'ECOMMERS SALES'!$1:$500,MATCH('vlookup match'!I$1,ECOMMERS_SALES[#Headers],0))</f>
        <v>Returning</v>
      </c>
      <c r="J272" t="str">
        <f>VLOOKUP($A272,'ECOMMERS SALES'!$1:$500,MATCH('vlookup match'!J$1,ECOMMERS_SALES[#Headers],0))</f>
        <v>Card</v>
      </c>
    </row>
    <row r="273" spans="1:10" x14ac:dyDescent="0.35">
      <c r="A273">
        <v>1272</v>
      </c>
      <c r="B273" t="str">
        <f>VLOOKUP($A273,'ECOMMERS SALES'!$1:$500,MATCH('vlookup match'!B$1,ECOMMERS_SALES[#Headers],0))</f>
        <v>30-09-2025</v>
      </c>
      <c r="C273" t="str">
        <f>VLOOKUP($A273,'ECOMMERS SALES'!$1:$500,MATCH('vlookup match'!C$1,ECOMMERS_SALES[#Headers],0))</f>
        <v>Headphones</v>
      </c>
      <c r="D273" t="str">
        <f>VLOOKUP($A273,'ECOMMERS SALES'!$1:$500,MATCH('vlookup match'!D$1,ECOMMERS_SALES[#Headers],0))</f>
        <v>Electronics</v>
      </c>
      <c r="E273">
        <f>VLOOKUP($A273,'ECOMMERS SALES'!$1:$500,MATCH('vlookup match'!E$1,ECOMMERS_SALES[#Headers],0))</f>
        <v>2</v>
      </c>
      <c r="F273">
        <f>VLOOKUP($A273,'ECOMMERS SALES'!$1:$500,MATCH('vlookup match'!F$1,ECOMMERS_SALES[#Headers],0))</f>
        <v>3380</v>
      </c>
      <c r="G273">
        <f>VLOOKUP($A273,'ECOMMERS SALES'!$1:$500,MATCH('vlookup match'!G$1,ECOMMERS_SALES[#Headers],0))</f>
        <v>6760</v>
      </c>
      <c r="H273" t="str">
        <f>VLOOKUP($A273,'ECOMMERS SALES'!$1:$500,MATCH('vlookup match'!H$1,ECOMMERS_SALES[#Headers],0))</f>
        <v>Delhi</v>
      </c>
      <c r="I273" t="str">
        <f>VLOOKUP($A273,'ECOMMERS SALES'!$1:$500,MATCH('vlookup match'!I$1,ECOMMERS_SALES[#Headers],0))</f>
        <v>New</v>
      </c>
      <c r="J273" t="str">
        <f>VLOOKUP($A273,'ECOMMERS SALES'!$1:$500,MATCH('vlookup match'!J$1,ECOMMERS_SALES[#Headers],0))</f>
        <v>Card</v>
      </c>
    </row>
    <row r="274" spans="1:10" x14ac:dyDescent="0.35">
      <c r="A274">
        <v>1273</v>
      </c>
      <c r="B274" t="str">
        <f>VLOOKUP($A274,'ECOMMERS SALES'!$1:$500,MATCH('vlookup match'!B$1,ECOMMERS_SALES[#Headers],0))</f>
        <v>01-10-2025</v>
      </c>
      <c r="C274" t="str">
        <f>VLOOKUP($A274,'ECOMMERS SALES'!$1:$500,MATCH('vlookup match'!C$1,ECOMMERS_SALES[#Headers],0))</f>
        <v>Shoes</v>
      </c>
      <c r="D274" t="str">
        <f>VLOOKUP($A274,'ECOMMERS SALES'!$1:$500,MATCH('vlookup match'!D$1,ECOMMERS_SALES[#Headers],0))</f>
        <v>Fashion</v>
      </c>
      <c r="E274">
        <f>VLOOKUP($A274,'ECOMMERS SALES'!$1:$500,MATCH('vlookup match'!E$1,ECOMMERS_SALES[#Headers],0))</f>
        <v>2</v>
      </c>
      <c r="F274">
        <f>VLOOKUP($A274,'ECOMMERS SALES'!$1:$500,MATCH('vlookup match'!F$1,ECOMMERS_SALES[#Headers],0))</f>
        <v>1061</v>
      </c>
      <c r="G274">
        <f>VLOOKUP($A274,'ECOMMERS SALES'!$1:$500,MATCH('vlookup match'!G$1,ECOMMERS_SALES[#Headers],0))</f>
        <v>2122</v>
      </c>
      <c r="H274" t="str">
        <f>VLOOKUP($A274,'ECOMMERS SALES'!$1:$500,MATCH('vlookup match'!H$1,ECOMMERS_SALES[#Headers],0))</f>
        <v>Hyderabad</v>
      </c>
      <c r="I274" t="str">
        <f>VLOOKUP($A274,'ECOMMERS SALES'!$1:$500,MATCH('vlookup match'!I$1,ECOMMERS_SALES[#Headers],0))</f>
        <v>Premimum</v>
      </c>
      <c r="J274" t="str">
        <f>VLOOKUP($A274,'ECOMMERS SALES'!$1:$500,MATCH('vlookup match'!J$1,ECOMMERS_SALES[#Headers],0))</f>
        <v>Card</v>
      </c>
    </row>
    <row r="275" spans="1:10" x14ac:dyDescent="0.35">
      <c r="A275">
        <v>1274</v>
      </c>
      <c r="B275" t="str">
        <f>VLOOKUP($A275,'ECOMMERS SALES'!$1:$500,MATCH('vlookup match'!B$1,ECOMMERS_SALES[#Headers],0))</f>
        <v>02-10-2025</v>
      </c>
      <c r="C275" t="str">
        <f>VLOOKUP($A275,'ECOMMERS SALES'!$1:$500,MATCH('vlookup match'!C$1,ECOMMERS_SALES[#Headers],0))</f>
        <v>Watch</v>
      </c>
      <c r="D275" t="str">
        <f>VLOOKUP($A275,'ECOMMERS SALES'!$1:$500,MATCH('vlookup match'!D$1,ECOMMERS_SALES[#Headers],0))</f>
        <v>Other</v>
      </c>
      <c r="E275">
        <f>VLOOKUP($A275,'ECOMMERS SALES'!$1:$500,MATCH('vlookup match'!E$1,ECOMMERS_SALES[#Headers],0))</f>
        <v>5</v>
      </c>
      <c r="F275">
        <f>VLOOKUP($A275,'ECOMMERS SALES'!$1:$500,MATCH('vlookup match'!F$1,ECOMMERS_SALES[#Headers],0))</f>
        <v>9610</v>
      </c>
      <c r="G275">
        <f>VLOOKUP($A275,'ECOMMERS SALES'!$1:$500,MATCH('vlookup match'!G$1,ECOMMERS_SALES[#Headers],0))</f>
        <v>48050</v>
      </c>
      <c r="H275" t="str">
        <f>VLOOKUP($A275,'ECOMMERS SALES'!$1:$500,MATCH('vlookup match'!H$1,ECOMMERS_SALES[#Headers],0))</f>
        <v>Hyderabad</v>
      </c>
      <c r="I275" t="str">
        <f>VLOOKUP($A275,'ECOMMERS SALES'!$1:$500,MATCH('vlookup match'!I$1,ECOMMERS_SALES[#Headers],0))</f>
        <v>Returning</v>
      </c>
      <c r="J275" t="str">
        <f>VLOOKUP($A275,'ECOMMERS SALES'!$1:$500,MATCH('vlookup match'!J$1,ECOMMERS_SALES[#Headers],0))</f>
        <v>UPI</v>
      </c>
    </row>
    <row r="276" spans="1:10" x14ac:dyDescent="0.35">
      <c r="A276">
        <v>1275</v>
      </c>
      <c r="B276" t="str">
        <f>VLOOKUP($A276,'ECOMMERS SALES'!$1:$500,MATCH('vlookup match'!B$1,ECOMMERS_SALES[#Headers],0))</f>
        <v>03-10-2025</v>
      </c>
      <c r="C276" t="str">
        <f>VLOOKUP($A276,'ECOMMERS SALES'!$1:$500,MATCH('vlookup match'!C$1,ECOMMERS_SALES[#Headers],0))</f>
        <v>Mobile Case</v>
      </c>
      <c r="D276" t="str">
        <f>VLOOKUP($A276,'ECOMMERS SALES'!$1:$500,MATCH('vlookup match'!D$1,ECOMMERS_SALES[#Headers],0))</f>
        <v>Other</v>
      </c>
      <c r="E276">
        <f>VLOOKUP($A276,'ECOMMERS SALES'!$1:$500,MATCH('vlookup match'!E$1,ECOMMERS_SALES[#Headers],0))</f>
        <v>1</v>
      </c>
      <c r="F276">
        <f>VLOOKUP($A276,'ECOMMERS SALES'!$1:$500,MATCH('vlookup match'!F$1,ECOMMERS_SALES[#Headers],0))</f>
        <v>901</v>
      </c>
      <c r="G276">
        <f>VLOOKUP($A276,'ECOMMERS SALES'!$1:$500,MATCH('vlookup match'!G$1,ECOMMERS_SALES[#Headers],0))</f>
        <v>901</v>
      </c>
      <c r="H276" t="str">
        <f>VLOOKUP($A276,'ECOMMERS SALES'!$1:$500,MATCH('vlookup match'!H$1,ECOMMERS_SALES[#Headers],0))</f>
        <v>Delhi</v>
      </c>
      <c r="I276" t="str">
        <f>VLOOKUP($A276,'ECOMMERS SALES'!$1:$500,MATCH('vlookup match'!I$1,ECOMMERS_SALES[#Headers],0))</f>
        <v>Returning</v>
      </c>
      <c r="J276" t="str">
        <f>VLOOKUP($A276,'ECOMMERS SALES'!$1:$500,MATCH('vlookup match'!J$1,ECOMMERS_SALES[#Headers],0))</f>
        <v>UPI</v>
      </c>
    </row>
    <row r="277" spans="1:10" x14ac:dyDescent="0.35">
      <c r="A277">
        <v>1276</v>
      </c>
      <c r="B277" t="str">
        <f>VLOOKUP($A277,'ECOMMERS SALES'!$1:$500,MATCH('vlookup match'!B$1,ECOMMERS_SALES[#Headers],0))</f>
        <v>04-10-2025</v>
      </c>
      <c r="C277" t="str">
        <f>VLOOKUP($A277,'ECOMMERS SALES'!$1:$500,MATCH('vlookup match'!C$1,ECOMMERS_SALES[#Headers],0))</f>
        <v>Tablet</v>
      </c>
      <c r="D277" t="str">
        <f>VLOOKUP($A277,'ECOMMERS SALES'!$1:$500,MATCH('vlookup match'!D$1,ECOMMERS_SALES[#Headers],0))</f>
        <v>Electronics</v>
      </c>
      <c r="E277">
        <f>VLOOKUP($A277,'ECOMMERS SALES'!$1:$500,MATCH('vlookup match'!E$1,ECOMMERS_SALES[#Headers],0))</f>
        <v>2</v>
      </c>
      <c r="F277">
        <f>VLOOKUP($A277,'ECOMMERS SALES'!$1:$500,MATCH('vlookup match'!F$1,ECOMMERS_SALES[#Headers],0))</f>
        <v>18752</v>
      </c>
      <c r="G277">
        <f>VLOOKUP($A277,'ECOMMERS SALES'!$1:$500,MATCH('vlookup match'!G$1,ECOMMERS_SALES[#Headers],0))</f>
        <v>37504</v>
      </c>
      <c r="H277" t="str">
        <f>VLOOKUP($A277,'ECOMMERS SALES'!$1:$500,MATCH('vlookup match'!H$1,ECOMMERS_SALES[#Headers],0))</f>
        <v>Pune</v>
      </c>
      <c r="I277" t="str">
        <f>VLOOKUP($A277,'ECOMMERS SALES'!$1:$500,MATCH('vlookup match'!I$1,ECOMMERS_SALES[#Headers],0))</f>
        <v>Returning</v>
      </c>
      <c r="J277" t="str">
        <f>VLOOKUP($A277,'ECOMMERS SALES'!$1:$500,MATCH('vlookup match'!J$1,ECOMMERS_SALES[#Headers],0))</f>
        <v>Card</v>
      </c>
    </row>
    <row r="278" spans="1:10" x14ac:dyDescent="0.35">
      <c r="A278">
        <v>1277</v>
      </c>
      <c r="B278" t="str">
        <f>VLOOKUP($A278,'ECOMMERS SALES'!$1:$500,MATCH('vlookup match'!B$1,ECOMMERS_SALES[#Headers],0))</f>
        <v>05-10-2025</v>
      </c>
      <c r="C278" t="str">
        <f>VLOOKUP($A278,'ECOMMERS SALES'!$1:$500,MATCH('vlookup match'!C$1,ECOMMERS_SALES[#Headers],0))</f>
        <v>Book</v>
      </c>
      <c r="D278" t="str">
        <f>VLOOKUP($A278,'ECOMMERS SALES'!$1:$500,MATCH('vlookup match'!D$1,ECOMMERS_SALES[#Headers],0))</f>
        <v>Books</v>
      </c>
      <c r="E278">
        <f>VLOOKUP($A278,'ECOMMERS SALES'!$1:$500,MATCH('vlookup match'!E$1,ECOMMERS_SALES[#Headers],0))</f>
        <v>1</v>
      </c>
      <c r="F278">
        <f>VLOOKUP($A278,'ECOMMERS SALES'!$1:$500,MATCH('vlookup match'!F$1,ECOMMERS_SALES[#Headers],0))</f>
        <v>129</v>
      </c>
      <c r="G278">
        <f>VLOOKUP($A278,'ECOMMERS SALES'!$1:$500,MATCH('vlookup match'!G$1,ECOMMERS_SALES[#Headers],0))</f>
        <v>129</v>
      </c>
      <c r="H278" t="str">
        <f>VLOOKUP($A278,'ECOMMERS SALES'!$1:$500,MATCH('vlookup match'!H$1,ECOMMERS_SALES[#Headers],0))</f>
        <v>Delhi</v>
      </c>
      <c r="I278" t="str">
        <f>VLOOKUP($A278,'ECOMMERS SALES'!$1:$500,MATCH('vlookup match'!I$1,ECOMMERS_SALES[#Headers],0))</f>
        <v>Premimum</v>
      </c>
      <c r="J278" t="str">
        <f>VLOOKUP($A278,'ECOMMERS SALES'!$1:$500,MATCH('vlookup match'!J$1,ECOMMERS_SALES[#Headers],0))</f>
        <v>Card</v>
      </c>
    </row>
    <row r="279" spans="1:10" x14ac:dyDescent="0.35">
      <c r="A279">
        <v>1278</v>
      </c>
      <c r="B279" t="str">
        <f>VLOOKUP($A279,'ECOMMERS SALES'!$1:$500,MATCH('vlookup match'!B$1,ECOMMERS_SALES[#Headers],0))</f>
        <v>06-10-2025</v>
      </c>
      <c r="C279" t="str">
        <f>VLOOKUP($A279,'ECOMMERS SALES'!$1:$500,MATCH('vlookup match'!C$1,ECOMMERS_SALES[#Headers],0))</f>
        <v>Backpack</v>
      </c>
      <c r="D279" t="str">
        <f>VLOOKUP($A279,'ECOMMERS SALES'!$1:$500,MATCH('vlookup match'!D$1,ECOMMERS_SALES[#Headers],0))</f>
        <v>Fashion</v>
      </c>
      <c r="E279">
        <f>VLOOKUP($A279,'ECOMMERS SALES'!$1:$500,MATCH('vlookup match'!E$1,ECOMMERS_SALES[#Headers],0))</f>
        <v>1</v>
      </c>
      <c r="F279">
        <f>VLOOKUP($A279,'ECOMMERS SALES'!$1:$500,MATCH('vlookup match'!F$1,ECOMMERS_SALES[#Headers],0))</f>
        <v>828</v>
      </c>
      <c r="G279">
        <f>VLOOKUP($A279,'ECOMMERS SALES'!$1:$500,MATCH('vlookup match'!G$1,ECOMMERS_SALES[#Headers],0))</f>
        <v>828</v>
      </c>
      <c r="H279" t="str">
        <f>VLOOKUP($A279,'ECOMMERS SALES'!$1:$500,MATCH('vlookup match'!H$1,ECOMMERS_SALES[#Headers],0))</f>
        <v>Hyderabad</v>
      </c>
      <c r="I279" t="str">
        <f>VLOOKUP($A279,'ECOMMERS SALES'!$1:$500,MATCH('vlookup match'!I$1,ECOMMERS_SALES[#Headers],0))</f>
        <v>Premimum</v>
      </c>
      <c r="J279" t="str">
        <f>VLOOKUP($A279,'ECOMMERS SALES'!$1:$500,MATCH('vlookup match'!J$1,ECOMMERS_SALES[#Headers],0))</f>
        <v>UPI</v>
      </c>
    </row>
    <row r="280" spans="1:10" x14ac:dyDescent="0.35">
      <c r="A280">
        <v>1279</v>
      </c>
      <c r="B280" t="str">
        <f>VLOOKUP($A280,'ECOMMERS SALES'!$1:$500,MATCH('vlookup match'!B$1,ECOMMERS_SALES[#Headers],0))</f>
        <v>07-10-2025</v>
      </c>
      <c r="C280" t="str">
        <f>VLOOKUP($A280,'ECOMMERS SALES'!$1:$500,MATCH('vlookup match'!C$1,ECOMMERS_SALES[#Headers],0))</f>
        <v>Smartwatch</v>
      </c>
      <c r="D280" t="str">
        <f>VLOOKUP($A280,'ECOMMERS SALES'!$1:$500,MATCH('vlookup match'!D$1,ECOMMERS_SALES[#Headers],0))</f>
        <v>Electronics</v>
      </c>
      <c r="E280">
        <f>VLOOKUP($A280,'ECOMMERS SALES'!$1:$500,MATCH('vlookup match'!E$1,ECOMMERS_SALES[#Headers],0))</f>
        <v>2</v>
      </c>
      <c r="F280">
        <f>VLOOKUP($A280,'ECOMMERS SALES'!$1:$500,MATCH('vlookup match'!F$1,ECOMMERS_SALES[#Headers],0))</f>
        <v>4999</v>
      </c>
      <c r="G280">
        <f>VLOOKUP($A280,'ECOMMERS SALES'!$1:$500,MATCH('vlookup match'!G$1,ECOMMERS_SALES[#Headers],0))</f>
        <v>9998</v>
      </c>
      <c r="H280" t="str">
        <f>VLOOKUP($A280,'ECOMMERS SALES'!$1:$500,MATCH('vlookup match'!H$1,ECOMMERS_SALES[#Headers],0))</f>
        <v>Bangalore</v>
      </c>
      <c r="I280" t="str">
        <f>VLOOKUP($A280,'ECOMMERS SALES'!$1:$500,MATCH('vlookup match'!I$1,ECOMMERS_SALES[#Headers],0))</f>
        <v>New</v>
      </c>
      <c r="J280" t="str">
        <f>VLOOKUP($A280,'ECOMMERS SALES'!$1:$500,MATCH('vlookup match'!J$1,ECOMMERS_SALES[#Headers],0))</f>
        <v>UPI</v>
      </c>
    </row>
    <row r="281" spans="1:10" x14ac:dyDescent="0.35">
      <c r="A281">
        <v>1280</v>
      </c>
      <c r="B281" t="str">
        <f>VLOOKUP($A281,'ECOMMERS SALES'!$1:$500,MATCH('vlookup match'!B$1,ECOMMERS_SALES[#Headers],0))</f>
        <v>08-10-2025</v>
      </c>
      <c r="C281" t="str">
        <f>VLOOKUP($A281,'ECOMMERS SALES'!$1:$500,MATCH('vlookup match'!C$1,ECOMMERS_SALES[#Headers],0))</f>
        <v>Water Bottle</v>
      </c>
      <c r="D281" t="str">
        <f>VLOOKUP($A281,'ECOMMERS SALES'!$1:$500,MATCH('vlookup match'!D$1,ECOMMERS_SALES[#Headers],0))</f>
        <v>Other</v>
      </c>
      <c r="E281">
        <f>VLOOKUP($A281,'ECOMMERS SALES'!$1:$500,MATCH('vlookup match'!E$1,ECOMMERS_SALES[#Headers],0))</f>
        <v>4</v>
      </c>
      <c r="F281">
        <f>VLOOKUP($A281,'ECOMMERS SALES'!$1:$500,MATCH('vlookup match'!F$1,ECOMMERS_SALES[#Headers],0))</f>
        <v>677</v>
      </c>
      <c r="G281">
        <f>VLOOKUP($A281,'ECOMMERS SALES'!$1:$500,MATCH('vlookup match'!G$1,ECOMMERS_SALES[#Headers],0))</f>
        <v>2708</v>
      </c>
      <c r="H281" t="str">
        <f>VLOOKUP($A281,'ECOMMERS SALES'!$1:$500,MATCH('vlookup match'!H$1,ECOMMERS_SALES[#Headers],0))</f>
        <v>Pune</v>
      </c>
      <c r="I281" t="str">
        <f>VLOOKUP($A281,'ECOMMERS SALES'!$1:$500,MATCH('vlookup match'!I$1,ECOMMERS_SALES[#Headers],0))</f>
        <v>New</v>
      </c>
      <c r="J281" t="str">
        <f>VLOOKUP($A281,'ECOMMERS SALES'!$1:$500,MATCH('vlookup match'!J$1,ECOMMERS_SALES[#Headers],0))</f>
        <v>Card</v>
      </c>
    </row>
    <row r="282" spans="1:10" x14ac:dyDescent="0.35">
      <c r="A282">
        <v>1281</v>
      </c>
      <c r="B282" t="str">
        <f>VLOOKUP($A282,'ECOMMERS SALES'!$1:$500,MATCH('vlookup match'!B$1,ECOMMERS_SALES[#Headers],0))</f>
        <v>09-10-2025</v>
      </c>
      <c r="C282" t="str">
        <f>VLOOKUP($A282,'ECOMMERS SALES'!$1:$500,MATCH('vlookup match'!C$1,ECOMMERS_SALES[#Headers],0))</f>
        <v>Laptop</v>
      </c>
      <c r="D282" t="str">
        <f>VLOOKUP($A282,'ECOMMERS SALES'!$1:$500,MATCH('vlookup match'!D$1,ECOMMERS_SALES[#Headers],0))</f>
        <v>Electronics</v>
      </c>
      <c r="E282">
        <f>VLOOKUP($A282,'ECOMMERS SALES'!$1:$500,MATCH('vlookup match'!E$1,ECOMMERS_SALES[#Headers],0))</f>
        <v>1</v>
      </c>
      <c r="F282">
        <f>VLOOKUP($A282,'ECOMMERS SALES'!$1:$500,MATCH('vlookup match'!F$1,ECOMMERS_SALES[#Headers],0))</f>
        <v>47291</v>
      </c>
      <c r="G282">
        <f>VLOOKUP($A282,'ECOMMERS SALES'!$1:$500,MATCH('vlookup match'!G$1,ECOMMERS_SALES[#Headers],0))</f>
        <v>47291</v>
      </c>
      <c r="H282" t="str">
        <f>VLOOKUP($A282,'ECOMMERS SALES'!$1:$500,MATCH('vlookup match'!H$1,ECOMMERS_SALES[#Headers],0))</f>
        <v>Hyderabad</v>
      </c>
      <c r="I282" t="str">
        <f>VLOOKUP($A282,'ECOMMERS SALES'!$1:$500,MATCH('vlookup match'!I$1,ECOMMERS_SALES[#Headers],0))</f>
        <v>Returning</v>
      </c>
      <c r="J282" t="str">
        <f>VLOOKUP($A282,'ECOMMERS SALES'!$1:$500,MATCH('vlookup match'!J$1,ECOMMERS_SALES[#Headers],0))</f>
        <v>Card</v>
      </c>
    </row>
    <row r="283" spans="1:10" x14ac:dyDescent="0.35">
      <c r="A283">
        <v>1282</v>
      </c>
      <c r="B283" t="str">
        <f>VLOOKUP($A283,'ECOMMERS SALES'!$1:$500,MATCH('vlookup match'!B$1,ECOMMERS_SALES[#Headers],0))</f>
        <v>10-10-2025</v>
      </c>
      <c r="C283" t="str">
        <f>VLOOKUP($A283,'ECOMMERS SALES'!$1:$500,MATCH('vlookup match'!C$1,ECOMMERS_SALES[#Headers],0))</f>
        <v>Headphones</v>
      </c>
      <c r="D283" t="str">
        <f>VLOOKUP($A283,'ECOMMERS SALES'!$1:$500,MATCH('vlookup match'!D$1,ECOMMERS_SALES[#Headers],0))</f>
        <v>Electronics</v>
      </c>
      <c r="E283">
        <f>VLOOKUP($A283,'ECOMMERS SALES'!$1:$500,MATCH('vlookup match'!E$1,ECOMMERS_SALES[#Headers],0))</f>
        <v>3</v>
      </c>
      <c r="F283">
        <f>VLOOKUP($A283,'ECOMMERS SALES'!$1:$500,MATCH('vlookup match'!F$1,ECOMMERS_SALES[#Headers],0))</f>
        <v>2127</v>
      </c>
      <c r="G283">
        <f>VLOOKUP($A283,'ECOMMERS SALES'!$1:$500,MATCH('vlookup match'!G$1,ECOMMERS_SALES[#Headers],0))</f>
        <v>6381</v>
      </c>
      <c r="H283" t="str">
        <f>VLOOKUP($A283,'ECOMMERS SALES'!$1:$500,MATCH('vlookup match'!H$1,ECOMMERS_SALES[#Headers],0))</f>
        <v>Pune</v>
      </c>
      <c r="I283" t="str">
        <f>VLOOKUP($A283,'ECOMMERS SALES'!$1:$500,MATCH('vlookup match'!I$1,ECOMMERS_SALES[#Headers],0))</f>
        <v>Returning</v>
      </c>
      <c r="J283" t="str">
        <f>VLOOKUP($A283,'ECOMMERS SALES'!$1:$500,MATCH('vlookup match'!J$1,ECOMMERS_SALES[#Headers],0))</f>
        <v>Card</v>
      </c>
    </row>
    <row r="284" spans="1:10" x14ac:dyDescent="0.35">
      <c r="A284">
        <v>1283</v>
      </c>
      <c r="B284" t="str">
        <f>VLOOKUP($A284,'ECOMMERS SALES'!$1:$500,MATCH('vlookup match'!B$1,ECOMMERS_SALES[#Headers],0))</f>
        <v>11-10-2025</v>
      </c>
      <c r="C284" t="str">
        <f>VLOOKUP($A284,'ECOMMERS SALES'!$1:$500,MATCH('vlookup match'!C$1,ECOMMERS_SALES[#Headers],0))</f>
        <v>Shoes</v>
      </c>
      <c r="D284" t="str">
        <f>VLOOKUP($A284,'ECOMMERS SALES'!$1:$500,MATCH('vlookup match'!D$1,ECOMMERS_SALES[#Headers],0))</f>
        <v>Fashion</v>
      </c>
      <c r="E284">
        <f>VLOOKUP($A284,'ECOMMERS SALES'!$1:$500,MATCH('vlookup match'!E$1,ECOMMERS_SALES[#Headers],0))</f>
        <v>3</v>
      </c>
      <c r="F284">
        <f>VLOOKUP($A284,'ECOMMERS SALES'!$1:$500,MATCH('vlookup match'!F$1,ECOMMERS_SALES[#Headers],0))</f>
        <v>2869</v>
      </c>
      <c r="G284">
        <f>VLOOKUP($A284,'ECOMMERS SALES'!$1:$500,MATCH('vlookup match'!G$1,ECOMMERS_SALES[#Headers],0))</f>
        <v>8607</v>
      </c>
      <c r="H284" t="str">
        <f>VLOOKUP($A284,'ECOMMERS SALES'!$1:$500,MATCH('vlookup match'!H$1,ECOMMERS_SALES[#Headers],0))</f>
        <v>Delhi</v>
      </c>
      <c r="I284" t="str">
        <f>VLOOKUP($A284,'ECOMMERS SALES'!$1:$500,MATCH('vlookup match'!I$1,ECOMMERS_SALES[#Headers],0))</f>
        <v>New</v>
      </c>
      <c r="J284" t="str">
        <f>VLOOKUP($A284,'ECOMMERS SALES'!$1:$500,MATCH('vlookup match'!J$1,ECOMMERS_SALES[#Headers],0))</f>
        <v>Card</v>
      </c>
    </row>
    <row r="285" spans="1:10" x14ac:dyDescent="0.35">
      <c r="A285">
        <v>1284</v>
      </c>
      <c r="B285" t="str">
        <f>VLOOKUP($A285,'ECOMMERS SALES'!$1:$500,MATCH('vlookup match'!B$1,ECOMMERS_SALES[#Headers],0))</f>
        <v>12-10-2025</v>
      </c>
      <c r="C285" t="str">
        <f>VLOOKUP($A285,'ECOMMERS SALES'!$1:$500,MATCH('vlookup match'!C$1,ECOMMERS_SALES[#Headers],0))</f>
        <v>Watch</v>
      </c>
      <c r="D285" t="str">
        <f>VLOOKUP($A285,'ECOMMERS SALES'!$1:$500,MATCH('vlookup match'!D$1,ECOMMERS_SALES[#Headers],0))</f>
        <v>Other</v>
      </c>
      <c r="E285">
        <f>VLOOKUP($A285,'ECOMMERS SALES'!$1:$500,MATCH('vlookup match'!E$1,ECOMMERS_SALES[#Headers],0))</f>
        <v>3</v>
      </c>
      <c r="F285">
        <f>VLOOKUP($A285,'ECOMMERS SALES'!$1:$500,MATCH('vlookup match'!F$1,ECOMMERS_SALES[#Headers],0))</f>
        <v>7361</v>
      </c>
      <c r="G285">
        <f>VLOOKUP($A285,'ECOMMERS SALES'!$1:$500,MATCH('vlookup match'!G$1,ECOMMERS_SALES[#Headers],0))</f>
        <v>22083</v>
      </c>
      <c r="H285" t="str">
        <f>VLOOKUP($A285,'ECOMMERS SALES'!$1:$500,MATCH('vlookup match'!H$1,ECOMMERS_SALES[#Headers],0))</f>
        <v>Bangalore</v>
      </c>
      <c r="I285" t="str">
        <f>VLOOKUP($A285,'ECOMMERS SALES'!$1:$500,MATCH('vlookup match'!I$1,ECOMMERS_SALES[#Headers],0))</f>
        <v>Returning</v>
      </c>
      <c r="J285" t="str">
        <f>VLOOKUP($A285,'ECOMMERS SALES'!$1:$500,MATCH('vlookup match'!J$1,ECOMMERS_SALES[#Headers],0))</f>
        <v>COD</v>
      </c>
    </row>
    <row r="286" spans="1:10" x14ac:dyDescent="0.35">
      <c r="A286">
        <v>1285</v>
      </c>
      <c r="B286" t="str">
        <f>VLOOKUP($A286,'ECOMMERS SALES'!$1:$500,MATCH('vlookup match'!B$1,ECOMMERS_SALES[#Headers],0))</f>
        <v>13-10-2025</v>
      </c>
      <c r="C286" t="str">
        <f>VLOOKUP($A286,'ECOMMERS SALES'!$1:$500,MATCH('vlookup match'!C$1,ECOMMERS_SALES[#Headers],0))</f>
        <v>Mobile Case</v>
      </c>
      <c r="D286" t="str">
        <f>VLOOKUP($A286,'ECOMMERS SALES'!$1:$500,MATCH('vlookup match'!D$1,ECOMMERS_SALES[#Headers],0))</f>
        <v>Other</v>
      </c>
      <c r="E286">
        <f>VLOOKUP($A286,'ECOMMERS SALES'!$1:$500,MATCH('vlookup match'!E$1,ECOMMERS_SALES[#Headers],0))</f>
        <v>5</v>
      </c>
      <c r="F286">
        <f>VLOOKUP($A286,'ECOMMERS SALES'!$1:$500,MATCH('vlookup match'!F$1,ECOMMERS_SALES[#Headers],0))</f>
        <v>828</v>
      </c>
      <c r="G286">
        <f>VLOOKUP($A286,'ECOMMERS SALES'!$1:$500,MATCH('vlookup match'!G$1,ECOMMERS_SALES[#Headers],0))</f>
        <v>4140</v>
      </c>
      <c r="H286" t="str">
        <f>VLOOKUP($A286,'ECOMMERS SALES'!$1:$500,MATCH('vlookup match'!H$1,ECOMMERS_SALES[#Headers],0))</f>
        <v>Delhi</v>
      </c>
      <c r="I286" t="str">
        <f>VLOOKUP($A286,'ECOMMERS SALES'!$1:$500,MATCH('vlookup match'!I$1,ECOMMERS_SALES[#Headers],0))</f>
        <v>New</v>
      </c>
      <c r="J286" t="str">
        <f>VLOOKUP($A286,'ECOMMERS SALES'!$1:$500,MATCH('vlookup match'!J$1,ECOMMERS_SALES[#Headers],0))</f>
        <v>UPI</v>
      </c>
    </row>
    <row r="287" spans="1:10" x14ac:dyDescent="0.35">
      <c r="A287">
        <v>1286</v>
      </c>
      <c r="B287" t="str">
        <f>VLOOKUP($A287,'ECOMMERS SALES'!$1:$500,MATCH('vlookup match'!B$1,ECOMMERS_SALES[#Headers],0))</f>
        <v>14-10-2025</v>
      </c>
      <c r="C287" t="str">
        <f>VLOOKUP($A287,'ECOMMERS SALES'!$1:$500,MATCH('vlookup match'!C$1,ECOMMERS_SALES[#Headers],0))</f>
        <v>Tablet</v>
      </c>
      <c r="D287" t="str">
        <f>VLOOKUP($A287,'ECOMMERS SALES'!$1:$500,MATCH('vlookup match'!D$1,ECOMMERS_SALES[#Headers],0))</f>
        <v>Electronics</v>
      </c>
      <c r="E287">
        <f>VLOOKUP($A287,'ECOMMERS SALES'!$1:$500,MATCH('vlookup match'!E$1,ECOMMERS_SALES[#Headers],0))</f>
        <v>1</v>
      </c>
      <c r="F287">
        <f>VLOOKUP($A287,'ECOMMERS SALES'!$1:$500,MATCH('vlookup match'!F$1,ECOMMERS_SALES[#Headers],0))</f>
        <v>16337</v>
      </c>
      <c r="G287">
        <f>VLOOKUP($A287,'ECOMMERS SALES'!$1:$500,MATCH('vlookup match'!G$1,ECOMMERS_SALES[#Headers],0))</f>
        <v>16337</v>
      </c>
      <c r="H287" t="str">
        <f>VLOOKUP($A287,'ECOMMERS SALES'!$1:$500,MATCH('vlookup match'!H$1,ECOMMERS_SALES[#Headers],0))</f>
        <v>Hyderabad</v>
      </c>
      <c r="I287" t="str">
        <f>VLOOKUP($A287,'ECOMMERS SALES'!$1:$500,MATCH('vlookup match'!I$1,ECOMMERS_SALES[#Headers],0))</f>
        <v>New</v>
      </c>
      <c r="J287" t="str">
        <f>VLOOKUP($A287,'ECOMMERS SALES'!$1:$500,MATCH('vlookup match'!J$1,ECOMMERS_SALES[#Headers],0))</f>
        <v>UPI</v>
      </c>
    </row>
    <row r="288" spans="1:10" x14ac:dyDescent="0.35">
      <c r="A288">
        <v>1287</v>
      </c>
      <c r="B288" t="str">
        <f>VLOOKUP($A288,'ECOMMERS SALES'!$1:$500,MATCH('vlookup match'!B$1,ECOMMERS_SALES[#Headers],0))</f>
        <v>15-10-2025</v>
      </c>
      <c r="C288" t="str">
        <f>VLOOKUP($A288,'ECOMMERS SALES'!$1:$500,MATCH('vlookup match'!C$1,ECOMMERS_SALES[#Headers],0))</f>
        <v>Book</v>
      </c>
      <c r="D288" t="str">
        <f>VLOOKUP($A288,'ECOMMERS SALES'!$1:$500,MATCH('vlookup match'!D$1,ECOMMERS_SALES[#Headers],0))</f>
        <v>Books</v>
      </c>
      <c r="E288">
        <f>VLOOKUP($A288,'ECOMMERS SALES'!$1:$500,MATCH('vlookup match'!E$1,ECOMMERS_SALES[#Headers],0))</f>
        <v>3</v>
      </c>
      <c r="F288">
        <f>VLOOKUP($A288,'ECOMMERS SALES'!$1:$500,MATCH('vlookup match'!F$1,ECOMMERS_SALES[#Headers],0))</f>
        <v>295</v>
      </c>
      <c r="G288">
        <f>VLOOKUP($A288,'ECOMMERS SALES'!$1:$500,MATCH('vlookup match'!G$1,ECOMMERS_SALES[#Headers],0))</f>
        <v>885</v>
      </c>
      <c r="H288" t="str">
        <f>VLOOKUP($A288,'ECOMMERS SALES'!$1:$500,MATCH('vlookup match'!H$1,ECOMMERS_SALES[#Headers],0))</f>
        <v>Chennai</v>
      </c>
      <c r="I288" t="str">
        <f>VLOOKUP($A288,'ECOMMERS SALES'!$1:$500,MATCH('vlookup match'!I$1,ECOMMERS_SALES[#Headers],0))</f>
        <v>Premimum</v>
      </c>
      <c r="J288" t="str">
        <f>VLOOKUP($A288,'ECOMMERS SALES'!$1:$500,MATCH('vlookup match'!J$1,ECOMMERS_SALES[#Headers],0))</f>
        <v>Card</v>
      </c>
    </row>
    <row r="289" spans="1:10" x14ac:dyDescent="0.35">
      <c r="A289">
        <v>1288</v>
      </c>
      <c r="B289" t="str">
        <f>VLOOKUP($A289,'ECOMMERS SALES'!$1:$500,MATCH('vlookup match'!B$1,ECOMMERS_SALES[#Headers],0))</f>
        <v>16-10-2025</v>
      </c>
      <c r="C289" t="str">
        <f>VLOOKUP($A289,'ECOMMERS SALES'!$1:$500,MATCH('vlookup match'!C$1,ECOMMERS_SALES[#Headers],0))</f>
        <v>Backpack</v>
      </c>
      <c r="D289" t="str">
        <f>VLOOKUP($A289,'ECOMMERS SALES'!$1:$500,MATCH('vlookup match'!D$1,ECOMMERS_SALES[#Headers],0))</f>
        <v>Fashion</v>
      </c>
      <c r="E289">
        <f>VLOOKUP($A289,'ECOMMERS SALES'!$1:$500,MATCH('vlookup match'!E$1,ECOMMERS_SALES[#Headers],0))</f>
        <v>2</v>
      </c>
      <c r="F289">
        <f>VLOOKUP($A289,'ECOMMERS SALES'!$1:$500,MATCH('vlookup match'!F$1,ECOMMERS_SALES[#Headers],0))</f>
        <v>1486</v>
      </c>
      <c r="G289">
        <f>VLOOKUP($A289,'ECOMMERS SALES'!$1:$500,MATCH('vlookup match'!G$1,ECOMMERS_SALES[#Headers],0))</f>
        <v>2972</v>
      </c>
      <c r="H289" t="str">
        <f>VLOOKUP($A289,'ECOMMERS SALES'!$1:$500,MATCH('vlookup match'!H$1,ECOMMERS_SALES[#Headers],0))</f>
        <v>Mumbai</v>
      </c>
      <c r="I289" t="str">
        <f>VLOOKUP($A289,'ECOMMERS SALES'!$1:$500,MATCH('vlookup match'!I$1,ECOMMERS_SALES[#Headers],0))</f>
        <v>Premimum</v>
      </c>
      <c r="J289" t="str">
        <f>VLOOKUP($A289,'ECOMMERS SALES'!$1:$500,MATCH('vlookup match'!J$1,ECOMMERS_SALES[#Headers],0))</f>
        <v>UPI</v>
      </c>
    </row>
    <row r="290" spans="1:10" x14ac:dyDescent="0.35">
      <c r="A290">
        <v>1289</v>
      </c>
      <c r="B290" t="str">
        <f>VLOOKUP($A290,'ECOMMERS SALES'!$1:$500,MATCH('vlookup match'!B$1,ECOMMERS_SALES[#Headers],0))</f>
        <v>17-10-2025</v>
      </c>
      <c r="C290" t="str">
        <f>VLOOKUP($A290,'ECOMMERS SALES'!$1:$500,MATCH('vlookup match'!C$1,ECOMMERS_SALES[#Headers],0))</f>
        <v>Smartwatch</v>
      </c>
      <c r="D290" t="str">
        <f>VLOOKUP($A290,'ECOMMERS SALES'!$1:$500,MATCH('vlookup match'!D$1,ECOMMERS_SALES[#Headers],0))</f>
        <v>Electronics</v>
      </c>
      <c r="E290">
        <f>VLOOKUP($A290,'ECOMMERS SALES'!$1:$500,MATCH('vlookup match'!E$1,ECOMMERS_SALES[#Headers],0))</f>
        <v>2</v>
      </c>
      <c r="F290">
        <f>VLOOKUP($A290,'ECOMMERS SALES'!$1:$500,MATCH('vlookup match'!F$1,ECOMMERS_SALES[#Headers],0))</f>
        <v>12872</v>
      </c>
      <c r="G290">
        <f>VLOOKUP($A290,'ECOMMERS SALES'!$1:$500,MATCH('vlookup match'!G$1,ECOMMERS_SALES[#Headers],0))</f>
        <v>25744</v>
      </c>
      <c r="H290" t="str">
        <f>VLOOKUP($A290,'ECOMMERS SALES'!$1:$500,MATCH('vlookup match'!H$1,ECOMMERS_SALES[#Headers],0))</f>
        <v>Mumbai</v>
      </c>
      <c r="I290" t="str">
        <f>VLOOKUP($A290,'ECOMMERS SALES'!$1:$500,MATCH('vlookup match'!I$1,ECOMMERS_SALES[#Headers],0))</f>
        <v>Premimum</v>
      </c>
      <c r="J290" t="str">
        <f>VLOOKUP($A290,'ECOMMERS SALES'!$1:$500,MATCH('vlookup match'!J$1,ECOMMERS_SALES[#Headers],0))</f>
        <v>COD</v>
      </c>
    </row>
    <row r="291" spans="1:10" x14ac:dyDescent="0.35">
      <c r="A291">
        <v>1290</v>
      </c>
      <c r="B291" t="str">
        <f>VLOOKUP($A291,'ECOMMERS SALES'!$1:$500,MATCH('vlookup match'!B$1,ECOMMERS_SALES[#Headers],0))</f>
        <v>18-10-2025</v>
      </c>
      <c r="C291" t="str">
        <f>VLOOKUP($A291,'ECOMMERS SALES'!$1:$500,MATCH('vlookup match'!C$1,ECOMMERS_SALES[#Headers],0))</f>
        <v>Water Bottle</v>
      </c>
      <c r="D291" t="str">
        <f>VLOOKUP($A291,'ECOMMERS SALES'!$1:$500,MATCH('vlookup match'!D$1,ECOMMERS_SALES[#Headers],0))</f>
        <v>Other</v>
      </c>
      <c r="E291">
        <f>VLOOKUP($A291,'ECOMMERS SALES'!$1:$500,MATCH('vlookup match'!E$1,ECOMMERS_SALES[#Headers],0))</f>
        <v>3</v>
      </c>
      <c r="F291">
        <f>VLOOKUP($A291,'ECOMMERS SALES'!$1:$500,MATCH('vlookup match'!F$1,ECOMMERS_SALES[#Headers],0))</f>
        <v>740</v>
      </c>
      <c r="G291">
        <f>VLOOKUP($A291,'ECOMMERS SALES'!$1:$500,MATCH('vlookup match'!G$1,ECOMMERS_SALES[#Headers],0))</f>
        <v>2220</v>
      </c>
      <c r="H291" t="str">
        <f>VLOOKUP($A291,'ECOMMERS SALES'!$1:$500,MATCH('vlookup match'!H$1,ECOMMERS_SALES[#Headers],0))</f>
        <v>Pune</v>
      </c>
      <c r="I291" t="str">
        <f>VLOOKUP($A291,'ECOMMERS SALES'!$1:$500,MATCH('vlookup match'!I$1,ECOMMERS_SALES[#Headers],0))</f>
        <v>New</v>
      </c>
      <c r="J291" t="str">
        <f>VLOOKUP($A291,'ECOMMERS SALES'!$1:$500,MATCH('vlookup match'!J$1,ECOMMERS_SALES[#Headers],0))</f>
        <v>UPI</v>
      </c>
    </row>
    <row r="292" spans="1:10" x14ac:dyDescent="0.35">
      <c r="A292">
        <v>1291</v>
      </c>
      <c r="B292" t="str">
        <f>VLOOKUP($A292,'ECOMMERS SALES'!$1:$500,MATCH('vlookup match'!B$1,ECOMMERS_SALES[#Headers],0))</f>
        <v>19-10-2025</v>
      </c>
      <c r="C292" t="str">
        <f>VLOOKUP($A292,'ECOMMERS SALES'!$1:$500,MATCH('vlookup match'!C$1,ECOMMERS_SALES[#Headers],0))</f>
        <v>Laptop</v>
      </c>
      <c r="D292" t="str">
        <f>VLOOKUP($A292,'ECOMMERS SALES'!$1:$500,MATCH('vlookup match'!D$1,ECOMMERS_SALES[#Headers],0))</f>
        <v>Electronics</v>
      </c>
      <c r="E292">
        <f>VLOOKUP($A292,'ECOMMERS SALES'!$1:$500,MATCH('vlookup match'!E$1,ECOMMERS_SALES[#Headers],0))</f>
        <v>1</v>
      </c>
      <c r="F292">
        <f>VLOOKUP($A292,'ECOMMERS SALES'!$1:$500,MATCH('vlookup match'!F$1,ECOMMERS_SALES[#Headers],0))</f>
        <v>69296</v>
      </c>
      <c r="G292">
        <f>VLOOKUP($A292,'ECOMMERS SALES'!$1:$500,MATCH('vlookup match'!G$1,ECOMMERS_SALES[#Headers],0))</f>
        <v>69296</v>
      </c>
      <c r="H292" t="str">
        <f>VLOOKUP($A292,'ECOMMERS SALES'!$1:$500,MATCH('vlookup match'!H$1,ECOMMERS_SALES[#Headers],0))</f>
        <v>Mumbai</v>
      </c>
      <c r="I292" t="str">
        <f>VLOOKUP($A292,'ECOMMERS SALES'!$1:$500,MATCH('vlookup match'!I$1,ECOMMERS_SALES[#Headers],0))</f>
        <v>New</v>
      </c>
      <c r="J292" t="str">
        <f>VLOOKUP($A292,'ECOMMERS SALES'!$1:$500,MATCH('vlookup match'!J$1,ECOMMERS_SALES[#Headers],0))</f>
        <v>Card</v>
      </c>
    </row>
    <row r="293" spans="1:10" x14ac:dyDescent="0.35">
      <c r="A293">
        <v>1292</v>
      </c>
      <c r="B293" t="str">
        <f>VLOOKUP($A293,'ECOMMERS SALES'!$1:$500,MATCH('vlookup match'!B$1,ECOMMERS_SALES[#Headers],0))</f>
        <v>20-10-2025</v>
      </c>
      <c r="C293" t="str">
        <f>VLOOKUP($A293,'ECOMMERS SALES'!$1:$500,MATCH('vlookup match'!C$1,ECOMMERS_SALES[#Headers],0))</f>
        <v>Headphones</v>
      </c>
      <c r="D293" t="str">
        <f>VLOOKUP($A293,'ECOMMERS SALES'!$1:$500,MATCH('vlookup match'!D$1,ECOMMERS_SALES[#Headers],0))</f>
        <v>Electronics</v>
      </c>
      <c r="E293">
        <f>VLOOKUP($A293,'ECOMMERS SALES'!$1:$500,MATCH('vlookup match'!E$1,ECOMMERS_SALES[#Headers],0))</f>
        <v>1</v>
      </c>
      <c r="F293">
        <f>VLOOKUP($A293,'ECOMMERS SALES'!$1:$500,MATCH('vlookup match'!F$1,ECOMMERS_SALES[#Headers],0))</f>
        <v>3960</v>
      </c>
      <c r="G293">
        <f>VLOOKUP($A293,'ECOMMERS SALES'!$1:$500,MATCH('vlookup match'!G$1,ECOMMERS_SALES[#Headers],0))</f>
        <v>3960</v>
      </c>
      <c r="H293" t="str">
        <f>VLOOKUP($A293,'ECOMMERS SALES'!$1:$500,MATCH('vlookup match'!H$1,ECOMMERS_SALES[#Headers],0))</f>
        <v>Bangalore</v>
      </c>
      <c r="I293" t="str">
        <f>VLOOKUP($A293,'ECOMMERS SALES'!$1:$500,MATCH('vlookup match'!I$1,ECOMMERS_SALES[#Headers],0))</f>
        <v>Premimum</v>
      </c>
      <c r="J293" t="str">
        <f>VLOOKUP($A293,'ECOMMERS SALES'!$1:$500,MATCH('vlookup match'!J$1,ECOMMERS_SALES[#Headers],0))</f>
        <v>UPI</v>
      </c>
    </row>
    <row r="294" spans="1:10" x14ac:dyDescent="0.35">
      <c r="A294">
        <v>1293</v>
      </c>
      <c r="B294" t="str">
        <f>VLOOKUP($A294,'ECOMMERS SALES'!$1:$500,MATCH('vlookup match'!B$1,ECOMMERS_SALES[#Headers],0))</f>
        <v>21-10-2025</v>
      </c>
      <c r="C294" t="str">
        <f>VLOOKUP($A294,'ECOMMERS SALES'!$1:$500,MATCH('vlookup match'!C$1,ECOMMERS_SALES[#Headers],0))</f>
        <v>Shoes</v>
      </c>
      <c r="D294" t="str">
        <f>VLOOKUP($A294,'ECOMMERS SALES'!$1:$500,MATCH('vlookup match'!D$1,ECOMMERS_SALES[#Headers],0))</f>
        <v>Fashion</v>
      </c>
      <c r="E294">
        <f>VLOOKUP($A294,'ECOMMERS SALES'!$1:$500,MATCH('vlookup match'!E$1,ECOMMERS_SALES[#Headers],0))</f>
        <v>3</v>
      </c>
      <c r="F294">
        <f>VLOOKUP($A294,'ECOMMERS SALES'!$1:$500,MATCH('vlookup match'!F$1,ECOMMERS_SALES[#Headers],0))</f>
        <v>4486</v>
      </c>
      <c r="G294">
        <f>VLOOKUP($A294,'ECOMMERS SALES'!$1:$500,MATCH('vlookup match'!G$1,ECOMMERS_SALES[#Headers],0))</f>
        <v>13458</v>
      </c>
      <c r="H294" t="str">
        <f>VLOOKUP($A294,'ECOMMERS SALES'!$1:$500,MATCH('vlookup match'!H$1,ECOMMERS_SALES[#Headers],0))</f>
        <v>Mumbai</v>
      </c>
      <c r="I294" t="str">
        <f>VLOOKUP($A294,'ECOMMERS SALES'!$1:$500,MATCH('vlookup match'!I$1,ECOMMERS_SALES[#Headers],0))</f>
        <v>Premimum</v>
      </c>
      <c r="J294" t="str">
        <f>VLOOKUP($A294,'ECOMMERS SALES'!$1:$500,MATCH('vlookup match'!J$1,ECOMMERS_SALES[#Headers],0))</f>
        <v>UPI</v>
      </c>
    </row>
    <row r="295" spans="1:10" x14ac:dyDescent="0.35">
      <c r="A295">
        <v>1294</v>
      </c>
      <c r="B295" t="str">
        <f>VLOOKUP($A295,'ECOMMERS SALES'!$1:$500,MATCH('vlookup match'!B$1,ECOMMERS_SALES[#Headers],0))</f>
        <v>22-10-2025</v>
      </c>
      <c r="C295" t="str">
        <f>VLOOKUP($A295,'ECOMMERS SALES'!$1:$500,MATCH('vlookup match'!C$1,ECOMMERS_SALES[#Headers],0))</f>
        <v>Watch</v>
      </c>
      <c r="D295" t="str">
        <f>VLOOKUP($A295,'ECOMMERS SALES'!$1:$500,MATCH('vlookup match'!D$1,ECOMMERS_SALES[#Headers],0))</f>
        <v>Other</v>
      </c>
      <c r="E295">
        <f>VLOOKUP($A295,'ECOMMERS SALES'!$1:$500,MATCH('vlookup match'!E$1,ECOMMERS_SALES[#Headers],0))</f>
        <v>1</v>
      </c>
      <c r="F295">
        <f>VLOOKUP($A295,'ECOMMERS SALES'!$1:$500,MATCH('vlookup match'!F$1,ECOMMERS_SALES[#Headers],0))</f>
        <v>18146</v>
      </c>
      <c r="G295">
        <f>VLOOKUP($A295,'ECOMMERS SALES'!$1:$500,MATCH('vlookup match'!G$1,ECOMMERS_SALES[#Headers],0))</f>
        <v>18146</v>
      </c>
      <c r="H295" t="str">
        <f>VLOOKUP($A295,'ECOMMERS SALES'!$1:$500,MATCH('vlookup match'!H$1,ECOMMERS_SALES[#Headers],0))</f>
        <v>Mumbai</v>
      </c>
      <c r="I295" t="str">
        <f>VLOOKUP($A295,'ECOMMERS SALES'!$1:$500,MATCH('vlookup match'!I$1,ECOMMERS_SALES[#Headers],0))</f>
        <v>Premimum</v>
      </c>
      <c r="J295" t="str">
        <f>VLOOKUP($A295,'ECOMMERS SALES'!$1:$500,MATCH('vlookup match'!J$1,ECOMMERS_SALES[#Headers],0))</f>
        <v>UPI</v>
      </c>
    </row>
    <row r="296" spans="1:10" x14ac:dyDescent="0.35">
      <c r="A296">
        <v>1295</v>
      </c>
      <c r="B296" t="str">
        <f>VLOOKUP($A296,'ECOMMERS SALES'!$1:$500,MATCH('vlookup match'!B$1,ECOMMERS_SALES[#Headers],0))</f>
        <v>23-10-2025</v>
      </c>
      <c r="C296" t="str">
        <f>VLOOKUP($A296,'ECOMMERS SALES'!$1:$500,MATCH('vlookup match'!C$1,ECOMMERS_SALES[#Headers],0))</f>
        <v>Mobile Case</v>
      </c>
      <c r="D296" t="str">
        <f>VLOOKUP($A296,'ECOMMERS SALES'!$1:$500,MATCH('vlookup match'!D$1,ECOMMERS_SALES[#Headers],0))</f>
        <v>Other</v>
      </c>
      <c r="E296">
        <f>VLOOKUP($A296,'ECOMMERS SALES'!$1:$500,MATCH('vlookup match'!E$1,ECOMMERS_SALES[#Headers],0))</f>
        <v>1</v>
      </c>
      <c r="F296">
        <f>VLOOKUP($A296,'ECOMMERS SALES'!$1:$500,MATCH('vlookup match'!F$1,ECOMMERS_SALES[#Headers],0))</f>
        <v>274</v>
      </c>
      <c r="G296">
        <f>VLOOKUP($A296,'ECOMMERS SALES'!$1:$500,MATCH('vlookup match'!G$1,ECOMMERS_SALES[#Headers],0))</f>
        <v>274</v>
      </c>
      <c r="H296" t="str">
        <f>VLOOKUP($A296,'ECOMMERS SALES'!$1:$500,MATCH('vlookup match'!H$1,ECOMMERS_SALES[#Headers],0))</f>
        <v>Delhi</v>
      </c>
      <c r="I296" t="str">
        <f>VLOOKUP($A296,'ECOMMERS SALES'!$1:$500,MATCH('vlookup match'!I$1,ECOMMERS_SALES[#Headers],0))</f>
        <v>New</v>
      </c>
      <c r="J296" t="str">
        <f>VLOOKUP($A296,'ECOMMERS SALES'!$1:$500,MATCH('vlookup match'!J$1,ECOMMERS_SALES[#Headers],0))</f>
        <v>COD</v>
      </c>
    </row>
    <row r="297" spans="1:10" x14ac:dyDescent="0.35">
      <c r="A297">
        <v>1296</v>
      </c>
      <c r="B297" t="str">
        <f>VLOOKUP($A297,'ECOMMERS SALES'!$1:$500,MATCH('vlookup match'!B$1,ECOMMERS_SALES[#Headers],0))</f>
        <v>24-10-2025</v>
      </c>
      <c r="C297" t="str">
        <f>VLOOKUP($A297,'ECOMMERS SALES'!$1:$500,MATCH('vlookup match'!C$1,ECOMMERS_SALES[#Headers],0))</f>
        <v>Tablet</v>
      </c>
      <c r="D297" t="str">
        <f>VLOOKUP($A297,'ECOMMERS SALES'!$1:$500,MATCH('vlookup match'!D$1,ECOMMERS_SALES[#Headers],0))</f>
        <v>Electronics</v>
      </c>
      <c r="E297">
        <f>VLOOKUP($A297,'ECOMMERS SALES'!$1:$500,MATCH('vlookup match'!E$1,ECOMMERS_SALES[#Headers],0))</f>
        <v>1</v>
      </c>
      <c r="F297">
        <f>VLOOKUP($A297,'ECOMMERS SALES'!$1:$500,MATCH('vlookup match'!F$1,ECOMMERS_SALES[#Headers],0))</f>
        <v>34548</v>
      </c>
      <c r="G297">
        <f>VLOOKUP($A297,'ECOMMERS SALES'!$1:$500,MATCH('vlookup match'!G$1,ECOMMERS_SALES[#Headers],0))</f>
        <v>34548</v>
      </c>
      <c r="H297" t="str">
        <f>VLOOKUP($A297,'ECOMMERS SALES'!$1:$500,MATCH('vlookup match'!H$1,ECOMMERS_SALES[#Headers],0))</f>
        <v>Delhi</v>
      </c>
      <c r="I297" t="str">
        <f>VLOOKUP($A297,'ECOMMERS SALES'!$1:$500,MATCH('vlookup match'!I$1,ECOMMERS_SALES[#Headers],0))</f>
        <v>Returning</v>
      </c>
      <c r="J297" t="str">
        <f>VLOOKUP($A297,'ECOMMERS SALES'!$1:$500,MATCH('vlookup match'!J$1,ECOMMERS_SALES[#Headers],0))</f>
        <v>UPI</v>
      </c>
    </row>
    <row r="298" spans="1:10" x14ac:dyDescent="0.35">
      <c r="A298">
        <v>1297</v>
      </c>
      <c r="B298" t="str">
        <f>VLOOKUP($A298,'ECOMMERS SALES'!$1:$500,MATCH('vlookup match'!B$1,ECOMMERS_SALES[#Headers],0))</f>
        <v>25-10-2025</v>
      </c>
      <c r="C298" t="str">
        <f>VLOOKUP($A298,'ECOMMERS SALES'!$1:$500,MATCH('vlookup match'!C$1,ECOMMERS_SALES[#Headers],0))</f>
        <v>Book</v>
      </c>
      <c r="D298" t="str">
        <f>VLOOKUP($A298,'ECOMMERS SALES'!$1:$500,MATCH('vlookup match'!D$1,ECOMMERS_SALES[#Headers],0))</f>
        <v>Books</v>
      </c>
      <c r="E298">
        <f>VLOOKUP($A298,'ECOMMERS SALES'!$1:$500,MATCH('vlookup match'!E$1,ECOMMERS_SALES[#Headers],0))</f>
        <v>1</v>
      </c>
      <c r="F298">
        <f>VLOOKUP($A298,'ECOMMERS SALES'!$1:$500,MATCH('vlookup match'!F$1,ECOMMERS_SALES[#Headers],0))</f>
        <v>925</v>
      </c>
      <c r="G298">
        <f>VLOOKUP($A298,'ECOMMERS SALES'!$1:$500,MATCH('vlookup match'!G$1,ECOMMERS_SALES[#Headers],0))</f>
        <v>925</v>
      </c>
      <c r="H298" t="str">
        <f>VLOOKUP($A298,'ECOMMERS SALES'!$1:$500,MATCH('vlookup match'!H$1,ECOMMERS_SALES[#Headers],0))</f>
        <v>Bangalore</v>
      </c>
      <c r="I298" t="str">
        <f>VLOOKUP($A298,'ECOMMERS SALES'!$1:$500,MATCH('vlookup match'!I$1,ECOMMERS_SALES[#Headers],0))</f>
        <v>Returning</v>
      </c>
      <c r="J298" t="str">
        <f>VLOOKUP($A298,'ECOMMERS SALES'!$1:$500,MATCH('vlookup match'!J$1,ECOMMERS_SALES[#Headers],0))</f>
        <v>COD</v>
      </c>
    </row>
    <row r="299" spans="1:10" x14ac:dyDescent="0.35">
      <c r="A299">
        <v>1298</v>
      </c>
      <c r="B299" t="str">
        <f>VLOOKUP($A299,'ECOMMERS SALES'!$1:$500,MATCH('vlookup match'!B$1,ECOMMERS_SALES[#Headers],0))</f>
        <v>26-10-2025</v>
      </c>
      <c r="C299" t="str">
        <f>VLOOKUP($A299,'ECOMMERS SALES'!$1:$500,MATCH('vlookup match'!C$1,ECOMMERS_SALES[#Headers],0))</f>
        <v>Backpack</v>
      </c>
      <c r="D299" t="str">
        <f>VLOOKUP($A299,'ECOMMERS SALES'!$1:$500,MATCH('vlookup match'!D$1,ECOMMERS_SALES[#Headers],0))</f>
        <v>Fashion</v>
      </c>
      <c r="E299">
        <f>VLOOKUP($A299,'ECOMMERS SALES'!$1:$500,MATCH('vlookup match'!E$1,ECOMMERS_SALES[#Headers],0))</f>
        <v>4</v>
      </c>
      <c r="F299">
        <f>VLOOKUP($A299,'ECOMMERS SALES'!$1:$500,MATCH('vlookup match'!F$1,ECOMMERS_SALES[#Headers],0))</f>
        <v>899</v>
      </c>
      <c r="G299">
        <f>VLOOKUP($A299,'ECOMMERS SALES'!$1:$500,MATCH('vlookup match'!G$1,ECOMMERS_SALES[#Headers],0))</f>
        <v>3596</v>
      </c>
      <c r="H299" t="str">
        <f>VLOOKUP($A299,'ECOMMERS SALES'!$1:$500,MATCH('vlookup match'!H$1,ECOMMERS_SALES[#Headers],0))</f>
        <v>Mumbai</v>
      </c>
      <c r="I299" t="str">
        <f>VLOOKUP($A299,'ECOMMERS SALES'!$1:$500,MATCH('vlookup match'!I$1,ECOMMERS_SALES[#Headers],0))</f>
        <v>New</v>
      </c>
      <c r="J299" t="str">
        <f>VLOOKUP($A299,'ECOMMERS SALES'!$1:$500,MATCH('vlookup match'!J$1,ECOMMERS_SALES[#Headers],0))</f>
        <v>COD</v>
      </c>
    </row>
    <row r="300" spans="1:10" x14ac:dyDescent="0.35">
      <c r="A300">
        <v>1299</v>
      </c>
      <c r="B300" t="str">
        <f>VLOOKUP($A300,'ECOMMERS SALES'!$1:$500,MATCH('vlookup match'!B$1,ECOMMERS_SALES[#Headers],0))</f>
        <v>27-10-2025</v>
      </c>
      <c r="C300" t="str">
        <f>VLOOKUP($A300,'ECOMMERS SALES'!$1:$500,MATCH('vlookup match'!C$1,ECOMMERS_SALES[#Headers],0))</f>
        <v>Smartwatch</v>
      </c>
      <c r="D300" t="str">
        <f>VLOOKUP($A300,'ECOMMERS SALES'!$1:$500,MATCH('vlookup match'!D$1,ECOMMERS_SALES[#Headers],0))</f>
        <v>Electronics</v>
      </c>
      <c r="E300">
        <f>VLOOKUP($A300,'ECOMMERS SALES'!$1:$500,MATCH('vlookup match'!E$1,ECOMMERS_SALES[#Headers],0))</f>
        <v>2</v>
      </c>
      <c r="F300">
        <f>VLOOKUP($A300,'ECOMMERS SALES'!$1:$500,MATCH('vlookup match'!F$1,ECOMMERS_SALES[#Headers],0))</f>
        <v>11888</v>
      </c>
      <c r="G300">
        <f>VLOOKUP($A300,'ECOMMERS SALES'!$1:$500,MATCH('vlookup match'!G$1,ECOMMERS_SALES[#Headers],0))</f>
        <v>23776</v>
      </c>
      <c r="H300" t="str">
        <f>VLOOKUP($A300,'ECOMMERS SALES'!$1:$500,MATCH('vlookup match'!H$1,ECOMMERS_SALES[#Headers],0))</f>
        <v>Hyderabad</v>
      </c>
      <c r="I300" t="str">
        <f>VLOOKUP($A300,'ECOMMERS SALES'!$1:$500,MATCH('vlookup match'!I$1,ECOMMERS_SALES[#Headers],0))</f>
        <v>New</v>
      </c>
      <c r="J300" t="str">
        <f>VLOOKUP($A300,'ECOMMERS SALES'!$1:$500,MATCH('vlookup match'!J$1,ECOMMERS_SALES[#Headers],0))</f>
        <v>Card</v>
      </c>
    </row>
    <row r="301" spans="1:10" x14ac:dyDescent="0.35">
      <c r="A301">
        <v>1300</v>
      </c>
      <c r="B301" t="str">
        <f>VLOOKUP($A301,'ECOMMERS SALES'!$1:$500,MATCH('vlookup match'!B$1,ECOMMERS_SALES[#Headers],0))</f>
        <v>28-10-2025</v>
      </c>
      <c r="C301" t="str">
        <f>VLOOKUP($A301,'ECOMMERS SALES'!$1:$500,MATCH('vlookup match'!C$1,ECOMMERS_SALES[#Headers],0))</f>
        <v>Water Bottle</v>
      </c>
      <c r="D301" t="str">
        <f>VLOOKUP($A301,'ECOMMERS SALES'!$1:$500,MATCH('vlookup match'!D$1,ECOMMERS_SALES[#Headers],0))</f>
        <v>Other</v>
      </c>
      <c r="E301">
        <f>VLOOKUP($A301,'ECOMMERS SALES'!$1:$500,MATCH('vlookup match'!E$1,ECOMMERS_SALES[#Headers],0))</f>
        <v>3</v>
      </c>
      <c r="F301">
        <f>VLOOKUP($A301,'ECOMMERS SALES'!$1:$500,MATCH('vlookup match'!F$1,ECOMMERS_SALES[#Headers],0))</f>
        <v>551</v>
      </c>
      <c r="G301">
        <f>VLOOKUP($A301,'ECOMMERS SALES'!$1:$500,MATCH('vlookup match'!G$1,ECOMMERS_SALES[#Headers],0))</f>
        <v>1653</v>
      </c>
      <c r="H301" t="str">
        <f>VLOOKUP($A301,'ECOMMERS SALES'!$1:$500,MATCH('vlookup match'!H$1,ECOMMERS_SALES[#Headers],0))</f>
        <v>Hyderabad</v>
      </c>
      <c r="I301" t="str">
        <f>VLOOKUP($A301,'ECOMMERS SALES'!$1:$500,MATCH('vlookup match'!I$1,ECOMMERS_SALES[#Headers],0))</f>
        <v>Returning</v>
      </c>
      <c r="J301" t="str">
        <f>VLOOKUP($A301,'ECOMMERS SALES'!$1:$500,MATCH('vlookup match'!J$1,ECOMMERS_SALES[#Headers],0))</f>
        <v>Card</v>
      </c>
    </row>
    <row r="302" spans="1:10" x14ac:dyDescent="0.35">
      <c r="A302">
        <v>1301</v>
      </c>
      <c r="B302" t="str">
        <f>VLOOKUP($A302,'ECOMMERS SALES'!$1:$500,MATCH('vlookup match'!B$1,ECOMMERS_SALES[#Headers],0))</f>
        <v>29-10-2025</v>
      </c>
      <c r="C302" t="str">
        <f>VLOOKUP($A302,'ECOMMERS SALES'!$1:$500,MATCH('vlookup match'!C$1,ECOMMERS_SALES[#Headers],0))</f>
        <v>Laptop</v>
      </c>
      <c r="D302" t="str">
        <f>VLOOKUP($A302,'ECOMMERS SALES'!$1:$500,MATCH('vlookup match'!D$1,ECOMMERS_SALES[#Headers],0))</f>
        <v>Electronics</v>
      </c>
      <c r="E302">
        <f>VLOOKUP($A302,'ECOMMERS SALES'!$1:$500,MATCH('vlookup match'!E$1,ECOMMERS_SALES[#Headers],0))</f>
        <v>1</v>
      </c>
      <c r="F302">
        <f>VLOOKUP($A302,'ECOMMERS SALES'!$1:$500,MATCH('vlookup match'!F$1,ECOMMERS_SALES[#Headers],0))</f>
        <v>57645</v>
      </c>
      <c r="G302">
        <f>VLOOKUP($A302,'ECOMMERS SALES'!$1:$500,MATCH('vlookup match'!G$1,ECOMMERS_SALES[#Headers],0))</f>
        <v>57645</v>
      </c>
      <c r="H302" t="str">
        <f>VLOOKUP($A302,'ECOMMERS SALES'!$1:$500,MATCH('vlookup match'!H$1,ECOMMERS_SALES[#Headers],0))</f>
        <v>Delhi</v>
      </c>
      <c r="I302" t="str">
        <f>VLOOKUP($A302,'ECOMMERS SALES'!$1:$500,MATCH('vlookup match'!I$1,ECOMMERS_SALES[#Headers],0))</f>
        <v>New</v>
      </c>
      <c r="J302" t="str">
        <f>VLOOKUP($A302,'ECOMMERS SALES'!$1:$500,MATCH('vlookup match'!J$1,ECOMMERS_SALES[#Headers],0))</f>
        <v>COD</v>
      </c>
    </row>
    <row r="303" spans="1:10" x14ac:dyDescent="0.35">
      <c r="A303">
        <v>1302</v>
      </c>
      <c r="B303" t="str">
        <f>VLOOKUP($A303,'ECOMMERS SALES'!$1:$500,MATCH('vlookup match'!B$1,ECOMMERS_SALES[#Headers],0))</f>
        <v>30-10-2025</v>
      </c>
      <c r="C303" t="str">
        <f>VLOOKUP($A303,'ECOMMERS SALES'!$1:$500,MATCH('vlookup match'!C$1,ECOMMERS_SALES[#Headers],0))</f>
        <v>Headphones</v>
      </c>
      <c r="D303" t="str">
        <f>VLOOKUP($A303,'ECOMMERS SALES'!$1:$500,MATCH('vlookup match'!D$1,ECOMMERS_SALES[#Headers],0))</f>
        <v>Electronics</v>
      </c>
      <c r="E303">
        <f>VLOOKUP($A303,'ECOMMERS SALES'!$1:$500,MATCH('vlookup match'!E$1,ECOMMERS_SALES[#Headers],0))</f>
        <v>2</v>
      </c>
      <c r="F303">
        <f>VLOOKUP($A303,'ECOMMERS SALES'!$1:$500,MATCH('vlookup match'!F$1,ECOMMERS_SALES[#Headers],0))</f>
        <v>3967</v>
      </c>
      <c r="G303">
        <f>VLOOKUP($A303,'ECOMMERS SALES'!$1:$500,MATCH('vlookup match'!G$1,ECOMMERS_SALES[#Headers],0))</f>
        <v>7934</v>
      </c>
      <c r="H303" t="str">
        <f>VLOOKUP($A303,'ECOMMERS SALES'!$1:$500,MATCH('vlookup match'!H$1,ECOMMERS_SALES[#Headers],0))</f>
        <v>Delhi</v>
      </c>
      <c r="I303" t="str">
        <f>VLOOKUP($A303,'ECOMMERS SALES'!$1:$500,MATCH('vlookup match'!I$1,ECOMMERS_SALES[#Headers],0))</f>
        <v>Premimum</v>
      </c>
      <c r="J303" t="str">
        <f>VLOOKUP($A303,'ECOMMERS SALES'!$1:$500,MATCH('vlookup match'!J$1,ECOMMERS_SALES[#Headers],0))</f>
        <v>Card</v>
      </c>
    </row>
    <row r="304" spans="1:10" x14ac:dyDescent="0.35">
      <c r="A304">
        <v>1303</v>
      </c>
      <c r="B304" t="str">
        <f>VLOOKUP($A304,'ECOMMERS SALES'!$1:$500,MATCH('vlookup match'!B$1,ECOMMERS_SALES[#Headers],0))</f>
        <v>31-10-2025</v>
      </c>
      <c r="C304" t="str">
        <f>VLOOKUP($A304,'ECOMMERS SALES'!$1:$500,MATCH('vlookup match'!C$1,ECOMMERS_SALES[#Headers],0))</f>
        <v>Shoes</v>
      </c>
      <c r="D304" t="str">
        <f>VLOOKUP($A304,'ECOMMERS SALES'!$1:$500,MATCH('vlookup match'!D$1,ECOMMERS_SALES[#Headers],0))</f>
        <v>Fashion</v>
      </c>
      <c r="E304">
        <f>VLOOKUP($A304,'ECOMMERS SALES'!$1:$500,MATCH('vlookup match'!E$1,ECOMMERS_SALES[#Headers],0))</f>
        <v>1</v>
      </c>
      <c r="F304">
        <f>VLOOKUP($A304,'ECOMMERS SALES'!$1:$500,MATCH('vlookup match'!F$1,ECOMMERS_SALES[#Headers],0))</f>
        <v>4593</v>
      </c>
      <c r="G304">
        <f>VLOOKUP($A304,'ECOMMERS SALES'!$1:$500,MATCH('vlookup match'!G$1,ECOMMERS_SALES[#Headers],0))</f>
        <v>4593</v>
      </c>
      <c r="H304" t="str">
        <f>VLOOKUP($A304,'ECOMMERS SALES'!$1:$500,MATCH('vlookup match'!H$1,ECOMMERS_SALES[#Headers],0))</f>
        <v>Delhi</v>
      </c>
      <c r="I304" t="str">
        <f>VLOOKUP($A304,'ECOMMERS SALES'!$1:$500,MATCH('vlookup match'!I$1,ECOMMERS_SALES[#Headers],0))</f>
        <v>Premimum</v>
      </c>
      <c r="J304" t="str">
        <f>VLOOKUP($A304,'ECOMMERS SALES'!$1:$500,MATCH('vlookup match'!J$1,ECOMMERS_SALES[#Headers],0))</f>
        <v>UPI</v>
      </c>
    </row>
    <row r="305" spans="1:10" x14ac:dyDescent="0.35">
      <c r="A305">
        <v>1304</v>
      </c>
      <c r="B305" t="str">
        <f>VLOOKUP($A305,'ECOMMERS SALES'!$1:$500,MATCH('vlookup match'!B$1,ECOMMERS_SALES[#Headers],0))</f>
        <v>01-11-2025</v>
      </c>
      <c r="C305" t="str">
        <f>VLOOKUP($A305,'ECOMMERS SALES'!$1:$500,MATCH('vlookup match'!C$1,ECOMMERS_SALES[#Headers],0))</f>
        <v>Watch</v>
      </c>
      <c r="D305" t="str">
        <f>VLOOKUP($A305,'ECOMMERS SALES'!$1:$500,MATCH('vlookup match'!D$1,ECOMMERS_SALES[#Headers],0))</f>
        <v>Other</v>
      </c>
      <c r="E305">
        <f>VLOOKUP($A305,'ECOMMERS SALES'!$1:$500,MATCH('vlookup match'!E$1,ECOMMERS_SALES[#Headers],0))</f>
        <v>4</v>
      </c>
      <c r="F305">
        <f>VLOOKUP($A305,'ECOMMERS SALES'!$1:$500,MATCH('vlookup match'!F$1,ECOMMERS_SALES[#Headers],0))</f>
        <v>5728</v>
      </c>
      <c r="G305">
        <f>VLOOKUP($A305,'ECOMMERS SALES'!$1:$500,MATCH('vlookup match'!G$1,ECOMMERS_SALES[#Headers],0))</f>
        <v>22912</v>
      </c>
      <c r="H305" t="str">
        <f>VLOOKUP($A305,'ECOMMERS SALES'!$1:$500,MATCH('vlookup match'!H$1,ECOMMERS_SALES[#Headers],0))</f>
        <v>Delhi</v>
      </c>
      <c r="I305" t="str">
        <f>VLOOKUP($A305,'ECOMMERS SALES'!$1:$500,MATCH('vlookup match'!I$1,ECOMMERS_SALES[#Headers],0))</f>
        <v>New</v>
      </c>
      <c r="J305" t="str">
        <f>VLOOKUP($A305,'ECOMMERS SALES'!$1:$500,MATCH('vlookup match'!J$1,ECOMMERS_SALES[#Headers],0))</f>
        <v>COD</v>
      </c>
    </row>
    <row r="306" spans="1:10" x14ac:dyDescent="0.35">
      <c r="A306">
        <v>1305</v>
      </c>
      <c r="B306" t="str">
        <f>VLOOKUP($A306,'ECOMMERS SALES'!$1:$500,MATCH('vlookup match'!B$1,ECOMMERS_SALES[#Headers],0))</f>
        <v>02-11-2025</v>
      </c>
      <c r="C306" t="str">
        <f>VLOOKUP($A306,'ECOMMERS SALES'!$1:$500,MATCH('vlookup match'!C$1,ECOMMERS_SALES[#Headers],0))</f>
        <v>Mobile Case</v>
      </c>
      <c r="D306" t="str">
        <f>VLOOKUP($A306,'ECOMMERS SALES'!$1:$500,MATCH('vlookup match'!D$1,ECOMMERS_SALES[#Headers],0))</f>
        <v>Other</v>
      </c>
      <c r="E306">
        <f>VLOOKUP($A306,'ECOMMERS SALES'!$1:$500,MATCH('vlookup match'!E$1,ECOMMERS_SALES[#Headers],0))</f>
        <v>2</v>
      </c>
      <c r="F306">
        <f>VLOOKUP($A306,'ECOMMERS SALES'!$1:$500,MATCH('vlookup match'!F$1,ECOMMERS_SALES[#Headers],0))</f>
        <v>498</v>
      </c>
      <c r="G306">
        <f>VLOOKUP($A306,'ECOMMERS SALES'!$1:$500,MATCH('vlookup match'!G$1,ECOMMERS_SALES[#Headers],0))</f>
        <v>996</v>
      </c>
      <c r="H306" t="str">
        <f>VLOOKUP($A306,'ECOMMERS SALES'!$1:$500,MATCH('vlookup match'!H$1,ECOMMERS_SALES[#Headers],0))</f>
        <v>Mumbai</v>
      </c>
      <c r="I306" t="str">
        <f>VLOOKUP($A306,'ECOMMERS SALES'!$1:$500,MATCH('vlookup match'!I$1,ECOMMERS_SALES[#Headers],0))</f>
        <v>New</v>
      </c>
      <c r="J306" t="str">
        <f>VLOOKUP($A306,'ECOMMERS SALES'!$1:$500,MATCH('vlookup match'!J$1,ECOMMERS_SALES[#Headers],0))</f>
        <v>COD</v>
      </c>
    </row>
    <row r="307" spans="1:10" x14ac:dyDescent="0.35">
      <c r="A307">
        <v>1306</v>
      </c>
      <c r="B307" t="str">
        <f>VLOOKUP($A307,'ECOMMERS SALES'!$1:$500,MATCH('vlookup match'!B$1,ECOMMERS_SALES[#Headers],0))</f>
        <v>03-11-2025</v>
      </c>
      <c r="C307" t="str">
        <f>VLOOKUP($A307,'ECOMMERS SALES'!$1:$500,MATCH('vlookup match'!C$1,ECOMMERS_SALES[#Headers],0))</f>
        <v>Tablet</v>
      </c>
      <c r="D307" t="str">
        <f>VLOOKUP($A307,'ECOMMERS SALES'!$1:$500,MATCH('vlookup match'!D$1,ECOMMERS_SALES[#Headers],0))</f>
        <v>Electronics</v>
      </c>
      <c r="E307">
        <f>VLOOKUP($A307,'ECOMMERS SALES'!$1:$500,MATCH('vlookup match'!E$1,ECOMMERS_SALES[#Headers],0))</f>
        <v>2</v>
      </c>
      <c r="F307">
        <f>VLOOKUP($A307,'ECOMMERS SALES'!$1:$500,MATCH('vlookup match'!F$1,ECOMMERS_SALES[#Headers],0))</f>
        <v>39710</v>
      </c>
      <c r="G307">
        <f>VLOOKUP($A307,'ECOMMERS SALES'!$1:$500,MATCH('vlookup match'!G$1,ECOMMERS_SALES[#Headers],0))</f>
        <v>79420</v>
      </c>
      <c r="H307" t="str">
        <f>VLOOKUP($A307,'ECOMMERS SALES'!$1:$500,MATCH('vlookup match'!H$1,ECOMMERS_SALES[#Headers],0))</f>
        <v>Bangalore</v>
      </c>
      <c r="I307" t="str">
        <f>VLOOKUP($A307,'ECOMMERS SALES'!$1:$500,MATCH('vlookup match'!I$1,ECOMMERS_SALES[#Headers],0))</f>
        <v>New</v>
      </c>
      <c r="J307" t="str">
        <f>VLOOKUP($A307,'ECOMMERS SALES'!$1:$500,MATCH('vlookup match'!J$1,ECOMMERS_SALES[#Headers],0))</f>
        <v>UPI</v>
      </c>
    </row>
    <row r="308" spans="1:10" x14ac:dyDescent="0.35">
      <c r="A308">
        <v>1307</v>
      </c>
      <c r="B308" t="str">
        <f>VLOOKUP($A308,'ECOMMERS SALES'!$1:$500,MATCH('vlookup match'!B$1,ECOMMERS_SALES[#Headers],0))</f>
        <v>04-11-2025</v>
      </c>
      <c r="C308" t="str">
        <f>VLOOKUP($A308,'ECOMMERS SALES'!$1:$500,MATCH('vlookup match'!C$1,ECOMMERS_SALES[#Headers],0))</f>
        <v>Book</v>
      </c>
      <c r="D308" t="str">
        <f>VLOOKUP($A308,'ECOMMERS SALES'!$1:$500,MATCH('vlookup match'!D$1,ECOMMERS_SALES[#Headers],0))</f>
        <v>Books</v>
      </c>
      <c r="E308">
        <f>VLOOKUP($A308,'ECOMMERS SALES'!$1:$500,MATCH('vlookup match'!E$1,ECOMMERS_SALES[#Headers],0))</f>
        <v>3</v>
      </c>
      <c r="F308">
        <f>VLOOKUP($A308,'ECOMMERS SALES'!$1:$500,MATCH('vlookup match'!F$1,ECOMMERS_SALES[#Headers],0))</f>
        <v>197</v>
      </c>
      <c r="G308">
        <f>VLOOKUP($A308,'ECOMMERS SALES'!$1:$500,MATCH('vlookup match'!G$1,ECOMMERS_SALES[#Headers],0))</f>
        <v>591</v>
      </c>
      <c r="H308" t="str">
        <f>VLOOKUP($A308,'ECOMMERS SALES'!$1:$500,MATCH('vlookup match'!H$1,ECOMMERS_SALES[#Headers],0))</f>
        <v>Delhi</v>
      </c>
      <c r="I308" t="str">
        <f>VLOOKUP($A308,'ECOMMERS SALES'!$1:$500,MATCH('vlookup match'!I$1,ECOMMERS_SALES[#Headers],0))</f>
        <v>Premimum</v>
      </c>
      <c r="J308" t="str">
        <f>VLOOKUP($A308,'ECOMMERS SALES'!$1:$500,MATCH('vlookup match'!J$1,ECOMMERS_SALES[#Headers],0))</f>
        <v>Card</v>
      </c>
    </row>
    <row r="309" spans="1:10" x14ac:dyDescent="0.35">
      <c r="A309">
        <v>1308</v>
      </c>
      <c r="B309" t="str">
        <f>VLOOKUP($A309,'ECOMMERS SALES'!$1:$500,MATCH('vlookup match'!B$1,ECOMMERS_SALES[#Headers],0))</f>
        <v>05-11-2025</v>
      </c>
      <c r="C309" t="str">
        <f>VLOOKUP($A309,'ECOMMERS SALES'!$1:$500,MATCH('vlookup match'!C$1,ECOMMERS_SALES[#Headers],0))</f>
        <v>Backpack</v>
      </c>
      <c r="D309" t="str">
        <f>VLOOKUP($A309,'ECOMMERS SALES'!$1:$500,MATCH('vlookup match'!D$1,ECOMMERS_SALES[#Headers],0))</f>
        <v>Fashion</v>
      </c>
      <c r="E309">
        <f>VLOOKUP($A309,'ECOMMERS SALES'!$1:$500,MATCH('vlookup match'!E$1,ECOMMERS_SALES[#Headers],0))</f>
        <v>2</v>
      </c>
      <c r="F309">
        <f>VLOOKUP($A309,'ECOMMERS SALES'!$1:$500,MATCH('vlookup match'!F$1,ECOMMERS_SALES[#Headers],0))</f>
        <v>1815</v>
      </c>
      <c r="G309">
        <f>VLOOKUP($A309,'ECOMMERS SALES'!$1:$500,MATCH('vlookup match'!G$1,ECOMMERS_SALES[#Headers],0))</f>
        <v>3630</v>
      </c>
      <c r="H309" t="str">
        <f>VLOOKUP($A309,'ECOMMERS SALES'!$1:$500,MATCH('vlookup match'!H$1,ECOMMERS_SALES[#Headers],0))</f>
        <v>Hyderabad</v>
      </c>
      <c r="I309" t="str">
        <f>VLOOKUP($A309,'ECOMMERS SALES'!$1:$500,MATCH('vlookup match'!I$1,ECOMMERS_SALES[#Headers],0))</f>
        <v>New</v>
      </c>
      <c r="J309" t="str">
        <f>VLOOKUP($A309,'ECOMMERS SALES'!$1:$500,MATCH('vlookup match'!J$1,ECOMMERS_SALES[#Headers],0))</f>
        <v>UPI</v>
      </c>
    </row>
    <row r="310" spans="1:10" x14ac:dyDescent="0.35">
      <c r="A310">
        <v>1309</v>
      </c>
      <c r="B310" t="str">
        <f>VLOOKUP($A310,'ECOMMERS SALES'!$1:$500,MATCH('vlookup match'!B$1,ECOMMERS_SALES[#Headers],0))</f>
        <v>06-11-2025</v>
      </c>
      <c r="C310" t="str">
        <f>VLOOKUP($A310,'ECOMMERS SALES'!$1:$500,MATCH('vlookup match'!C$1,ECOMMERS_SALES[#Headers],0))</f>
        <v>Smartwatch</v>
      </c>
      <c r="D310" t="str">
        <f>VLOOKUP($A310,'ECOMMERS SALES'!$1:$500,MATCH('vlookup match'!D$1,ECOMMERS_SALES[#Headers],0))</f>
        <v>Electronics</v>
      </c>
      <c r="E310">
        <f>VLOOKUP($A310,'ECOMMERS SALES'!$1:$500,MATCH('vlookup match'!E$1,ECOMMERS_SALES[#Headers],0))</f>
        <v>2</v>
      </c>
      <c r="F310">
        <f>VLOOKUP($A310,'ECOMMERS SALES'!$1:$500,MATCH('vlookup match'!F$1,ECOMMERS_SALES[#Headers],0))</f>
        <v>3949</v>
      </c>
      <c r="G310">
        <f>VLOOKUP($A310,'ECOMMERS SALES'!$1:$500,MATCH('vlookup match'!G$1,ECOMMERS_SALES[#Headers],0))</f>
        <v>7898</v>
      </c>
      <c r="H310" t="str">
        <f>VLOOKUP($A310,'ECOMMERS SALES'!$1:$500,MATCH('vlookup match'!H$1,ECOMMERS_SALES[#Headers],0))</f>
        <v>Chennai</v>
      </c>
      <c r="I310" t="str">
        <f>VLOOKUP($A310,'ECOMMERS SALES'!$1:$500,MATCH('vlookup match'!I$1,ECOMMERS_SALES[#Headers],0))</f>
        <v>Premimum</v>
      </c>
      <c r="J310" t="str">
        <f>VLOOKUP($A310,'ECOMMERS SALES'!$1:$500,MATCH('vlookup match'!J$1,ECOMMERS_SALES[#Headers],0))</f>
        <v>UPI</v>
      </c>
    </row>
    <row r="311" spans="1:10" x14ac:dyDescent="0.35">
      <c r="A311">
        <v>1310</v>
      </c>
      <c r="B311" t="str">
        <f>VLOOKUP($A311,'ECOMMERS SALES'!$1:$500,MATCH('vlookup match'!B$1,ECOMMERS_SALES[#Headers],0))</f>
        <v>07-11-2025</v>
      </c>
      <c r="C311" t="str">
        <f>VLOOKUP($A311,'ECOMMERS SALES'!$1:$500,MATCH('vlookup match'!C$1,ECOMMERS_SALES[#Headers],0))</f>
        <v>Water Bottle</v>
      </c>
      <c r="D311" t="str">
        <f>VLOOKUP($A311,'ECOMMERS SALES'!$1:$500,MATCH('vlookup match'!D$1,ECOMMERS_SALES[#Headers],0))</f>
        <v>Other</v>
      </c>
      <c r="E311">
        <f>VLOOKUP($A311,'ECOMMERS SALES'!$1:$500,MATCH('vlookup match'!E$1,ECOMMERS_SALES[#Headers],0))</f>
        <v>1</v>
      </c>
      <c r="F311">
        <f>VLOOKUP($A311,'ECOMMERS SALES'!$1:$500,MATCH('vlookup match'!F$1,ECOMMERS_SALES[#Headers],0))</f>
        <v>208</v>
      </c>
      <c r="G311">
        <f>VLOOKUP($A311,'ECOMMERS SALES'!$1:$500,MATCH('vlookup match'!G$1,ECOMMERS_SALES[#Headers],0))</f>
        <v>208</v>
      </c>
      <c r="H311" t="str">
        <f>VLOOKUP($A311,'ECOMMERS SALES'!$1:$500,MATCH('vlookup match'!H$1,ECOMMERS_SALES[#Headers],0))</f>
        <v>Bangalore</v>
      </c>
      <c r="I311" t="str">
        <f>VLOOKUP($A311,'ECOMMERS SALES'!$1:$500,MATCH('vlookup match'!I$1,ECOMMERS_SALES[#Headers],0))</f>
        <v>New</v>
      </c>
      <c r="J311" t="str">
        <f>VLOOKUP($A311,'ECOMMERS SALES'!$1:$500,MATCH('vlookup match'!J$1,ECOMMERS_SALES[#Headers],0))</f>
        <v>COD</v>
      </c>
    </row>
    <row r="312" spans="1:10" x14ac:dyDescent="0.35">
      <c r="A312">
        <v>1311</v>
      </c>
      <c r="B312" t="str">
        <f>VLOOKUP($A312,'ECOMMERS SALES'!$1:$500,MATCH('vlookup match'!B$1,ECOMMERS_SALES[#Headers],0))</f>
        <v>08-11-2025</v>
      </c>
      <c r="C312" t="str">
        <f>VLOOKUP($A312,'ECOMMERS SALES'!$1:$500,MATCH('vlookup match'!C$1,ECOMMERS_SALES[#Headers],0))</f>
        <v>Laptop</v>
      </c>
      <c r="D312" t="str">
        <f>VLOOKUP($A312,'ECOMMERS SALES'!$1:$500,MATCH('vlookup match'!D$1,ECOMMERS_SALES[#Headers],0))</f>
        <v>Electronics</v>
      </c>
      <c r="E312">
        <f>VLOOKUP($A312,'ECOMMERS SALES'!$1:$500,MATCH('vlookup match'!E$1,ECOMMERS_SALES[#Headers],0))</f>
        <v>1</v>
      </c>
      <c r="F312">
        <f>VLOOKUP($A312,'ECOMMERS SALES'!$1:$500,MATCH('vlookup match'!F$1,ECOMMERS_SALES[#Headers],0))</f>
        <v>50605</v>
      </c>
      <c r="G312">
        <f>VLOOKUP($A312,'ECOMMERS SALES'!$1:$500,MATCH('vlookup match'!G$1,ECOMMERS_SALES[#Headers],0))</f>
        <v>50605</v>
      </c>
      <c r="H312" t="str">
        <f>VLOOKUP($A312,'ECOMMERS SALES'!$1:$500,MATCH('vlookup match'!H$1,ECOMMERS_SALES[#Headers],0))</f>
        <v>Bangalore</v>
      </c>
      <c r="I312" t="str">
        <f>VLOOKUP($A312,'ECOMMERS SALES'!$1:$500,MATCH('vlookup match'!I$1,ECOMMERS_SALES[#Headers],0))</f>
        <v>New</v>
      </c>
      <c r="J312" t="str">
        <f>VLOOKUP($A312,'ECOMMERS SALES'!$1:$500,MATCH('vlookup match'!J$1,ECOMMERS_SALES[#Headers],0))</f>
        <v>COD</v>
      </c>
    </row>
    <row r="313" spans="1:10" x14ac:dyDescent="0.35">
      <c r="A313">
        <v>1312</v>
      </c>
      <c r="B313" t="str">
        <f>VLOOKUP($A313,'ECOMMERS SALES'!$1:$500,MATCH('vlookup match'!B$1,ECOMMERS_SALES[#Headers],0))</f>
        <v>09-11-2025</v>
      </c>
      <c r="C313" t="str">
        <f>VLOOKUP($A313,'ECOMMERS SALES'!$1:$500,MATCH('vlookup match'!C$1,ECOMMERS_SALES[#Headers],0))</f>
        <v>Headphones</v>
      </c>
      <c r="D313" t="str">
        <f>VLOOKUP($A313,'ECOMMERS SALES'!$1:$500,MATCH('vlookup match'!D$1,ECOMMERS_SALES[#Headers],0))</f>
        <v>Electronics</v>
      </c>
      <c r="E313">
        <f>VLOOKUP($A313,'ECOMMERS SALES'!$1:$500,MATCH('vlookup match'!E$1,ECOMMERS_SALES[#Headers],0))</f>
        <v>3</v>
      </c>
      <c r="F313">
        <f>VLOOKUP($A313,'ECOMMERS SALES'!$1:$500,MATCH('vlookup match'!F$1,ECOMMERS_SALES[#Headers],0))</f>
        <v>4319</v>
      </c>
      <c r="G313">
        <f>VLOOKUP($A313,'ECOMMERS SALES'!$1:$500,MATCH('vlookup match'!G$1,ECOMMERS_SALES[#Headers],0))</f>
        <v>12957</v>
      </c>
      <c r="H313" t="str">
        <f>VLOOKUP($A313,'ECOMMERS SALES'!$1:$500,MATCH('vlookup match'!H$1,ECOMMERS_SALES[#Headers],0))</f>
        <v>Hyderabad</v>
      </c>
      <c r="I313" t="str">
        <f>VLOOKUP($A313,'ECOMMERS SALES'!$1:$500,MATCH('vlookup match'!I$1,ECOMMERS_SALES[#Headers],0))</f>
        <v>New</v>
      </c>
      <c r="J313" t="str">
        <f>VLOOKUP($A313,'ECOMMERS SALES'!$1:$500,MATCH('vlookup match'!J$1,ECOMMERS_SALES[#Headers],0))</f>
        <v>COD</v>
      </c>
    </row>
    <row r="314" spans="1:10" x14ac:dyDescent="0.35">
      <c r="A314">
        <v>1313</v>
      </c>
      <c r="B314" t="str">
        <f>VLOOKUP($A314,'ECOMMERS SALES'!$1:$500,MATCH('vlookup match'!B$1,ECOMMERS_SALES[#Headers],0))</f>
        <v>10-11-2025</v>
      </c>
      <c r="C314" t="str">
        <f>VLOOKUP($A314,'ECOMMERS SALES'!$1:$500,MATCH('vlookup match'!C$1,ECOMMERS_SALES[#Headers],0))</f>
        <v>Shoes</v>
      </c>
      <c r="D314" t="str">
        <f>VLOOKUP($A314,'ECOMMERS SALES'!$1:$500,MATCH('vlookup match'!D$1,ECOMMERS_SALES[#Headers],0))</f>
        <v>Fashion</v>
      </c>
      <c r="E314">
        <f>VLOOKUP($A314,'ECOMMERS SALES'!$1:$500,MATCH('vlookup match'!E$1,ECOMMERS_SALES[#Headers],0))</f>
        <v>1</v>
      </c>
      <c r="F314">
        <f>VLOOKUP($A314,'ECOMMERS SALES'!$1:$500,MATCH('vlookup match'!F$1,ECOMMERS_SALES[#Headers],0))</f>
        <v>3721</v>
      </c>
      <c r="G314">
        <f>VLOOKUP($A314,'ECOMMERS SALES'!$1:$500,MATCH('vlookup match'!G$1,ECOMMERS_SALES[#Headers],0))</f>
        <v>3721</v>
      </c>
      <c r="H314" t="str">
        <f>VLOOKUP($A314,'ECOMMERS SALES'!$1:$500,MATCH('vlookup match'!H$1,ECOMMERS_SALES[#Headers],0))</f>
        <v>Delhi</v>
      </c>
      <c r="I314" t="str">
        <f>VLOOKUP($A314,'ECOMMERS SALES'!$1:$500,MATCH('vlookup match'!I$1,ECOMMERS_SALES[#Headers],0))</f>
        <v>New</v>
      </c>
      <c r="J314" t="str">
        <f>VLOOKUP($A314,'ECOMMERS SALES'!$1:$500,MATCH('vlookup match'!J$1,ECOMMERS_SALES[#Headers],0))</f>
        <v>Card</v>
      </c>
    </row>
    <row r="315" spans="1:10" x14ac:dyDescent="0.35">
      <c r="A315">
        <v>1314</v>
      </c>
      <c r="B315" t="str">
        <f>VLOOKUP($A315,'ECOMMERS SALES'!$1:$500,MATCH('vlookup match'!B$1,ECOMMERS_SALES[#Headers],0))</f>
        <v>11-11-2025</v>
      </c>
      <c r="C315" t="str">
        <f>VLOOKUP($A315,'ECOMMERS SALES'!$1:$500,MATCH('vlookup match'!C$1,ECOMMERS_SALES[#Headers],0))</f>
        <v>Watch</v>
      </c>
      <c r="D315" t="str">
        <f>VLOOKUP($A315,'ECOMMERS SALES'!$1:$500,MATCH('vlookup match'!D$1,ECOMMERS_SALES[#Headers],0))</f>
        <v>Other</v>
      </c>
      <c r="E315">
        <f>VLOOKUP($A315,'ECOMMERS SALES'!$1:$500,MATCH('vlookup match'!E$1,ECOMMERS_SALES[#Headers],0))</f>
        <v>2</v>
      </c>
      <c r="F315">
        <f>VLOOKUP($A315,'ECOMMERS SALES'!$1:$500,MATCH('vlookup match'!F$1,ECOMMERS_SALES[#Headers],0))</f>
        <v>12930</v>
      </c>
      <c r="G315">
        <f>VLOOKUP($A315,'ECOMMERS SALES'!$1:$500,MATCH('vlookup match'!G$1,ECOMMERS_SALES[#Headers],0))</f>
        <v>25860</v>
      </c>
      <c r="H315" t="str">
        <f>VLOOKUP($A315,'ECOMMERS SALES'!$1:$500,MATCH('vlookup match'!H$1,ECOMMERS_SALES[#Headers],0))</f>
        <v>Pune</v>
      </c>
      <c r="I315" t="str">
        <f>VLOOKUP($A315,'ECOMMERS SALES'!$1:$500,MATCH('vlookup match'!I$1,ECOMMERS_SALES[#Headers],0))</f>
        <v>Premimum</v>
      </c>
      <c r="J315" t="str">
        <f>VLOOKUP($A315,'ECOMMERS SALES'!$1:$500,MATCH('vlookup match'!J$1,ECOMMERS_SALES[#Headers],0))</f>
        <v>UPI</v>
      </c>
    </row>
    <row r="316" spans="1:10" x14ac:dyDescent="0.35">
      <c r="A316">
        <v>1315</v>
      </c>
      <c r="B316" t="str">
        <f>VLOOKUP($A316,'ECOMMERS SALES'!$1:$500,MATCH('vlookup match'!B$1,ECOMMERS_SALES[#Headers],0))</f>
        <v>12-11-2025</v>
      </c>
      <c r="C316" t="str">
        <f>VLOOKUP($A316,'ECOMMERS SALES'!$1:$500,MATCH('vlookup match'!C$1,ECOMMERS_SALES[#Headers],0))</f>
        <v>Mobile Case</v>
      </c>
      <c r="D316" t="str">
        <f>VLOOKUP($A316,'ECOMMERS SALES'!$1:$500,MATCH('vlookup match'!D$1,ECOMMERS_SALES[#Headers],0))</f>
        <v>Other</v>
      </c>
      <c r="E316">
        <f>VLOOKUP($A316,'ECOMMERS SALES'!$1:$500,MATCH('vlookup match'!E$1,ECOMMERS_SALES[#Headers],0))</f>
        <v>4</v>
      </c>
      <c r="F316">
        <f>VLOOKUP($A316,'ECOMMERS SALES'!$1:$500,MATCH('vlookup match'!F$1,ECOMMERS_SALES[#Headers],0))</f>
        <v>707</v>
      </c>
      <c r="G316">
        <f>VLOOKUP($A316,'ECOMMERS SALES'!$1:$500,MATCH('vlookup match'!G$1,ECOMMERS_SALES[#Headers],0))</f>
        <v>2828</v>
      </c>
      <c r="H316" t="str">
        <f>VLOOKUP($A316,'ECOMMERS SALES'!$1:$500,MATCH('vlookup match'!H$1,ECOMMERS_SALES[#Headers],0))</f>
        <v>Pune</v>
      </c>
      <c r="I316" t="str">
        <f>VLOOKUP($A316,'ECOMMERS SALES'!$1:$500,MATCH('vlookup match'!I$1,ECOMMERS_SALES[#Headers],0))</f>
        <v>Returning</v>
      </c>
      <c r="J316" t="str">
        <f>VLOOKUP($A316,'ECOMMERS SALES'!$1:$500,MATCH('vlookup match'!J$1,ECOMMERS_SALES[#Headers],0))</f>
        <v>Card</v>
      </c>
    </row>
    <row r="317" spans="1:10" x14ac:dyDescent="0.35">
      <c r="A317">
        <v>1316</v>
      </c>
      <c r="B317" t="str">
        <f>VLOOKUP($A317,'ECOMMERS SALES'!$1:$500,MATCH('vlookup match'!B$1,ECOMMERS_SALES[#Headers],0))</f>
        <v>13-11-2025</v>
      </c>
      <c r="C317" t="str">
        <f>VLOOKUP($A317,'ECOMMERS SALES'!$1:$500,MATCH('vlookup match'!C$1,ECOMMERS_SALES[#Headers],0))</f>
        <v>Tablet</v>
      </c>
      <c r="D317" t="str">
        <f>VLOOKUP($A317,'ECOMMERS SALES'!$1:$500,MATCH('vlookup match'!D$1,ECOMMERS_SALES[#Headers],0))</f>
        <v>Electronics</v>
      </c>
      <c r="E317">
        <f>VLOOKUP($A317,'ECOMMERS SALES'!$1:$500,MATCH('vlookup match'!E$1,ECOMMERS_SALES[#Headers],0))</f>
        <v>2</v>
      </c>
      <c r="F317">
        <f>VLOOKUP($A317,'ECOMMERS SALES'!$1:$500,MATCH('vlookup match'!F$1,ECOMMERS_SALES[#Headers],0))</f>
        <v>36907</v>
      </c>
      <c r="G317">
        <f>VLOOKUP($A317,'ECOMMERS SALES'!$1:$500,MATCH('vlookup match'!G$1,ECOMMERS_SALES[#Headers],0))</f>
        <v>73814</v>
      </c>
      <c r="H317" t="str">
        <f>VLOOKUP($A317,'ECOMMERS SALES'!$1:$500,MATCH('vlookup match'!H$1,ECOMMERS_SALES[#Headers],0))</f>
        <v>Hyderabad</v>
      </c>
      <c r="I317" t="str">
        <f>VLOOKUP($A317,'ECOMMERS SALES'!$1:$500,MATCH('vlookup match'!I$1,ECOMMERS_SALES[#Headers],0))</f>
        <v>Returning</v>
      </c>
      <c r="J317" t="str">
        <f>VLOOKUP($A317,'ECOMMERS SALES'!$1:$500,MATCH('vlookup match'!J$1,ECOMMERS_SALES[#Headers],0))</f>
        <v>Card</v>
      </c>
    </row>
    <row r="318" spans="1:10" x14ac:dyDescent="0.35">
      <c r="A318">
        <v>1317</v>
      </c>
      <c r="B318" t="str">
        <f>VLOOKUP($A318,'ECOMMERS SALES'!$1:$500,MATCH('vlookup match'!B$1,ECOMMERS_SALES[#Headers],0))</f>
        <v>14-11-2025</v>
      </c>
      <c r="C318" t="str">
        <f>VLOOKUP($A318,'ECOMMERS SALES'!$1:$500,MATCH('vlookup match'!C$1,ECOMMERS_SALES[#Headers],0))</f>
        <v>Book</v>
      </c>
      <c r="D318" t="str">
        <f>VLOOKUP($A318,'ECOMMERS SALES'!$1:$500,MATCH('vlookup match'!D$1,ECOMMERS_SALES[#Headers],0))</f>
        <v>Books</v>
      </c>
      <c r="E318">
        <f>VLOOKUP($A318,'ECOMMERS SALES'!$1:$500,MATCH('vlookup match'!E$1,ECOMMERS_SALES[#Headers],0))</f>
        <v>1</v>
      </c>
      <c r="F318">
        <f>VLOOKUP($A318,'ECOMMERS SALES'!$1:$500,MATCH('vlookup match'!F$1,ECOMMERS_SALES[#Headers],0))</f>
        <v>942</v>
      </c>
      <c r="G318">
        <f>VLOOKUP($A318,'ECOMMERS SALES'!$1:$500,MATCH('vlookup match'!G$1,ECOMMERS_SALES[#Headers],0))</f>
        <v>942</v>
      </c>
      <c r="H318" t="str">
        <f>VLOOKUP($A318,'ECOMMERS SALES'!$1:$500,MATCH('vlookup match'!H$1,ECOMMERS_SALES[#Headers],0))</f>
        <v>Delhi</v>
      </c>
      <c r="I318" t="str">
        <f>VLOOKUP($A318,'ECOMMERS SALES'!$1:$500,MATCH('vlookup match'!I$1,ECOMMERS_SALES[#Headers],0))</f>
        <v>New</v>
      </c>
      <c r="J318" t="str">
        <f>VLOOKUP($A318,'ECOMMERS SALES'!$1:$500,MATCH('vlookup match'!J$1,ECOMMERS_SALES[#Headers],0))</f>
        <v>COD</v>
      </c>
    </row>
    <row r="319" spans="1:10" x14ac:dyDescent="0.35">
      <c r="A319">
        <v>1318</v>
      </c>
      <c r="B319" t="str">
        <f>VLOOKUP($A319,'ECOMMERS SALES'!$1:$500,MATCH('vlookup match'!B$1,ECOMMERS_SALES[#Headers],0))</f>
        <v>15-11-2025</v>
      </c>
      <c r="C319" t="str">
        <f>VLOOKUP($A319,'ECOMMERS SALES'!$1:$500,MATCH('vlookup match'!C$1,ECOMMERS_SALES[#Headers],0))</f>
        <v>Backpack</v>
      </c>
      <c r="D319" t="str">
        <f>VLOOKUP($A319,'ECOMMERS SALES'!$1:$500,MATCH('vlookup match'!D$1,ECOMMERS_SALES[#Headers],0))</f>
        <v>Fashion</v>
      </c>
      <c r="E319">
        <f>VLOOKUP($A319,'ECOMMERS SALES'!$1:$500,MATCH('vlookup match'!E$1,ECOMMERS_SALES[#Headers],0))</f>
        <v>3</v>
      </c>
      <c r="F319">
        <f>VLOOKUP($A319,'ECOMMERS SALES'!$1:$500,MATCH('vlookup match'!F$1,ECOMMERS_SALES[#Headers],0))</f>
        <v>826</v>
      </c>
      <c r="G319">
        <f>VLOOKUP($A319,'ECOMMERS SALES'!$1:$500,MATCH('vlookup match'!G$1,ECOMMERS_SALES[#Headers],0))</f>
        <v>2478</v>
      </c>
      <c r="H319" t="str">
        <f>VLOOKUP($A319,'ECOMMERS SALES'!$1:$500,MATCH('vlookup match'!H$1,ECOMMERS_SALES[#Headers],0))</f>
        <v>Bangalore</v>
      </c>
      <c r="I319" t="str">
        <f>VLOOKUP($A319,'ECOMMERS SALES'!$1:$500,MATCH('vlookup match'!I$1,ECOMMERS_SALES[#Headers],0))</f>
        <v>Premimum</v>
      </c>
      <c r="J319" t="str">
        <f>VLOOKUP($A319,'ECOMMERS SALES'!$1:$500,MATCH('vlookup match'!J$1,ECOMMERS_SALES[#Headers],0))</f>
        <v>UPI</v>
      </c>
    </row>
    <row r="320" spans="1:10" x14ac:dyDescent="0.35">
      <c r="A320">
        <v>1319</v>
      </c>
      <c r="B320" t="str">
        <f>VLOOKUP($A320,'ECOMMERS SALES'!$1:$500,MATCH('vlookup match'!B$1,ECOMMERS_SALES[#Headers],0))</f>
        <v>16-11-2025</v>
      </c>
      <c r="C320" t="str">
        <f>VLOOKUP($A320,'ECOMMERS SALES'!$1:$500,MATCH('vlookup match'!C$1,ECOMMERS_SALES[#Headers],0))</f>
        <v>Smartwatch</v>
      </c>
      <c r="D320" t="str">
        <f>VLOOKUP($A320,'ECOMMERS SALES'!$1:$500,MATCH('vlookup match'!D$1,ECOMMERS_SALES[#Headers],0))</f>
        <v>Electronics</v>
      </c>
      <c r="E320">
        <f>VLOOKUP($A320,'ECOMMERS SALES'!$1:$500,MATCH('vlookup match'!E$1,ECOMMERS_SALES[#Headers],0))</f>
        <v>1</v>
      </c>
      <c r="F320">
        <f>VLOOKUP($A320,'ECOMMERS SALES'!$1:$500,MATCH('vlookup match'!F$1,ECOMMERS_SALES[#Headers],0))</f>
        <v>3941</v>
      </c>
      <c r="G320">
        <f>VLOOKUP($A320,'ECOMMERS SALES'!$1:$500,MATCH('vlookup match'!G$1,ECOMMERS_SALES[#Headers],0))</f>
        <v>3941</v>
      </c>
      <c r="H320" t="str">
        <f>VLOOKUP($A320,'ECOMMERS SALES'!$1:$500,MATCH('vlookup match'!H$1,ECOMMERS_SALES[#Headers],0))</f>
        <v>Hyderabad</v>
      </c>
      <c r="I320" t="str">
        <f>VLOOKUP($A320,'ECOMMERS SALES'!$1:$500,MATCH('vlookup match'!I$1,ECOMMERS_SALES[#Headers],0))</f>
        <v>Returning</v>
      </c>
      <c r="J320" t="str">
        <f>VLOOKUP($A320,'ECOMMERS SALES'!$1:$500,MATCH('vlookup match'!J$1,ECOMMERS_SALES[#Headers],0))</f>
        <v>Card</v>
      </c>
    </row>
    <row r="321" spans="1:10" x14ac:dyDescent="0.35">
      <c r="A321">
        <v>1320</v>
      </c>
      <c r="B321" t="str">
        <f>VLOOKUP($A321,'ECOMMERS SALES'!$1:$500,MATCH('vlookup match'!B$1,ECOMMERS_SALES[#Headers],0))</f>
        <v>17-11-2025</v>
      </c>
      <c r="C321" t="str">
        <f>VLOOKUP($A321,'ECOMMERS SALES'!$1:$500,MATCH('vlookup match'!C$1,ECOMMERS_SALES[#Headers],0))</f>
        <v>Water Bottle</v>
      </c>
      <c r="D321" t="str">
        <f>VLOOKUP($A321,'ECOMMERS SALES'!$1:$500,MATCH('vlookup match'!D$1,ECOMMERS_SALES[#Headers],0))</f>
        <v>Other</v>
      </c>
      <c r="E321">
        <f>VLOOKUP($A321,'ECOMMERS SALES'!$1:$500,MATCH('vlookup match'!E$1,ECOMMERS_SALES[#Headers],0))</f>
        <v>2</v>
      </c>
      <c r="F321">
        <f>VLOOKUP($A321,'ECOMMERS SALES'!$1:$500,MATCH('vlookup match'!F$1,ECOMMERS_SALES[#Headers],0))</f>
        <v>476</v>
      </c>
      <c r="G321">
        <f>VLOOKUP($A321,'ECOMMERS SALES'!$1:$500,MATCH('vlookup match'!G$1,ECOMMERS_SALES[#Headers],0))</f>
        <v>952</v>
      </c>
      <c r="H321" t="str">
        <f>VLOOKUP($A321,'ECOMMERS SALES'!$1:$500,MATCH('vlookup match'!H$1,ECOMMERS_SALES[#Headers],0))</f>
        <v>Chennai</v>
      </c>
      <c r="I321" t="str">
        <f>VLOOKUP($A321,'ECOMMERS SALES'!$1:$500,MATCH('vlookup match'!I$1,ECOMMERS_SALES[#Headers],0))</f>
        <v>New</v>
      </c>
      <c r="J321" t="str">
        <f>VLOOKUP($A321,'ECOMMERS SALES'!$1:$500,MATCH('vlookup match'!J$1,ECOMMERS_SALES[#Headers],0))</f>
        <v>Card</v>
      </c>
    </row>
    <row r="322" spans="1:10" x14ac:dyDescent="0.35">
      <c r="A322">
        <v>1321</v>
      </c>
      <c r="B322" t="str">
        <f>VLOOKUP($A322,'ECOMMERS SALES'!$1:$500,MATCH('vlookup match'!B$1,ECOMMERS_SALES[#Headers],0))</f>
        <v>18-11-2025</v>
      </c>
      <c r="C322" t="str">
        <f>VLOOKUP($A322,'ECOMMERS SALES'!$1:$500,MATCH('vlookup match'!C$1,ECOMMERS_SALES[#Headers],0))</f>
        <v>Laptop</v>
      </c>
      <c r="D322" t="str">
        <f>VLOOKUP($A322,'ECOMMERS SALES'!$1:$500,MATCH('vlookup match'!D$1,ECOMMERS_SALES[#Headers],0))</f>
        <v>Electronics</v>
      </c>
      <c r="E322">
        <f>VLOOKUP($A322,'ECOMMERS SALES'!$1:$500,MATCH('vlookup match'!E$1,ECOMMERS_SALES[#Headers],0))</f>
        <v>2</v>
      </c>
      <c r="F322">
        <f>VLOOKUP($A322,'ECOMMERS SALES'!$1:$500,MATCH('vlookup match'!F$1,ECOMMERS_SALES[#Headers],0))</f>
        <v>41658</v>
      </c>
      <c r="G322">
        <f>VLOOKUP($A322,'ECOMMERS SALES'!$1:$500,MATCH('vlookup match'!G$1,ECOMMERS_SALES[#Headers],0))</f>
        <v>83316</v>
      </c>
      <c r="H322" t="str">
        <f>VLOOKUP($A322,'ECOMMERS SALES'!$1:$500,MATCH('vlookup match'!H$1,ECOMMERS_SALES[#Headers],0))</f>
        <v>Pune</v>
      </c>
      <c r="I322" t="str">
        <f>VLOOKUP($A322,'ECOMMERS SALES'!$1:$500,MATCH('vlookup match'!I$1,ECOMMERS_SALES[#Headers],0))</f>
        <v>Premimum</v>
      </c>
      <c r="J322" t="str">
        <f>VLOOKUP($A322,'ECOMMERS SALES'!$1:$500,MATCH('vlookup match'!J$1,ECOMMERS_SALES[#Headers],0))</f>
        <v>COD</v>
      </c>
    </row>
    <row r="323" spans="1:10" x14ac:dyDescent="0.35">
      <c r="A323">
        <v>1322</v>
      </c>
      <c r="B323" t="str">
        <f>VLOOKUP($A323,'ECOMMERS SALES'!$1:$500,MATCH('vlookup match'!B$1,ECOMMERS_SALES[#Headers],0))</f>
        <v>19-11-2025</v>
      </c>
      <c r="C323" t="str">
        <f>VLOOKUP($A323,'ECOMMERS SALES'!$1:$500,MATCH('vlookup match'!C$1,ECOMMERS_SALES[#Headers],0))</f>
        <v>Headphones</v>
      </c>
      <c r="D323" t="str">
        <f>VLOOKUP($A323,'ECOMMERS SALES'!$1:$500,MATCH('vlookup match'!D$1,ECOMMERS_SALES[#Headers],0))</f>
        <v>Electronics</v>
      </c>
      <c r="E323">
        <f>VLOOKUP($A323,'ECOMMERS SALES'!$1:$500,MATCH('vlookup match'!E$1,ECOMMERS_SALES[#Headers],0))</f>
        <v>1</v>
      </c>
      <c r="F323">
        <f>VLOOKUP($A323,'ECOMMERS SALES'!$1:$500,MATCH('vlookup match'!F$1,ECOMMERS_SALES[#Headers],0))</f>
        <v>4084</v>
      </c>
      <c r="G323">
        <f>VLOOKUP($A323,'ECOMMERS SALES'!$1:$500,MATCH('vlookup match'!G$1,ECOMMERS_SALES[#Headers],0))</f>
        <v>4084</v>
      </c>
      <c r="H323" t="str">
        <f>VLOOKUP($A323,'ECOMMERS SALES'!$1:$500,MATCH('vlookup match'!H$1,ECOMMERS_SALES[#Headers],0))</f>
        <v>Mumbai</v>
      </c>
      <c r="I323" t="str">
        <f>VLOOKUP($A323,'ECOMMERS SALES'!$1:$500,MATCH('vlookup match'!I$1,ECOMMERS_SALES[#Headers],0))</f>
        <v>Returning</v>
      </c>
      <c r="J323" t="str">
        <f>VLOOKUP($A323,'ECOMMERS SALES'!$1:$500,MATCH('vlookup match'!J$1,ECOMMERS_SALES[#Headers],0))</f>
        <v>UPI</v>
      </c>
    </row>
    <row r="324" spans="1:10" x14ac:dyDescent="0.35">
      <c r="A324">
        <v>1323</v>
      </c>
      <c r="B324" t="str">
        <f>VLOOKUP($A324,'ECOMMERS SALES'!$1:$500,MATCH('vlookup match'!B$1,ECOMMERS_SALES[#Headers],0))</f>
        <v>20-11-2025</v>
      </c>
      <c r="C324" t="str">
        <f>VLOOKUP($A324,'ECOMMERS SALES'!$1:$500,MATCH('vlookup match'!C$1,ECOMMERS_SALES[#Headers],0))</f>
        <v>Shoes</v>
      </c>
      <c r="D324" t="str">
        <f>VLOOKUP($A324,'ECOMMERS SALES'!$1:$500,MATCH('vlookup match'!D$1,ECOMMERS_SALES[#Headers],0))</f>
        <v>Fashion</v>
      </c>
      <c r="E324">
        <f>VLOOKUP($A324,'ECOMMERS SALES'!$1:$500,MATCH('vlookup match'!E$1,ECOMMERS_SALES[#Headers],0))</f>
        <v>3</v>
      </c>
      <c r="F324">
        <f>VLOOKUP($A324,'ECOMMERS SALES'!$1:$500,MATCH('vlookup match'!F$1,ECOMMERS_SALES[#Headers],0))</f>
        <v>3098</v>
      </c>
      <c r="G324">
        <f>VLOOKUP($A324,'ECOMMERS SALES'!$1:$500,MATCH('vlookup match'!G$1,ECOMMERS_SALES[#Headers],0))</f>
        <v>9294</v>
      </c>
      <c r="H324" t="str">
        <f>VLOOKUP($A324,'ECOMMERS SALES'!$1:$500,MATCH('vlookup match'!H$1,ECOMMERS_SALES[#Headers],0))</f>
        <v>Pune</v>
      </c>
      <c r="I324" t="str">
        <f>VLOOKUP($A324,'ECOMMERS SALES'!$1:$500,MATCH('vlookup match'!I$1,ECOMMERS_SALES[#Headers],0))</f>
        <v>Returning</v>
      </c>
      <c r="J324" t="str">
        <f>VLOOKUP($A324,'ECOMMERS SALES'!$1:$500,MATCH('vlookup match'!J$1,ECOMMERS_SALES[#Headers],0))</f>
        <v>UPI</v>
      </c>
    </row>
    <row r="325" spans="1:10" x14ac:dyDescent="0.35">
      <c r="A325">
        <v>1324</v>
      </c>
      <c r="B325" t="str">
        <f>VLOOKUP($A325,'ECOMMERS SALES'!$1:$500,MATCH('vlookup match'!B$1,ECOMMERS_SALES[#Headers],0))</f>
        <v>21-11-2025</v>
      </c>
      <c r="C325" t="str">
        <f>VLOOKUP($A325,'ECOMMERS SALES'!$1:$500,MATCH('vlookup match'!C$1,ECOMMERS_SALES[#Headers],0))</f>
        <v>Watch</v>
      </c>
      <c r="D325" t="str">
        <f>VLOOKUP($A325,'ECOMMERS SALES'!$1:$500,MATCH('vlookup match'!D$1,ECOMMERS_SALES[#Headers],0))</f>
        <v>Other</v>
      </c>
      <c r="E325">
        <f>VLOOKUP($A325,'ECOMMERS SALES'!$1:$500,MATCH('vlookup match'!E$1,ECOMMERS_SALES[#Headers],0))</f>
        <v>5</v>
      </c>
      <c r="F325">
        <f>VLOOKUP($A325,'ECOMMERS SALES'!$1:$500,MATCH('vlookup match'!F$1,ECOMMERS_SALES[#Headers],0))</f>
        <v>18226</v>
      </c>
      <c r="G325">
        <f>VLOOKUP($A325,'ECOMMERS SALES'!$1:$500,MATCH('vlookup match'!G$1,ECOMMERS_SALES[#Headers],0))</f>
        <v>91130</v>
      </c>
      <c r="H325" t="str">
        <f>VLOOKUP($A325,'ECOMMERS SALES'!$1:$500,MATCH('vlookup match'!H$1,ECOMMERS_SALES[#Headers],0))</f>
        <v>Bangalore</v>
      </c>
      <c r="I325" t="str">
        <f>VLOOKUP($A325,'ECOMMERS SALES'!$1:$500,MATCH('vlookup match'!I$1,ECOMMERS_SALES[#Headers],0))</f>
        <v>Premimum</v>
      </c>
      <c r="J325" t="str">
        <f>VLOOKUP($A325,'ECOMMERS SALES'!$1:$500,MATCH('vlookup match'!J$1,ECOMMERS_SALES[#Headers],0))</f>
        <v>COD</v>
      </c>
    </row>
    <row r="326" spans="1:10" x14ac:dyDescent="0.35">
      <c r="A326">
        <v>1325</v>
      </c>
      <c r="B326" t="str">
        <f>VLOOKUP($A326,'ECOMMERS SALES'!$1:$500,MATCH('vlookup match'!B$1,ECOMMERS_SALES[#Headers],0))</f>
        <v>22-11-2025</v>
      </c>
      <c r="C326" t="str">
        <f>VLOOKUP($A326,'ECOMMERS SALES'!$1:$500,MATCH('vlookup match'!C$1,ECOMMERS_SALES[#Headers],0))</f>
        <v>Mobile Case</v>
      </c>
      <c r="D326" t="str">
        <f>VLOOKUP($A326,'ECOMMERS SALES'!$1:$500,MATCH('vlookup match'!D$1,ECOMMERS_SALES[#Headers],0))</f>
        <v>Other</v>
      </c>
      <c r="E326">
        <f>VLOOKUP($A326,'ECOMMERS SALES'!$1:$500,MATCH('vlookup match'!E$1,ECOMMERS_SALES[#Headers],0))</f>
        <v>5</v>
      </c>
      <c r="F326">
        <f>VLOOKUP($A326,'ECOMMERS SALES'!$1:$500,MATCH('vlookup match'!F$1,ECOMMERS_SALES[#Headers],0))</f>
        <v>298</v>
      </c>
      <c r="G326">
        <f>VLOOKUP($A326,'ECOMMERS SALES'!$1:$500,MATCH('vlookup match'!G$1,ECOMMERS_SALES[#Headers],0))</f>
        <v>1490</v>
      </c>
      <c r="H326" t="str">
        <f>VLOOKUP($A326,'ECOMMERS SALES'!$1:$500,MATCH('vlookup match'!H$1,ECOMMERS_SALES[#Headers],0))</f>
        <v>Chennai</v>
      </c>
      <c r="I326" t="str">
        <f>VLOOKUP($A326,'ECOMMERS SALES'!$1:$500,MATCH('vlookup match'!I$1,ECOMMERS_SALES[#Headers],0))</f>
        <v>Returning</v>
      </c>
      <c r="J326" t="str">
        <f>VLOOKUP($A326,'ECOMMERS SALES'!$1:$500,MATCH('vlookup match'!J$1,ECOMMERS_SALES[#Headers],0))</f>
        <v>COD</v>
      </c>
    </row>
    <row r="327" spans="1:10" x14ac:dyDescent="0.35">
      <c r="A327">
        <v>1326</v>
      </c>
      <c r="B327" t="str">
        <f>VLOOKUP($A327,'ECOMMERS SALES'!$1:$500,MATCH('vlookup match'!B$1,ECOMMERS_SALES[#Headers],0))</f>
        <v>23-11-2025</v>
      </c>
      <c r="C327" t="str">
        <f>VLOOKUP($A327,'ECOMMERS SALES'!$1:$500,MATCH('vlookup match'!C$1,ECOMMERS_SALES[#Headers],0))</f>
        <v>Tablet</v>
      </c>
      <c r="D327" t="str">
        <f>VLOOKUP($A327,'ECOMMERS SALES'!$1:$500,MATCH('vlookup match'!D$1,ECOMMERS_SALES[#Headers],0))</f>
        <v>Electronics</v>
      </c>
      <c r="E327">
        <f>VLOOKUP($A327,'ECOMMERS SALES'!$1:$500,MATCH('vlookup match'!E$1,ECOMMERS_SALES[#Headers],0))</f>
        <v>2</v>
      </c>
      <c r="F327">
        <f>VLOOKUP($A327,'ECOMMERS SALES'!$1:$500,MATCH('vlookup match'!F$1,ECOMMERS_SALES[#Headers],0))</f>
        <v>12992</v>
      </c>
      <c r="G327">
        <f>VLOOKUP($A327,'ECOMMERS SALES'!$1:$500,MATCH('vlookup match'!G$1,ECOMMERS_SALES[#Headers],0))</f>
        <v>25984</v>
      </c>
      <c r="H327" t="str">
        <f>VLOOKUP($A327,'ECOMMERS SALES'!$1:$500,MATCH('vlookup match'!H$1,ECOMMERS_SALES[#Headers],0))</f>
        <v>Hyderabad</v>
      </c>
      <c r="I327" t="str">
        <f>VLOOKUP($A327,'ECOMMERS SALES'!$1:$500,MATCH('vlookup match'!I$1,ECOMMERS_SALES[#Headers],0))</f>
        <v>New</v>
      </c>
      <c r="J327" t="str">
        <f>VLOOKUP($A327,'ECOMMERS SALES'!$1:$500,MATCH('vlookup match'!J$1,ECOMMERS_SALES[#Headers],0))</f>
        <v>COD</v>
      </c>
    </row>
    <row r="328" spans="1:10" x14ac:dyDescent="0.35">
      <c r="A328">
        <v>1327</v>
      </c>
      <c r="B328" t="str">
        <f>VLOOKUP($A328,'ECOMMERS SALES'!$1:$500,MATCH('vlookup match'!B$1,ECOMMERS_SALES[#Headers],0))</f>
        <v>24-11-2025</v>
      </c>
      <c r="C328" t="str">
        <f>VLOOKUP($A328,'ECOMMERS SALES'!$1:$500,MATCH('vlookup match'!C$1,ECOMMERS_SALES[#Headers],0))</f>
        <v>Book</v>
      </c>
      <c r="D328" t="str">
        <f>VLOOKUP($A328,'ECOMMERS SALES'!$1:$500,MATCH('vlookup match'!D$1,ECOMMERS_SALES[#Headers],0))</f>
        <v>Books</v>
      </c>
      <c r="E328">
        <f>VLOOKUP($A328,'ECOMMERS SALES'!$1:$500,MATCH('vlookup match'!E$1,ECOMMERS_SALES[#Headers],0))</f>
        <v>5</v>
      </c>
      <c r="F328">
        <f>VLOOKUP($A328,'ECOMMERS SALES'!$1:$500,MATCH('vlookup match'!F$1,ECOMMERS_SALES[#Headers],0))</f>
        <v>984</v>
      </c>
      <c r="G328">
        <f>VLOOKUP($A328,'ECOMMERS SALES'!$1:$500,MATCH('vlookup match'!G$1,ECOMMERS_SALES[#Headers],0))</f>
        <v>4920</v>
      </c>
      <c r="H328" t="str">
        <f>VLOOKUP($A328,'ECOMMERS SALES'!$1:$500,MATCH('vlookup match'!H$1,ECOMMERS_SALES[#Headers],0))</f>
        <v>Delhi</v>
      </c>
      <c r="I328" t="str">
        <f>VLOOKUP($A328,'ECOMMERS SALES'!$1:$500,MATCH('vlookup match'!I$1,ECOMMERS_SALES[#Headers],0))</f>
        <v>New</v>
      </c>
      <c r="J328" t="str">
        <f>VLOOKUP($A328,'ECOMMERS SALES'!$1:$500,MATCH('vlookup match'!J$1,ECOMMERS_SALES[#Headers],0))</f>
        <v>COD</v>
      </c>
    </row>
    <row r="329" spans="1:10" x14ac:dyDescent="0.35">
      <c r="A329">
        <v>1328</v>
      </c>
      <c r="B329" t="str">
        <f>VLOOKUP($A329,'ECOMMERS SALES'!$1:$500,MATCH('vlookup match'!B$1,ECOMMERS_SALES[#Headers],0))</f>
        <v>25-11-2025</v>
      </c>
      <c r="C329" t="str">
        <f>VLOOKUP($A329,'ECOMMERS SALES'!$1:$500,MATCH('vlookup match'!C$1,ECOMMERS_SALES[#Headers],0))</f>
        <v>Backpack</v>
      </c>
      <c r="D329" t="str">
        <f>VLOOKUP($A329,'ECOMMERS SALES'!$1:$500,MATCH('vlookup match'!D$1,ECOMMERS_SALES[#Headers],0))</f>
        <v>Fashion</v>
      </c>
      <c r="E329">
        <f>VLOOKUP($A329,'ECOMMERS SALES'!$1:$500,MATCH('vlookup match'!E$1,ECOMMERS_SALES[#Headers],0))</f>
        <v>5</v>
      </c>
      <c r="F329">
        <f>VLOOKUP($A329,'ECOMMERS SALES'!$1:$500,MATCH('vlookup match'!F$1,ECOMMERS_SALES[#Headers],0))</f>
        <v>1432</v>
      </c>
      <c r="G329">
        <f>VLOOKUP($A329,'ECOMMERS SALES'!$1:$500,MATCH('vlookup match'!G$1,ECOMMERS_SALES[#Headers],0))</f>
        <v>7160</v>
      </c>
      <c r="H329" t="str">
        <f>VLOOKUP($A329,'ECOMMERS SALES'!$1:$500,MATCH('vlookup match'!H$1,ECOMMERS_SALES[#Headers],0))</f>
        <v>Chennai</v>
      </c>
      <c r="I329" t="str">
        <f>VLOOKUP($A329,'ECOMMERS SALES'!$1:$500,MATCH('vlookup match'!I$1,ECOMMERS_SALES[#Headers],0))</f>
        <v>Premimum</v>
      </c>
      <c r="J329" t="str">
        <f>VLOOKUP($A329,'ECOMMERS SALES'!$1:$500,MATCH('vlookup match'!J$1,ECOMMERS_SALES[#Headers],0))</f>
        <v>Card</v>
      </c>
    </row>
    <row r="330" spans="1:10" x14ac:dyDescent="0.35">
      <c r="A330">
        <v>1329</v>
      </c>
      <c r="B330" t="str">
        <f>VLOOKUP($A330,'ECOMMERS SALES'!$1:$500,MATCH('vlookup match'!B$1,ECOMMERS_SALES[#Headers],0))</f>
        <v>26-11-2025</v>
      </c>
      <c r="C330" t="str">
        <f>VLOOKUP($A330,'ECOMMERS SALES'!$1:$500,MATCH('vlookup match'!C$1,ECOMMERS_SALES[#Headers],0))</f>
        <v>Smartwatch</v>
      </c>
      <c r="D330" t="str">
        <f>VLOOKUP($A330,'ECOMMERS SALES'!$1:$500,MATCH('vlookup match'!D$1,ECOMMERS_SALES[#Headers],0))</f>
        <v>Electronics</v>
      </c>
      <c r="E330">
        <f>VLOOKUP($A330,'ECOMMERS SALES'!$1:$500,MATCH('vlookup match'!E$1,ECOMMERS_SALES[#Headers],0))</f>
        <v>2</v>
      </c>
      <c r="F330">
        <f>VLOOKUP($A330,'ECOMMERS SALES'!$1:$500,MATCH('vlookup match'!F$1,ECOMMERS_SALES[#Headers],0))</f>
        <v>12324</v>
      </c>
      <c r="G330">
        <f>VLOOKUP($A330,'ECOMMERS SALES'!$1:$500,MATCH('vlookup match'!G$1,ECOMMERS_SALES[#Headers],0))</f>
        <v>24648</v>
      </c>
      <c r="H330" t="str">
        <f>VLOOKUP($A330,'ECOMMERS SALES'!$1:$500,MATCH('vlookup match'!H$1,ECOMMERS_SALES[#Headers],0))</f>
        <v>Hyderabad</v>
      </c>
      <c r="I330" t="str">
        <f>VLOOKUP($A330,'ECOMMERS SALES'!$1:$500,MATCH('vlookup match'!I$1,ECOMMERS_SALES[#Headers],0))</f>
        <v>New</v>
      </c>
      <c r="J330" t="str">
        <f>VLOOKUP($A330,'ECOMMERS SALES'!$1:$500,MATCH('vlookup match'!J$1,ECOMMERS_SALES[#Headers],0))</f>
        <v>COD</v>
      </c>
    </row>
    <row r="331" spans="1:10" x14ac:dyDescent="0.35">
      <c r="A331">
        <v>1330</v>
      </c>
      <c r="B331" t="str">
        <f>VLOOKUP($A331,'ECOMMERS SALES'!$1:$500,MATCH('vlookup match'!B$1,ECOMMERS_SALES[#Headers],0))</f>
        <v>27-11-2025</v>
      </c>
      <c r="C331" t="str">
        <f>VLOOKUP($A331,'ECOMMERS SALES'!$1:$500,MATCH('vlookup match'!C$1,ECOMMERS_SALES[#Headers],0))</f>
        <v>Water Bottle</v>
      </c>
      <c r="D331" t="str">
        <f>VLOOKUP($A331,'ECOMMERS SALES'!$1:$500,MATCH('vlookup match'!D$1,ECOMMERS_SALES[#Headers],0))</f>
        <v>Other</v>
      </c>
      <c r="E331">
        <f>VLOOKUP($A331,'ECOMMERS SALES'!$1:$500,MATCH('vlookup match'!E$1,ECOMMERS_SALES[#Headers],0))</f>
        <v>4</v>
      </c>
      <c r="F331">
        <f>VLOOKUP($A331,'ECOMMERS SALES'!$1:$500,MATCH('vlookup match'!F$1,ECOMMERS_SALES[#Headers],0))</f>
        <v>705</v>
      </c>
      <c r="G331">
        <f>VLOOKUP($A331,'ECOMMERS SALES'!$1:$500,MATCH('vlookup match'!G$1,ECOMMERS_SALES[#Headers],0))</f>
        <v>2820</v>
      </c>
      <c r="H331" t="str">
        <f>VLOOKUP($A331,'ECOMMERS SALES'!$1:$500,MATCH('vlookup match'!H$1,ECOMMERS_SALES[#Headers],0))</f>
        <v>Mumbai</v>
      </c>
      <c r="I331" t="str">
        <f>VLOOKUP($A331,'ECOMMERS SALES'!$1:$500,MATCH('vlookup match'!I$1,ECOMMERS_SALES[#Headers],0))</f>
        <v>Returning</v>
      </c>
      <c r="J331" t="str">
        <f>VLOOKUP($A331,'ECOMMERS SALES'!$1:$500,MATCH('vlookup match'!J$1,ECOMMERS_SALES[#Headers],0))</f>
        <v>COD</v>
      </c>
    </row>
    <row r="332" spans="1:10" x14ac:dyDescent="0.35">
      <c r="A332">
        <v>1331</v>
      </c>
      <c r="B332" t="str">
        <f>VLOOKUP($A332,'ECOMMERS SALES'!$1:$500,MATCH('vlookup match'!B$1,ECOMMERS_SALES[#Headers],0))</f>
        <v>28-11-2025</v>
      </c>
      <c r="C332" t="str">
        <f>VLOOKUP($A332,'ECOMMERS SALES'!$1:$500,MATCH('vlookup match'!C$1,ECOMMERS_SALES[#Headers],0))</f>
        <v>Laptop</v>
      </c>
      <c r="D332" t="str">
        <f>VLOOKUP($A332,'ECOMMERS SALES'!$1:$500,MATCH('vlookup match'!D$1,ECOMMERS_SALES[#Headers],0))</f>
        <v>Electronics</v>
      </c>
      <c r="E332">
        <f>VLOOKUP($A332,'ECOMMERS SALES'!$1:$500,MATCH('vlookup match'!E$1,ECOMMERS_SALES[#Headers],0))</f>
        <v>2</v>
      </c>
      <c r="F332">
        <f>VLOOKUP($A332,'ECOMMERS SALES'!$1:$500,MATCH('vlookup match'!F$1,ECOMMERS_SALES[#Headers],0))</f>
        <v>66703</v>
      </c>
      <c r="G332">
        <f>VLOOKUP($A332,'ECOMMERS SALES'!$1:$500,MATCH('vlookup match'!G$1,ECOMMERS_SALES[#Headers],0))</f>
        <v>133406</v>
      </c>
      <c r="H332" t="str">
        <f>VLOOKUP($A332,'ECOMMERS SALES'!$1:$500,MATCH('vlookup match'!H$1,ECOMMERS_SALES[#Headers],0))</f>
        <v>Bangalore</v>
      </c>
      <c r="I332" t="str">
        <f>VLOOKUP($A332,'ECOMMERS SALES'!$1:$500,MATCH('vlookup match'!I$1,ECOMMERS_SALES[#Headers],0))</f>
        <v>New</v>
      </c>
      <c r="J332" t="str">
        <f>VLOOKUP($A332,'ECOMMERS SALES'!$1:$500,MATCH('vlookup match'!J$1,ECOMMERS_SALES[#Headers],0))</f>
        <v>COD</v>
      </c>
    </row>
    <row r="333" spans="1:10" x14ac:dyDescent="0.35">
      <c r="A333">
        <v>1332</v>
      </c>
      <c r="B333" t="str">
        <f>VLOOKUP($A333,'ECOMMERS SALES'!$1:$500,MATCH('vlookup match'!B$1,ECOMMERS_SALES[#Headers],0))</f>
        <v>29-11-2025</v>
      </c>
      <c r="C333" t="str">
        <f>VLOOKUP($A333,'ECOMMERS SALES'!$1:$500,MATCH('vlookup match'!C$1,ECOMMERS_SALES[#Headers],0))</f>
        <v>Headphones</v>
      </c>
      <c r="D333" t="str">
        <f>VLOOKUP($A333,'ECOMMERS SALES'!$1:$500,MATCH('vlookup match'!D$1,ECOMMERS_SALES[#Headers],0))</f>
        <v>Electronics</v>
      </c>
      <c r="E333">
        <f>VLOOKUP($A333,'ECOMMERS SALES'!$1:$500,MATCH('vlookup match'!E$1,ECOMMERS_SALES[#Headers],0))</f>
        <v>1</v>
      </c>
      <c r="F333">
        <f>VLOOKUP($A333,'ECOMMERS SALES'!$1:$500,MATCH('vlookup match'!F$1,ECOMMERS_SALES[#Headers],0))</f>
        <v>2242</v>
      </c>
      <c r="G333">
        <f>VLOOKUP($A333,'ECOMMERS SALES'!$1:$500,MATCH('vlookup match'!G$1,ECOMMERS_SALES[#Headers],0))</f>
        <v>2242</v>
      </c>
      <c r="H333" t="str">
        <f>VLOOKUP($A333,'ECOMMERS SALES'!$1:$500,MATCH('vlookup match'!H$1,ECOMMERS_SALES[#Headers],0))</f>
        <v>Mumbai</v>
      </c>
      <c r="I333" t="str">
        <f>VLOOKUP($A333,'ECOMMERS SALES'!$1:$500,MATCH('vlookup match'!I$1,ECOMMERS_SALES[#Headers],0))</f>
        <v>Returning</v>
      </c>
      <c r="J333" t="str">
        <f>VLOOKUP($A333,'ECOMMERS SALES'!$1:$500,MATCH('vlookup match'!J$1,ECOMMERS_SALES[#Headers],0))</f>
        <v>UPI</v>
      </c>
    </row>
    <row r="334" spans="1:10" x14ac:dyDescent="0.35">
      <c r="A334">
        <v>1333</v>
      </c>
      <c r="B334" t="str">
        <f>VLOOKUP($A334,'ECOMMERS SALES'!$1:$500,MATCH('vlookup match'!B$1,ECOMMERS_SALES[#Headers],0))</f>
        <v>30-11-2025</v>
      </c>
      <c r="C334" t="str">
        <f>VLOOKUP($A334,'ECOMMERS SALES'!$1:$500,MATCH('vlookup match'!C$1,ECOMMERS_SALES[#Headers],0))</f>
        <v>Shoes</v>
      </c>
      <c r="D334" t="str">
        <f>VLOOKUP($A334,'ECOMMERS SALES'!$1:$500,MATCH('vlookup match'!D$1,ECOMMERS_SALES[#Headers],0))</f>
        <v>Fashion</v>
      </c>
      <c r="E334">
        <f>VLOOKUP($A334,'ECOMMERS SALES'!$1:$500,MATCH('vlookup match'!E$1,ECOMMERS_SALES[#Headers],0))</f>
        <v>3</v>
      </c>
      <c r="F334">
        <f>VLOOKUP($A334,'ECOMMERS SALES'!$1:$500,MATCH('vlookup match'!F$1,ECOMMERS_SALES[#Headers],0))</f>
        <v>3095</v>
      </c>
      <c r="G334">
        <f>VLOOKUP($A334,'ECOMMERS SALES'!$1:$500,MATCH('vlookup match'!G$1,ECOMMERS_SALES[#Headers],0))</f>
        <v>9285</v>
      </c>
      <c r="H334" t="str">
        <f>VLOOKUP($A334,'ECOMMERS SALES'!$1:$500,MATCH('vlookup match'!H$1,ECOMMERS_SALES[#Headers],0))</f>
        <v>Pune</v>
      </c>
      <c r="I334" t="str">
        <f>VLOOKUP($A334,'ECOMMERS SALES'!$1:$500,MATCH('vlookup match'!I$1,ECOMMERS_SALES[#Headers],0))</f>
        <v>Returning</v>
      </c>
      <c r="J334" t="str">
        <f>VLOOKUP($A334,'ECOMMERS SALES'!$1:$500,MATCH('vlookup match'!J$1,ECOMMERS_SALES[#Headers],0))</f>
        <v>Card</v>
      </c>
    </row>
    <row r="335" spans="1:10" x14ac:dyDescent="0.35">
      <c r="A335">
        <v>1334</v>
      </c>
      <c r="B335" t="str">
        <f>VLOOKUP($A335,'ECOMMERS SALES'!$1:$500,MATCH('vlookup match'!B$1,ECOMMERS_SALES[#Headers],0))</f>
        <v>01-12-2025</v>
      </c>
      <c r="C335" t="str">
        <f>VLOOKUP($A335,'ECOMMERS SALES'!$1:$500,MATCH('vlookup match'!C$1,ECOMMERS_SALES[#Headers],0))</f>
        <v>Watch</v>
      </c>
      <c r="D335" t="str">
        <f>VLOOKUP($A335,'ECOMMERS SALES'!$1:$500,MATCH('vlookup match'!D$1,ECOMMERS_SALES[#Headers],0))</f>
        <v>Other</v>
      </c>
      <c r="E335">
        <f>VLOOKUP($A335,'ECOMMERS SALES'!$1:$500,MATCH('vlookup match'!E$1,ECOMMERS_SALES[#Headers],0))</f>
        <v>3</v>
      </c>
      <c r="F335">
        <f>VLOOKUP($A335,'ECOMMERS SALES'!$1:$500,MATCH('vlookup match'!F$1,ECOMMERS_SALES[#Headers],0))</f>
        <v>4016</v>
      </c>
      <c r="G335">
        <f>VLOOKUP($A335,'ECOMMERS SALES'!$1:$500,MATCH('vlookup match'!G$1,ECOMMERS_SALES[#Headers],0))</f>
        <v>12048</v>
      </c>
      <c r="H335" t="str">
        <f>VLOOKUP($A335,'ECOMMERS SALES'!$1:$500,MATCH('vlookup match'!H$1,ECOMMERS_SALES[#Headers],0))</f>
        <v>Delhi</v>
      </c>
      <c r="I335" t="str">
        <f>VLOOKUP($A335,'ECOMMERS SALES'!$1:$500,MATCH('vlookup match'!I$1,ECOMMERS_SALES[#Headers],0))</f>
        <v>Returning</v>
      </c>
      <c r="J335" t="str">
        <f>VLOOKUP($A335,'ECOMMERS SALES'!$1:$500,MATCH('vlookup match'!J$1,ECOMMERS_SALES[#Headers],0))</f>
        <v>Card</v>
      </c>
    </row>
    <row r="336" spans="1:10" x14ac:dyDescent="0.35">
      <c r="A336">
        <v>1335</v>
      </c>
      <c r="B336" t="str">
        <f>VLOOKUP($A336,'ECOMMERS SALES'!$1:$500,MATCH('vlookup match'!B$1,ECOMMERS_SALES[#Headers],0))</f>
        <v>02-12-2025</v>
      </c>
      <c r="C336" t="str">
        <f>VLOOKUP($A336,'ECOMMERS SALES'!$1:$500,MATCH('vlookup match'!C$1,ECOMMERS_SALES[#Headers],0))</f>
        <v>Mobile Case</v>
      </c>
      <c r="D336" t="str">
        <f>VLOOKUP($A336,'ECOMMERS SALES'!$1:$500,MATCH('vlookup match'!D$1,ECOMMERS_SALES[#Headers],0))</f>
        <v>Other</v>
      </c>
      <c r="E336">
        <f>VLOOKUP($A336,'ECOMMERS SALES'!$1:$500,MATCH('vlookup match'!E$1,ECOMMERS_SALES[#Headers],0))</f>
        <v>4</v>
      </c>
      <c r="F336">
        <f>VLOOKUP($A336,'ECOMMERS SALES'!$1:$500,MATCH('vlookup match'!F$1,ECOMMERS_SALES[#Headers],0))</f>
        <v>258</v>
      </c>
      <c r="G336">
        <f>VLOOKUP($A336,'ECOMMERS SALES'!$1:$500,MATCH('vlookup match'!G$1,ECOMMERS_SALES[#Headers],0))</f>
        <v>1032</v>
      </c>
      <c r="H336" t="str">
        <f>VLOOKUP($A336,'ECOMMERS SALES'!$1:$500,MATCH('vlookup match'!H$1,ECOMMERS_SALES[#Headers],0))</f>
        <v>Delhi</v>
      </c>
      <c r="I336" t="str">
        <f>VLOOKUP($A336,'ECOMMERS SALES'!$1:$500,MATCH('vlookup match'!I$1,ECOMMERS_SALES[#Headers],0))</f>
        <v>New</v>
      </c>
      <c r="J336" t="str">
        <f>VLOOKUP($A336,'ECOMMERS SALES'!$1:$500,MATCH('vlookup match'!J$1,ECOMMERS_SALES[#Headers],0))</f>
        <v>Card</v>
      </c>
    </row>
    <row r="337" spans="1:10" x14ac:dyDescent="0.35">
      <c r="A337">
        <v>1336</v>
      </c>
      <c r="B337" t="str">
        <f>VLOOKUP($A337,'ECOMMERS SALES'!$1:$500,MATCH('vlookup match'!B$1,ECOMMERS_SALES[#Headers],0))</f>
        <v>03-12-2025</v>
      </c>
      <c r="C337" t="str">
        <f>VLOOKUP($A337,'ECOMMERS SALES'!$1:$500,MATCH('vlookup match'!C$1,ECOMMERS_SALES[#Headers],0))</f>
        <v>Tablet</v>
      </c>
      <c r="D337" t="str">
        <f>VLOOKUP($A337,'ECOMMERS SALES'!$1:$500,MATCH('vlookup match'!D$1,ECOMMERS_SALES[#Headers],0))</f>
        <v>Electronics</v>
      </c>
      <c r="E337">
        <f>VLOOKUP($A337,'ECOMMERS SALES'!$1:$500,MATCH('vlookup match'!E$1,ECOMMERS_SALES[#Headers],0))</f>
        <v>1</v>
      </c>
      <c r="F337">
        <f>VLOOKUP($A337,'ECOMMERS SALES'!$1:$500,MATCH('vlookup match'!F$1,ECOMMERS_SALES[#Headers],0))</f>
        <v>38061</v>
      </c>
      <c r="G337">
        <f>VLOOKUP($A337,'ECOMMERS SALES'!$1:$500,MATCH('vlookup match'!G$1,ECOMMERS_SALES[#Headers],0))</f>
        <v>38061</v>
      </c>
      <c r="H337" t="str">
        <f>VLOOKUP($A337,'ECOMMERS SALES'!$1:$500,MATCH('vlookup match'!H$1,ECOMMERS_SALES[#Headers],0))</f>
        <v>Mumbai</v>
      </c>
      <c r="I337" t="str">
        <f>VLOOKUP($A337,'ECOMMERS SALES'!$1:$500,MATCH('vlookup match'!I$1,ECOMMERS_SALES[#Headers],0))</f>
        <v>New</v>
      </c>
      <c r="J337" t="str">
        <f>VLOOKUP($A337,'ECOMMERS SALES'!$1:$500,MATCH('vlookup match'!J$1,ECOMMERS_SALES[#Headers],0))</f>
        <v>COD</v>
      </c>
    </row>
    <row r="338" spans="1:10" x14ac:dyDescent="0.35">
      <c r="A338">
        <v>1337</v>
      </c>
      <c r="B338" t="str">
        <f>VLOOKUP($A338,'ECOMMERS SALES'!$1:$500,MATCH('vlookup match'!B$1,ECOMMERS_SALES[#Headers],0))</f>
        <v>04-12-2025</v>
      </c>
      <c r="C338" t="str">
        <f>VLOOKUP($A338,'ECOMMERS SALES'!$1:$500,MATCH('vlookup match'!C$1,ECOMMERS_SALES[#Headers],0))</f>
        <v>Book</v>
      </c>
      <c r="D338" t="str">
        <f>VLOOKUP($A338,'ECOMMERS SALES'!$1:$500,MATCH('vlookup match'!D$1,ECOMMERS_SALES[#Headers],0))</f>
        <v>Books</v>
      </c>
      <c r="E338">
        <f>VLOOKUP($A338,'ECOMMERS SALES'!$1:$500,MATCH('vlookup match'!E$1,ECOMMERS_SALES[#Headers],0))</f>
        <v>2</v>
      </c>
      <c r="F338">
        <f>VLOOKUP($A338,'ECOMMERS SALES'!$1:$500,MATCH('vlookup match'!F$1,ECOMMERS_SALES[#Headers],0))</f>
        <v>366</v>
      </c>
      <c r="G338">
        <f>VLOOKUP($A338,'ECOMMERS SALES'!$1:$500,MATCH('vlookup match'!G$1,ECOMMERS_SALES[#Headers],0))</f>
        <v>732</v>
      </c>
      <c r="H338" t="str">
        <f>VLOOKUP($A338,'ECOMMERS SALES'!$1:$500,MATCH('vlookup match'!H$1,ECOMMERS_SALES[#Headers],0))</f>
        <v>Delhi</v>
      </c>
      <c r="I338" t="str">
        <f>VLOOKUP($A338,'ECOMMERS SALES'!$1:$500,MATCH('vlookup match'!I$1,ECOMMERS_SALES[#Headers],0))</f>
        <v>New</v>
      </c>
      <c r="J338" t="str">
        <f>VLOOKUP($A338,'ECOMMERS SALES'!$1:$500,MATCH('vlookup match'!J$1,ECOMMERS_SALES[#Headers],0))</f>
        <v>UPI</v>
      </c>
    </row>
    <row r="339" spans="1:10" x14ac:dyDescent="0.35">
      <c r="A339">
        <v>1338</v>
      </c>
      <c r="B339" t="str">
        <f>VLOOKUP($A339,'ECOMMERS SALES'!$1:$500,MATCH('vlookup match'!B$1,ECOMMERS_SALES[#Headers],0))</f>
        <v>05-12-2025</v>
      </c>
      <c r="C339" t="str">
        <f>VLOOKUP($A339,'ECOMMERS SALES'!$1:$500,MATCH('vlookup match'!C$1,ECOMMERS_SALES[#Headers],0))</f>
        <v>Backpack</v>
      </c>
      <c r="D339" t="str">
        <f>VLOOKUP($A339,'ECOMMERS SALES'!$1:$500,MATCH('vlookup match'!D$1,ECOMMERS_SALES[#Headers],0))</f>
        <v>Fashion</v>
      </c>
      <c r="E339">
        <f>VLOOKUP($A339,'ECOMMERS SALES'!$1:$500,MATCH('vlookup match'!E$1,ECOMMERS_SALES[#Headers],0))</f>
        <v>1</v>
      </c>
      <c r="F339">
        <f>VLOOKUP($A339,'ECOMMERS SALES'!$1:$500,MATCH('vlookup match'!F$1,ECOMMERS_SALES[#Headers],0))</f>
        <v>1827</v>
      </c>
      <c r="G339">
        <f>VLOOKUP($A339,'ECOMMERS SALES'!$1:$500,MATCH('vlookup match'!G$1,ECOMMERS_SALES[#Headers],0))</f>
        <v>1827</v>
      </c>
      <c r="H339" t="str">
        <f>VLOOKUP($A339,'ECOMMERS SALES'!$1:$500,MATCH('vlookup match'!H$1,ECOMMERS_SALES[#Headers],0))</f>
        <v>Delhi</v>
      </c>
      <c r="I339" t="str">
        <f>VLOOKUP($A339,'ECOMMERS SALES'!$1:$500,MATCH('vlookup match'!I$1,ECOMMERS_SALES[#Headers],0))</f>
        <v>Returning</v>
      </c>
      <c r="J339" t="str">
        <f>VLOOKUP($A339,'ECOMMERS SALES'!$1:$500,MATCH('vlookup match'!J$1,ECOMMERS_SALES[#Headers],0))</f>
        <v>Card</v>
      </c>
    </row>
    <row r="340" spans="1:10" x14ac:dyDescent="0.35">
      <c r="A340">
        <v>1339</v>
      </c>
      <c r="B340" t="str">
        <f>VLOOKUP($A340,'ECOMMERS SALES'!$1:$500,MATCH('vlookup match'!B$1,ECOMMERS_SALES[#Headers],0))</f>
        <v>06-12-2025</v>
      </c>
      <c r="C340" t="str">
        <f>VLOOKUP($A340,'ECOMMERS SALES'!$1:$500,MATCH('vlookup match'!C$1,ECOMMERS_SALES[#Headers],0))</f>
        <v>Smartwatch</v>
      </c>
      <c r="D340" t="str">
        <f>VLOOKUP($A340,'ECOMMERS SALES'!$1:$500,MATCH('vlookup match'!D$1,ECOMMERS_SALES[#Headers],0))</f>
        <v>Electronics</v>
      </c>
      <c r="E340">
        <f>VLOOKUP($A340,'ECOMMERS SALES'!$1:$500,MATCH('vlookup match'!E$1,ECOMMERS_SALES[#Headers],0))</f>
        <v>1</v>
      </c>
      <c r="F340">
        <f>VLOOKUP($A340,'ECOMMERS SALES'!$1:$500,MATCH('vlookup match'!F$1,ECOMMERS_SALES[#Headers],0))</f>
        <v>6196</v>
      </c>
      <c r="G340">
        <f>VLOOKUP($A340,'ECOMMERS SALES'!$1:$500,MATCH('vlookup match'!G$1,ECOMMERS_SALES[#Headers],0))</f>
        <v>6196</v>
      </c>
      <c r="H340" t="str">
        <f>VLOOKUP($A340,'ECOMMERS SALES'!$1:$500,MATCH('vlookup match'!H$1,ECOMMERS_SALES[#Headers],0))</f>
        <v>Hyderabad</v>
      </c>
      <c r="I340" t="str">
        <f>VLOOKUP($A340,'ECOMMERS SALES'!$1:$500,MATCH('vlookup match'!I$1,ECOMMERS_SALES[#Headers],0))</f>
        <v>Premimum</v>
      </c>
      <c r="J340" t="str">
        <f>VLOOKUP($A340,'ECOMMERS SALES'!$1:$500,MATCH('vlookup match'!J$1,ECOMMERS_SALES[#Headers],0))</f>
        <v>UPI</v>
      </c>
    </row>
    <row r="341" spans="1:10" x14ac:dyDescent="0.35">
      <c r="A341">
        <v>1340</v>
      </c>
      <c r="B341" t="str">
        <f>VLOOKUP($A341,'ECOMMERS SALES'!$1:$500,MATCH('vlookup match'!B$1,ECOMMERS_SALES[#Headers],0))</f>
        <v>07-12-2025</v>
      </c>
      <c r="C341" t="str">
        <f>VLOOKUP($A341,'ECOMMERS SALES'!$1:$500,MATCH('vlookup match'!C$1,ECOMMERS_SALES[#Headers],0))</f>
        <v>Water Bottle</v>
      </c>
      <c r="D341" t="str">
        <f>VLOOKUP($A341,'ECOMMERS SALES'!$1:$500,MATCH('vlookup match'!D$1,ECOMMERS_SALES[#Headers],0))</f>
        <v>Other</v>
      </c>
      <c r="E341">
        <f>VLOOKUP($A341,'ECOMMERS SALES'!$1:$500,MATCH('vlookup match'!E$1,ECOMMERS_SALES[#Headers],0))</f>
        <v>5</v>
      </c>
      <c r="F341">
        <f>VLOOKUP($A341,'ECOMMERS SALES'!$1:$500,MATCH('vlookup match'!F$1,ECOMMERS_SALES[#Headers],0))</f>
        <v>254</v>
      </c>
      <c r="G341">
        <f>VLOOKUP($A341,'ECOMMERS SALES'!$1:$500,MATCH('vlookup match'!G$1,ECOMMERS_SALES[#Headers],0))</f>
        <v>1270</v>
      </c>
      <c r="H341" t="str">
        <f>VLOOKUP($A341,'ECOMMERS SALES'!$1:$500,MATCH('vlookup match'!H$1,ECOMMERS_SALES[#Headers],0))</f>
        <v>Pune</v>
      </c>
      <c r="I341" t="str">
        <f>VLOOKUP($A341,'ECOMMERS SALES'!$1:$500,MATCH('vlookup match'!I$1,ECOMMERS_SALES[#Headers],0))</f>
        <v>Returning</v>
      </c>
      <c r="J341" t="str">
        <f>VLOOKUP($A341,'ECOMMERS SALES'!$1:$500,MATCH('vlookup match'!J$1,ECOMMERS_SALES[#Headers],0))</f>
        <v>Card</v>
      </c>
    </row>
    <row r="342" spans="1:10" x14ac:dyDescent="0.35">
      <c r="A342">
        <v>1341</v>
      </c>
      <c r="B342" t="str">
        <f>VLOOKUP($A342,'ECOMMERS SALES'!$1:$500,MATCH('vlookup match'!B$1,ECOMMERS_SALES[#Headers],0))</f>
        <v>08-12-2025</v>
      </c>
      <c r="C342" t="str">
        <f>VLOOKUP($A342,'ECOMMERS SALES'!$1:$500,MATCH('vlookup match'!C$1,ECOMMERS_SALES[#Headers],0))</f>
        <v>Laptop</v>
      </c>
      <c r="D342" t="str">
        <f>VLOOKUP($A342,'ECOMMERS SALES'!$1:$500,MATCH('vlookup match'!D$1,ECOMMERS_SALES[#Headers],0))</f>
        <v>Electronics</v>
      </c>
      <c r="E342">
        <f>VLOOKUP($A342,'ECOMMERS SALES'!$1:$500,MATCH('vlookup match'!E$1,ECOMMERS_SALES[#Headers],0))</f>
        <v>2</v>
      </c>
      <c r="F342">
        <f>VLOOKUP($A342,'ECOMMERS SALES'!$1:$500,MATCH('vlookup match'!F$1,ECOMMERS_SALES[#Headers],0))</f>
        <v>57783</v>
      </c>
      <c r="G342">
        <f>VLOOKUP($A342,'ECOMMERS SALES'!$1:$500,MATCH('vlookup match'!G$1,ECOMMERS_SALES[#Headers],0))</f>
        <v>115566</v>
      </c>
      <c r="H342" t="str">
        <f>VLOOKUP($A342,'ECOMMERS SALES'!$1:$500,MATCH('vlookup match'!H$1,ECOMMERS_SALES[#Headers],0))</f>
        <v>Mumbai</v>
      </c>
      <c r="I342" t="str">
        <f>VLOOKUP($A342,'ECOMMERS SALES'!$1:$500,MATCH('vlookup match'!I$1,ECOMMERS_SALES[#Headers],0))</f>
        <v>Returning</v>
      </c>
      <c r="J342" t="str">
        <f>VLOOKUP($A342,'ECOMMERS SALES'!$1:$500,MATCH('vlookup match'!J$1,ECOMMERS_SALES[#Headers],0))</f>
        <v>UPI</v>
      </c>
    </row>
    <row r="343" spans="1:10" x14ac:dyDescent="0.35">
      <c r="A343">
        <v>1342</v>
      </c>
      <c r="B343" t="str">
        <f>VLOOKUP($A343,'ECOMMERS SALES'!$1:$500,MATCH('vlookup match'!B$1,ECOMMERS_SALES[#Headers],0))</f>
        <v>09-12-2025</v>
      </c>
      <c r="C343" t="str">
        <f>VLOOKUP($A343,'ECOMMERS SALES'!$1:$500,MATCH('vlookup match'!C$1,ECOMMERS_SALES[#Headers],0))</f>
        <v>Headphones</v>
      </c>
      <c r="D343" t="str">
        <f>VLOOKUP($A343,'ECOMMERS SALES'!$1:$500,MATCH('vlookup match'!D$1,ECOMMERS_SALES[#Headers],0))</f>
        <v>Electronics</v>
      </c>
      <c r="E343">
        <f>VLOOKUP($A343,'ECOMMERS SALES'!$1:$500,MATCH('vlookup match'!E$1,ECOMMERS_SALES[#Headers],0))</f>
        <v>3</v>
      </c>
      <c r="F343">
        <f>VLOOKUP($A343,'ECOMMERS SALES'!$1:$500,MATCH('vlookup match'!F$1,ECOMMERS_SALES[#Headers],0))</f>
        <v>1302</v>
      </c>
      <c r="G343">
        <f>VLOOKUP($A343,'ECOMMERS SALES'!$1:$500,MATCH('vlookup match'!G$1,ECOMMERS_SALES[#Headers],0))</f>
        <v>3906</v>
      </c>
      <c r="H343" t="str">
        <f>VLOOKUP($A343,'ECOMMERS SALES'!$1:$500,MATCH('vlookup match'!H$1,ECOMMERS_SALES[#Headers],0))</f>
        <v>Delhi</v>
      </c>
      <c r="I343" t="str">
        <f>VLOOKUP($A343,'ECOMMERS SALES'!$1:$500,MATCH('vlookup match'!I$1,ECOMMERS_SALES[#Headers],0))</f>
        <v>New</v>
      </c>
      <c r="J343" t="str">
        <f>VLOOKUP($A343,'ECOMMERS SALES'!$1:$500,MATCH('vlookup match'!J$1,ECOMMERS_SALES[#Headers],0))</f>
        <v>COD</v>
      </c>
    </row>
    <row r="344" spans="1:10" x14ac:dyDescent="0.35">
      <c r="A344">
        <v>1343</v>
      </c>
      <c r="B344" t="str">
        <f>VLOOKUP($A344,'ECOMMERS SALES'!$1:$500,MATCH('vlookup match'!B$1,ECOMMERS_SALES[#Headers],0))</f>
        <v>10-12-2025</v>
      </c>
      <c r="C344" t="str">
        <f>VLOOKUP($A344,'ECOMMERS SALES'!$1:$500,MATCH('vlookup match'!C$1,ECOMMERS_SALES[#Headers],0))</f>
        <v>Shoes</v>
      </c>
      <c r="D344" t="str">
        <f>VLOOKUP($A344,'ECOMMERS SALES'!$1:$500,MATCH('vlookup match'!D$1,ECOMMERS_SALES[#Headers],0))</f>
        <v>Fashion</v>
      </c>
      <c r="E344">
        <f>VLOOKUP($A344,'ECOMMERS SALES'!$1:$500,MATCH('vlookup match'!E$1,ECOMMERS_SALES[#Headers],0))</f>
        <v>1</v>
      </c>
      <c r="F344">
        <f>VLOOKUP($A344,'ECOMMERS SALES'!$1:$500,MATCH('vlookup match'!F$1,ECOMMERS_SALES[#Headers],0))</f>
        <v>1283</v>
      </c>
      <c r="G344">
        <f>VLOOKUP($A344,'ECOMMERS SALES'!$1:$500,MATCH('vlookup match'!G$1,ECOMMERS_SALES[#Headers],0))</f>
        <v>1283</v>
      </c>
      <c r="H344" t="str">
        <f>VLOOKUP($A344,'ECOMMERS SALES'!$1:$500,MATCH('vlookup match'!H$1,ECOMMERS_SALES[#Headers],0))</f>
        <v>Delhi</v>
      </c>
      <c r="I344" t="str">
        <f>VLOOKUP($A344,'ECOMMERS SALES'!$1:$500,MATCH('vlookup match'!I$1,ECOMMERS_SALES[#Headers],0))</f>
        <v>New</v>
      </c>
      <c r="J344" t="str">
        <f>VLOOKUP($A344,'ECOMMERS SALES'!$1:$500,MATCH('vlookup match'!J$1,ECOMMERS_SALES[#Headers],0))</f>
        <v>UPI</v>
      </c>
    </row>
    <row r="345" spans="1:10" x14ac:dyDescent="0.35">
      <c r="A345">
        <v>1344</v>
      </c>
      <c r="B345" t="str">
        <f>VLOOKUP($A345,'ECOMMERS SALES'!$1:$500,MATCH('vlookup match'!B$1,ECOMMERS_SALES[#Headers],0))</f>
        <v>11-12-2025</v>
      </c>
      <c r="C345" t="str">
        <f>VLOOKUP($A345,'ECOMMERS SALES'!$1:$500,MATCH('vlookup match'!C$1,ECOMMERS_SALES[#Headers],0))</f>
        <v>Watch</v>
      </c>
      <c r="D345" t="str">
        <f>VLOOKUP($A345,'ECOMMERS SALES'!$1:$500,MATCH('vlookup match'!D$1,ECOMMERS_SALES[#Headers],0))</f>
        <v>Other</v>
      </c>
      <c r="E345">
        <f>VLOOKUP($A345,'ECOMMERS SALES'!$1:$500,MATCH('vlookup match'!E$1,ECOMMERS_SALES[#Headers],0))</f>
        <v>2</v>
      </c>
      <c r="F345">
        <f>VLOOKUP($A345,'ECOMMERS SALES'!$1:$500,MATCH('vlookup match'!F$1,ECOMMERS_SALES[#Headers],0))</f>
        <v>10838</v>
      </c>
      <c r="G345">
        <f>VLOOKUP($A345,'ECOMMERS SALES'!$1:$500,MATCH('vlookup match'!G$1,ECOMMERS_SALES[#Headers],0))</f>
        <v>21676</v>
      </c>
      <c r="H345" t="str">
        <f>VLOOKUP($A345,'ECOMMERS SALES'!$1:$500,MATCH('vlookup match'!H$1,ECOMMERS_SALES[#Headers],0))</f>
        <v>Hyderabad</v>
      </c>
      <c r="I345" t="str">
        <f>VLOOKUP($A345,'ECOMMERS SALES'!$1:$500,MATCH('vlookup match'!I$1,ECOMMERS_SALES[#Headers],0))</f>
        <v>New</v>
      </c>
      <c r="J345" t="str">
        <f>VLOOKUP($A345,'ECOMMERS SALES'!$1:$500,MATCH('vlookup match'!J$1,ECOMMERS_SALES[#Headers],0))</f>
        <v>UPI</v>
      </c>
    </row>
    <row r="346" spans="1:10" x14ac:dyDescent="0.35">
      <c r="A346">
        <v>1345</v>
      </c>
      <c r="B346" t="str">
        <f>VLOOKUP($A346,'ECOMMERS SALES'!$1:$500,MATCH('vlookup match'!B$1,ECOMMERS_SALES[#Headers],0))</f>
        <v>12-12-2025</v>
      </c>
      <c r="C346" t="str">
        <f>VLOOKUP($A346,'ECOMMERS SALES'!$1:$500,MATCH('vlookup match'!C$1,ECOMMERS_SALES[#Headers],0))</f>
        <v>Mobile Case</v>
      </c>
      <c r="D346" t="str">
        <f>VLOOKUP($A346,'ECOMMERS SALES'!$1:$500,MATCH('vlookup match'!D$1,ECOMMERS_SALES[#Headers],0))</f>
        <v>Other</v>
      </c>
      <c r="E346">
        <f>VLOOKUP($A346,'ECOMMERS SALES'!$1:$500,MATCH('vlookup match'!E$1,ECOMMERS_SALES[#Headers],0))</f>
        <v>1</v>
      </c>
      <c r="F346">
        <f>VLOOKUP($A346,'ECOMMERS SALES'!$1:$500,MATCH('vlookup match'!F$1,ECOMMERS_SALES[#Headers],0))</f>
        <v>895</v>
      </c>
      <c r="G346">
        <f>VLOOKUP($A346,'ECOMMERS SALES'!$1:$500,MATCH('vlookup match'!G$1,ECOMMERS_SALES[#Headers],0))</f>
        <v>895</v>
      </c>
      <c r="H346" t="str">
        <f>VLOOKUP($A346,'ECOMMERS SALES'!$1:$500,MATCH('vlookup match'!H$1,ECOMMERS_SALES[#Headers],0))</f>
        <v>Delhi</v>
      </c>
      <c r="I346" t="str">
        <f>VLOOKUP($A346,'ECOMMERS SALES'!$1:$500,MATCH('vlookup match'!I$1,ECOMMERS_SALES[#Headers],0))</f>
        <v>Returning</v>
      </c>
      <c r="J346" t="str">
        <f>VLOOKUP($A346,'ECOMMERS SALES'!$1:$500,MATCH('vlookup match'!J$1,ECOMMERS_SALES[#Headers],0))</f>
        <v>Card</v>
      </c>
    </row>
    <row r="347" spans="1:10" x14ac:dyDescent="0.35">
      <c r="A347">
        <v>1346</v>
      </c>
      <c r="B347" t="str">
        <f>VLOOKUP($A347,'ECOMMERS SALES'!$1:$500,MATCH('vlookup match'!B$1,ECOMMERS_SALES[#Headers],0))</f>
        <v>13-12-2025</v>
      </c>
      <c r="C347" t="str">
        <f>VLOOKUP($A347,'ECOMMERS SALES'!$1:$500,MATCH('vlookup match'!C$1,ECOMMERS_SALES[#Headers],0))</f>
        <v>Tablet</v>
      </c>
      <c r="D347" t="str">
        <f>VLOOKUP($A347,'ECOMMERS SALES'!$1:$500,MATCH('vlookup match'!D$1,ECOMMERS_SALES[#Headers],0))</f>
        <v>Electronics</v>
      </c>
      <c r="E347">
        <f>VLOOKUP($A347,'ECOMMERS SALES'!$1:$500,MATCH('vlookup match'!E$1,ECOMMERS_SALES[#Headers],0))</f>
        <v>2</v>
      </c>
      <c r="F347">
        <f>VLOOKUP($A347,'ECOMMERS SALES'!$1:$500,MATCH('vlookup match'!F$1,ECOMMERS_SALES[#Headers],0))</f>
        <v>14574</v>
      </c>
      <c r="G347">
        <f>VLOOKUP($A347,'ECOMMERS SALES'!$1:$500,MATCH('vlookup match'!G$1,ECOMMERS_SALES[#Headers],0))</f>
        <v>29148</v>
      </c>
      <c r="H347" t="str">
        <f>VLOOKUP($A347,'ECOMMERS SALES'!$1:$500,MATCH('vlookup match'!H$1,ECOMMERS_SALES[#Headers],0))</f>
        <v>Bangalore</v>
      </c>
      <c r="I347" t="str">
        <f>VLOOKUP($A347,'ECOMMERS SALES'!$1:$500,MATCH('vlookup match'!I$1,ECOMMERS_SALES[#Headers],0))</f>
        <v>Premimum</v>
      </c>
      <c r="J347" t="str">
        <f>VLOOKUP($A347,'ECOMMERS SALES'!$1:$500,MATCH('vlookup match'!J$1,ECOMMERS_SALES[#Headers],0))</f>
        <v>Card</v>
      </c>
    </row>
    <row r="348" spans="1:10" x14ac:dyDescent="0.35">
      <c r="A348">
        <v>1347</v>
      </c>
      <c r="B348" t="str">
        <f>VLOOKUP($A348,'ECOMMERS SALES'!$1:$500,MATCH('vlookup match'!B$1,ECOMMERS_SALES[#Headers],0))</f>
        <v>14-12-2025</v>
      </c>
      <c r="C348" t="str">
        <f>VLOOKUP($A348,'ECOMMERS SALES'!$1:$500,MATCH('vlookup match'!C$1,ECOMMERS_SALES[#Headers],0))</f>
        <v>Book</v>
      </c>
      <c r="D348" t="str">
        <f>VLOOKUP($A348,'ECOMMERS SALES'!$1:$500,MATCH('vlookup match'!D$1,ECOMMERS_SALES[#Headers],0))</f>
        <v>Books</v>
      </c>
      <c r="E348">
        <f>VLOOKUP($A348,'ECOMMERS SALES'!$1:$500,MATCH('vlookup match'!E$1,ECOMMERS_SALES[#Headers],0))</f>
        <v>2</v>
      </c>
      <c r="F348">
        <f>VLOOKUP($A348,'ECOMMERS SALES'!$1:$500,MATCH('vlookup match'!F$1,ECOMMERS_SALES[#Headers],0))</f>
        <v>348</v>
      </c>
      <c r="G348">
        <f>VLOOKUP($A348,'ECOMMERS SALES'!$1:$500,MATCH('vlookup match'!G$1,ECOMMERS_SALES[#Headers],0))</f>
        <v>696</v>
      </c>
      <c r="H348" t="str">
        <f>VLOOKUP($A348,'ECOMMERS SALES'!$1:$500,MATCH('vlookup match'!H$1,ECOMMERS_SALES[#Headers],0))</f>
        <v>Hyderabad</v>
      </c>
      <c r="I348" t="str">
        <f>VLOOKUP($A348,'ECOMMERS SALES'!$1:$500,MATCH('vlookup match'!I$1,ECOMMERS_SALES[#Headers],0))</f>
        <v>New</v>
      </c>
      <c r="J348" t="str">
        <f>VLOOKUP($A348,'ECOMMERS SALES'!$1:$500,MATCH('vlookup match'!J$1,ECOMMERS_SALES[#Headers],0))</f>
        <v>Card</v>
      </c>
    </row>
    <row r="349" spans="1:10" x14ac:dyDescent="0.35">
      <c r="A349">
        <v>1348</v>
      </c>
      <c r="B349" t="str">
        <f>VLOOKUP($A349,'ECOMMERS SALES'!$1:$500,MATCH('vlookup match'!B$1,ECOMMERS_SALES[#Headers],0))</f>
        <v>15-12-2025</v>
      </c>
      <c r="C349" t="str">
        <f>VLOOKUP($A349,'ECOMMERS SALES'!$1:$500,MATCH('vlookup match'!C$1,ECOMMERS_SALES[#Headers],0))</f>
        <v>Backpack</v>
      </c>
      <c r="D349" t="str">
        <f>VLOOKUP($A349,'ECOMMERS SALES'!$1:$500,MATCH('vlookup match'!D$1,ECOMMERS_SALES[#Headers],0))</f>
        <v>Fashion</v>
      </c>
      <c r="E349">
        <f>VLOOKUP($A349,'ECOMMERS SALES'!$1:$500,MATCH('vlookup match'!E$1,ECOMMERS_SALES[#Headers],0))</f>
        <v>4</v>
      </c>
      <c r="F349">
        <f>VLOOKUP($A349,'ECOMMERS SALES'!$1:$500,MATCH('vlookup match'!F$1,ECOMMERS_SALES[#Headers],0))</f>
        <v>544</v>
      </c>
      <c r="G349">
        <f>VLOOKUP($A349,'ECOMMERS SALES'!$1:$500,MATCH('vlookup match'!G$1,ECOMMERS_SALES[#Headers],0))</f>
        <v>2176</v>
      </c>
      <c r="H349" t="str">
        <f>VLOOKUP($A349,'ECOMMERS SALES'!$1:$500,MATCH('vlookup match'!H$1,ECOMMERS_SALES[#Headers],0))</f>
        <v>Mumbai</v>
      </c>
      <c r="I349" t="str">
        <f>VLOOKUP($A349,'ECOMMERS SALES'!$1:$500,MATCH('vlookup match'!I$1,ECOMMERS_SALES[#Headers],0))</f>
        <v>Premimum</v>
      </c>
      <c r="J349" t="str">
        <f>VLOOKUP($A349,'ECOMMERS SALES'!$1:$500,MATCH('vlookup match'!J$1,ECOMMERS_SALES[#Headers],0))</f>
        <v>UPI</v>
      </c>
    </row>
    <row r="350" spans="1:10" x14ac:dyDescent="0.35">
      <c r="A350">
        <v>1349</v>
      </c>
      <c r="B350" t="str">
        <f>VLOOKUP($A350,'ECOMMERS SALES'!$1:$500,MATCH('vlookup match'!B$1,ECOMMERS_SALES[#Headers],0))</f>
        <v>16-12-2025</v>
      </c>
      <c r="C350" t="str">
        <f>VLOOKUP($A350,'ECOMMERS SALES'!$1:$500,MATCH('vlookup match'!C$1,ECOMMERS_SALES[#Headers],0))</f>
        <v>Smartwatch</v>
      </c>
      <c r="D350" t="str">
        <f>VLOOKUP($A350,'ECOMMERS SALES'!$1:$500,MATCH('vlookup match'!D$1,ECOMMERS_SALES[#Headers],0))</f>
        <v>Electronics</v>
      </c>
      <c r="E350">
        <f>VLOOKUP($A350,'ECOMMERS SALES'!$1:$500,MATCH('vlookup match'!E$1,ECOMMERS_SALES[#Headers],0))</f>
        <v>1</v>
      </c>
      <c r="F350">
        <f>VLOOKUP($A350,'ECOMMERS SALES'!$1:$500,MATCH('vlookup match'!F$1,ECOMMERS_SALES[#Headers],0))</f>
        <v>13858</v>
      </c>
      <c r="G350">
        <f>VLOOKUP($A350,'ECOMMERS SALES'!$1:$500,MATCH('vlookup match'!G$1,ECOMMERS_SALES[#Headers],0))</f>
        <v>13858</v>
      </c>
      <c r="H350" t="str">
        <f>VLOOKUP($A350,'ECOMMERS SALES'!$1:$500,MATCH('vlookup match'!H$1,ECOMMERS_SALES[#Headers],0))</f>
        <v>Pune</v>
      </c>
      <c r="I350" t="str">
        <f>VLOOKUP($A350,'ECOMMERS SALES'!$1:$500,MATCH('vlookup match'!I$1,ECOMMERS_SALES[#Headers],0))</f>
        <v>Premimum</v>
      </c>
      <c r="J350" t="str">
        <f>VLOOKUP($A350,'ECOMMERS SALES'!$1:$500,MATCH('vlookup match'!J$1,ECOMMERS_SALES[#Headers],0))</f>
        <v>Card</v>
      </c>
    </row>
    <row r="351" spans="1:10" x14ac:dyDescent="0.35">
      <c r="A351">
        <v>1350</v>
      </c>
      <c r="B351" t="str">
        <f>VLOOKUP($A351,'ECOMMERS SALES'!$1:$500,MATCH('vlookup match'!B$1,ECOMMERS_SALES[#Headers],0))</f>
        <v>17-12-2025</v>
      </c>
      <c r="C351" t="str">
        <f>VLOOKUP($A351,'ECOMMERS SALES'!$1:$500,MATCH('vlookup match'!C$1,ECOMMERS_SALES[#Headers],0))</f>
        <v>Water Bottle</v>
      </c>
      <c r="D351" t="str">
        <f>VLOOKUP($A351,'ECOMMERS SALES'!$1:$500,MATCH('vlookup match'!D$1,ECOMMERS_SALES[#Headers],0))</f>
        <v>Other</v>
      </c>
      <c r="E351">
        <f>VLOOKUP($A351,'ECOMMERS SALES'!$1:$500,MATCH('vlookup match'!E$1,ECOMMERS_SALES[#Headers],0))</f>
        <v>3</v>
      </c>
      <c r="F351">
        <f>VLOOKUP($A351,'ECOMMERS SALES'!$1:$500,MATCH('vlookup match'!F$1,ECOMMERS_SALES[#Headers],0))</f>
        <v>215</v>
      </c>
      <c r="G351">
        <f>VLOOKUP($A351,'ECOMMERS SALES'!$1:$500,MATCH('vlookup match'!G$1,ECOMMERS_SALES[#Headers],0))</f>
        <v>645</v>
      </c>
      <c r="H351" t="str">
        <f>VLOOKUP($A351,'ECOMMERS SALES'!$1:$500,MATCH('vlookup match'!H$1,ECOMMERS_SALES[#Headers],0))</f>
        <v>Bangalore</v>
      </c>
      <c r="I351" t="str">
        <f>VLOOKUP($A351,'ECOMMERS SALES'!$1:$500,MATCH('vlookup match'!I$1,ECOMMERS_SALES[#Headers],0))</f>
        <v>Returning</v>
      </c>
      <c r="J351" t="str">
        <f>VLOOKUP($A351,'ECOMMERS SALES'!$1:$500,MATCH('vlookup match'!J$1,ECOMMERS_SALES[#Headers],0))</f>
        <v>UPI</v>
      </c>
    </row>
    <row r="352" spans="1:10" x14ac:dyDescent="0.35">
      <c r="A352">
        <v>1351</v>
      </c>
      <c r="B352" t="str">
        <f>VLOOKUP($A352,'ECOMMERS SALES'!$1:$500,MATCH('vlookup match'!B$1,ECOMMERS_SALES[#Headers],0))</f>
        <v>18-12-2025</v>
      </c>
      <c r="C352" t="str">
        <f>VLOOKUP($A352,'ECOMMERS SALES'!$1:$500,MATCH('vlookup match'!C$1,ECOMMERS_SALES[#Headers],0))</f>
        <v>Laptop</v>
      </c>
      <c r="D352" t="str">
        <f>VLOOKUP($A352,'ECOMMERS SALES'!$1:$500,MATCH('vlookup match'!D$1,ECOMMERS_SALES[#Headers],0))</f>
        <v>Electronics</v>
      </c>
      <c r="E352">
        <f>VLOOKUP($A352,'ECOMMERS SALES'!$1:$500,MATCH('vlookup match'!E$1,ECOMMERS_SALES[#Headers],0))</f>
        <v>2</v>
      </c>
      <c r="F352">
        <f>VLOOKUP($A352,'ECOMMERS SALES'!$1:$500,MATCH('vlookup match'!F$1,ECOMMERS_SALES[#Headers],0))</f>
        <v>57831</v>
      </c>
      <c r="G352">
        <f>VLOOKUP($A352,'ECOMMERS SALES'!$1:$500,MATCH('vlookup match'!G$1,ECOMMERS_SALES[#Headers],0))</f>
        <v>115662</v>
      </c>
      <c r="H352" t="str">
        <f>VLOOKUP($A352,'ECOMMERS SALES'!$1:$500,MATCH('vlookup match'!H$1,ECOMMERS_SALES[#Headers],0))</f>
        <v>Mumbai</v>
      </c>
      <c r="I352" t="str">
        <f>VLOOKUP($A352,'ECOMMERS SALES'!$1:$500,MATCH('vlookup match'!I$1,ECOMMERS_SALES[#Headers],0))</f>
        <v>Premimum</v>
      </c>
      <c r="J352" t="str">
        <f>VLOOKUP($A352,'ECOMMERS SALES'!$1:$500,MATCH('vlookup match'!J$1,ECOMMERS_SALES[#Headers],0))</f>
        <v>COD</v>
      </c>
    </row>
    <row r="353" spans="1:10" x14ac:dyDescent="0.35">
      <c r="A353">
        <v>1352</v>
      </c>
      <c r="B353" t="str">
        <f>VLOOKUP($A353,'ECOMMERS SALES'!$1:$500,MATCH('vlookup match'!B$1,ECOMMERS_SALES[#Headers],0))</f>
        <v>19-12-2025</v>
      </c>
      <c r="C353" t="str">
        <f>VLOOKUP($A353,'ECOMMERS SALES'!$1:$500,MATCH('vlookup match'!C$1,ECOMMERS_SALES[#Headers],0))</f>
        <v>Headphones</v>
      </c>
      <c r="D353" t="str">
        <f>VLOOKUP($A353,'ECOMMERS SALES'!$1:$500,MATCH('vlookup match'!D$1,ECOMMERS_SALES[#Headers],0))</f>
        <v>Electronics</v>
      </c>
      <c r="E353">
        <f>VLOOKUP($A353,'ECOMMERS SALES'!$1:$500,MATCH('vlookup match'!E$1,ECOMMERS_SALES[#Headers],0))</f>
        <v>1</v>
      </c>
      <c r="F353">
        <f>VLOOKUP($A353,'ECOMMERS SALES'!$1:$500,MATCH('vlookup match'!F$1,ECOMMERS_SALES[#Headers],0))</f>
        <v>2608</v>
      </c>
      <c r="G353">
        <f>VLOOKUP($A353,'ECOMMERS SALES'!$1:$500,MATCH('vlookup match'!G$1,ECOMMERS_SALES[#Headers],0))</f>
        <v>2608</v>
      </c>
      <c r="H353" t="str">
        <f>VLOOKUP($A353,'ECOMMERS SALES'!$1:$500,MATCH('vlookup match'!H$1,ECOMMERS_SALES[#Headers],0))</f>
        <v>Hyderabad</v>
      </c>
      <c r="I353" t="str">
        <f>VLOOKUP($A353,'ECOMMERS SALES'!$1:$500,MATCH('vlookup match'!I$1,ECOMMERS_SALES[#Headers],0))</f>
        <v>New</v>
      </c>
      <c r="J353" t="str">
        <f>VLOOKUP($A353,'ECOMMERS SALES'!$1:$500,MATCH('vlookup match'!J$1,ECOMMERS_SALES[#Headers],0))</f>
        <v>COD</v>
      </c>
    </row>
    <row r="354" spans="1:10" x14ac:dyDescent="0.35">
      <c r="A354">
        <v>1353</v>
      </c>
      <c r="B354" t="str">
        <f>VLOOKUP($A354,'ECOMMERS SALES'!$1:$500,MATCH('vlookup match'!B$1,ECOMMERS_SALES[#Headers],0))</f>
        <v>20-12-2025</v>
      </c>
      <c r="C354" t="str">
        <f>VLOOKUP($A354,'ECOMMERS SALES'!$1:$500,MATCH('vlookup match'!C$1,ECOMMERS_SALES[#Headers],0))</f>
        <v>Shoes</v>
      </c>
      <c r="D354" t="str">
        <f>VLOOKUP($A354,'ECOMMERS SALES'!$1:$500,MATCH('vlookup match'!D$1,ECOMMERS_SALES[#Headers],0))</f>
        <v>Fashion</v>
      </c>
      <c r="E354">
        <f>VLOOKUP($A354,'ECOMMERS SALES'!$1:$500,MATCH('vlookup match'!E$1,ECOMMERS_SALES[#Headers],0))</f>
        <v>1</v>
      </c>
      <c r="F354">
        <f>VLOOKUP($A354,'ECOMMERS SALES'!$1:$500,MATCH('vlookup match'!F$1,ECOMMERS_SALES[#Headers],0))</f>
        <v>3751</v>
      </c>
      <c r="G354">
        <f>VLOOKUP($A354,'ECOMMERS SALES'!$1:$500,MATCH('vlookup match'!G$1,ECOMMERS_SALES[#Headers],0))</f>
        <v>3751</v>
      </c>
      <c r="H354" t="str">
        <f>VLOOKUP($A354,'ECOMMERS SALES'!$1:$500,MATCH('vlookup match'!H$1,ECOMMERS_SALES[#Headers],0))</f>
        <v>Mumbai</v>
      </c>
      <c r="I354" t="str">
        <f>VLOOKUP($A354,'ECOMMERS SALES'!$1:$500,MATCH('vlookup match'!I$1,ECOMMERS_SALES[#Headers],0))</f>
        <v>Returning</v>
      </c>
      <c r="J354" t="str">
        <f>VLOOKUP($A354,'ECOMMERS SALES'!$1:$500,MATCH('vlookup match'!J$1,ECOMMERS_SALES[#Headers],0))</f>
        <v>Card</v>
      </c>
    </row>
    <row r="355" spans="1:10" x14ac:dyDescent="0.35">
      <c r="A355">
        <v>1354</v>
      </c>
      <c r="B355" t="str">
        <f>VLOOKUP($A355,'ECOMMERS SALES'!$1:$500,MATCH('vlookup match'!B$1,ECOMMERS_SALES[#Headers],0))</f>
        <v>21-12-2025</v>
      </c>
      <c r="C355" t="str">
        <f>VLOOKUP($A355,'ECOMMERS SALES'!$1:$500,MATCH('vlookup match'!C$1,ECOMMERS_SALES[#Headers],0))</f>
        <v>Watch</v>
      </c>
      <c r="D355" t="str">
        <f>VLOOKUP($A355,'ECOMMERS SALES'!$1:$500,MATCH('vlookup match'!D$1,ECOMMERS_SALES[#Headers],0))</f>
        <v>Other</v>
      </c>
      <c r="E355">
        <f>VLOOKUP($A355,'ECOMMERS SALES'!$1:$500,MATCH('vlookup match'!E$1,ECOMMERS_SALES[#Headers],0))</f>
        <v>5</v>
      </c>
      <c r="F355">
        <f>VLOOKUP($A355,'ECOMMERS SALES'!$1:$500,MATCH('vlookup match'!F$1,ECOMMERS_SALES[#Headers],0))</f>
        <v>11976</v>
      </c>
      <c r="G355">
        <f>VLOOKUP($A355,'ECOMMERS SALES'!$1:$500,MATCH('vlookup match'!G$1,ECOMMERS_SALES[#Headers],0))</f>
        <v>59880</v>
      </c>
      <c r="H355" t="str">
        <f>VLOOKUP($A355,'ECOMMERS SALES'!$1:$500,MATCH('vlookup match'!H$1,ECOMMERS_SALES[#Headers],0))</f>
        <v>Bangalore</v>
      </c>
      <c r="I355" t="str">
        <f>VLOOKUP($A355,'ECOMMERS SALES'!$1:$500,MATCH('vlookup match'!I$1,ECOMMERS_SALES[#Headers],0))</f>
        <v>Returning</v>
      </c>
      <c r="J355" t="str">
        <f>VLOOKUP($A355,'ECOMMERS SALES'!$1:$500,MATCH('vlookup match'!J$1,ECOMMERS_SALES[#Headers],0))</f>
        <v>UPI</v>
      </c>
    </row>
    <row r="356" spans="1:10" x14ac:dyDescent="0.35">
      <c r="A356">
        <v>1355</v>
      </c>
      <c r="B356" t="str">
        <f>VLOOKUP($A356,'ECOMMERS SALES'!$1:$500,MATCH('vlookup match'!B$1,ECOMMERS_SALES[#Headers],0))</f>
        <v>22-12-2025</v>
      </c>
      <c r="C356" t="str">
        <f>VLOOKUP($A356,'ECOMMERS SALES'!$1:$500,MATCH('vlookup match'!C$1,ECOMMERS_SALES[#Headers],0))</f>
        <v>Mobile Case</v>
      </c>
      <c r="D356" t="str">
        <f>VLOOKUP($A356,'ECOMMERS SALES'!$1:$500,MATCH('vlookup match'!D$1,ECOMMERS_SALES[#Headers],0))</f>
        <v>Other</v>
      </c>
      <c r="E356">
        <f>VLOOKUP($A356,'ECOMMERS SALES'!$1:$500,MATCH('vlookup match'!E$1,ECOMMERS_SALES[#Headers],0))</f>
        <v>1</v>
      </c>
      <c r="F356">
        <f>VLOOKUP($A356,'ECOMMERS SALES'!$1:$500,MATCH('vlookup match'!F$1,ECOMMERS_SALES[#Headers],0))</f>
        <v>542</v>
      </c>
      <c r="G356">
        <f>VLOOKUP($A356,'ECOMMERS SALES'!$1:$500,MATCH('vlookup match'!G$1,ECOMMERS_SALES[#Headers],0))</f>
        <v>542</v>
      </c>
      <c r="H356" t="str">
        <f>VLOOKUP($A356,'ECOMMERS SALES'!$1:$500,MATCH('vlookup match'!H$1,ECOMMERS_SALES[#Headers],0))</f>
        <v>Bangalore</v>
      </c>
      <c r="I356" t="str">
        <f>VLOOKUP($A356,'ECOMMERS SALES'!$1:$500,MATCH('vlookup match'!I$1,ECOMMERS_SALES[#Headers],0))</f>
        <v>Premimum</v>
      </c>
      <c r="J356" t="str">
        <f>VLOOKUP($A356,'ECOMMERS SALES'!$1:$500,MATCH('vlookup match'!J$1,ECOMMERS_SALES[#Headers],0))</f>
        <v>UPI</v>
      </c>
    </row>
    <row r="357" spans="1:10" x14ac:dyDescent="0.35">
      <c r="A357">
        <v>1356</v>
      </c>
      <c r="B357" t="str">
        <f>VLOOKUP($A357,'ECOMMERS SALES'!$1:$500,MATCH('vlookup match'!B$1,ECOMMERS_SALES[#Headers],0))</f>
        <v>23-12-2025</v>
      </c>
      <c r="C357" t="str">
        <f>VLOOKUP($A357,'ECOMMERS SALES'!$1:$500,MATCH('vlookup match'!C$1,ECOMMERS_SALES[#Headers],0))</f>
        <v>Tablet</v>
      </c>
      <c r="D357" t="str">
        <f>VLOOKUP($A357,'ECOMMERS SALES'!$1:$500,MATCH('vlookup match'!D$1,ECOMMERS_SALES[#Headers],0))</f>
        <v>Electronics</v>
      </c>
      <c r="E357">
        <f>VLOOKUP($A357,'ECOMMERS SALES'!$1:$500,MATCH('vlookup match'!E$1,ECOMMERS_SALES[#Headers],0))</f>
        <v>2</v>
      </c>
      <c r="F357">
        <f>VLOOKUP($A357,'ECOMMERS SALES'!$1:$500,MATCH('vlookup match'!F$1,ECOMMERS_SALES[#Headers],0))</f>
        <v>34854</v>
      </c>
      <c r="G357">
        <f>VLOOKUP($A357,'ECOMMERS SALES'!$1:$500,MATCH('vlookup match'!G$1,ECOMMERS_SALES[#Headers],0))</f>
        <v>69708</v>
      </c>
      <c r="H357" t="str">
        <f>VLOOKUP($A357,'ECOMMERS SALES'!$1:$500,MATCH('vlookup match'!H$1,ECOMMERS_SALES[#Headers],0))</f>
        <v>Mumbai</v>
      </c>
      <c r="I357" t="str">
        <f>VLOOKUP($A357,'ECOMMERS SALES'!$1:$500,MATCH('vlookup match'!I$1,ECOMMERS_SALES[#Headers],0))</f>
        <v>Premimum</v>
      </c>
      <c r="J357" t="str">
        <f>VLOOKUP($A357,'ECOMMERS SALES'!$1:$500,MATCH('vlookup match'!J$1,ECOMMERS_SALES[#Headers],0))</f>
        <v>Card</v>
      </c>
    </row>
    <row r="358" spans="1:10" x14ac:dyDescent="0.35">
      <c r="A358">
        <v>1357</v>
      </c>
      <c r="B358" t="str">
        <f>VLOOKUP($A358,'ECOMMERS SALES'!$1:$500,MATCH('vlookup match'!B$1,ECOMMERS_SALES[#Headers],0))</f>
        <v>24-12-2025</v>
      </c>
      <c r="C358" t="str">
        <f>VLOOKUP($A358,'ECOMMERS SALES'!$1:$500,MATCH('vlookup match'!C$1,ECOMMERS_SALES[#Headers],0))</f>
        <v>Book</v>
      </c>
      <c r="D358" t="str">
        <f>VLOOKUP($A358,'ECOMMERS SALES'!$1:$500,MATCH('vlookup match'!D$1,ECOMMERS_SALES[#Headers],0))</f>
        <v>Books</v>
      </c>
      <c r="E358">
        <f>VLOOKUP($A358,'ECOMMERS SALES'!$1:$500,MATCH('vlookup match'!E$1,ECOMMERS_SALES[#Headers],0))</f>
        <v>4</v>
      </c>
      <c r="F358">
        <f>VLOOKUP($A358,'ECOMMERS SALES'!$1:$500,MATCH('vlookup match'!F$1,ECOMMERS_SALES[#Headers],0))</f>
        <v>821</v>
      </c>
      <c r="G358">
        <f>VLOOKUP($A358,'ECOMMERS SALES'!$1:$500,MATCH('vlookup match'!G$1,ECOMMERS_SALES[#Headers],0))</f>
        <v>3284</v>
      </c>
      <c r="H358" t="str">
        <f>VLOOKUP($A358,'ECOMMERS SALES'!$1:$500,MATCH('vlookup match'!H$1,ECOMMERS_SALES[#Headers],0))</f>
        <v>Delhi</v>
      </c>
      <c r="I358" t="str">
        <f>VLOOKUP($A358,'ECOMMERS SALES'!$1:$500,MATCH('vlookup match'!I$1,ECOMMERS_SALES[#Headers],0))</f>
        <v>New</v>
      </c>
      <c r="J358" t="str">
        <f>VLOOKUP($A358,'ECOMMERS SALES'!$1:$500,MATCH('vlookup match'!J$1,ECOMMERS_SALES[#Headers],0))</f>
        <v>UPI</v>
      </c>
    </row>
    <row r="359" spans="1:10" x14ac:dyDescent="0.35">
      <c r="A359">
        <v>1358</v>
      </c>
      <c r="B359" t="str">
        <f>VLOOKUP($A359,'ECOMMERS SALES'!$1:$500,MATCH('vlookup match'!B$1,ECOMMERS_SALES[#Headers],0))</f>
        <v>25-12-2025</v>
      </c>
      <c r="C359" t="str">
        <f>VLOOKUP($A359,'ECOMMERS SALES'!$1:$500,MATCH('vlookup match'!C$1,ECOMMERS_SALES[#Headers],0))</f>
        <v>Backpack</v>
      </c>
      <c r="D359" t="str">
        <f>VLOOKUP($A359,'ECOMMERS SALES'!$1:$500,MATCH('vlookup match'!D$1,ECOMMERS_SALES[#Headers],0))</f>
        <v>Fashion</v>
      </c>
      <c r="E359">
        <f>VLOOKUP($A359,'ECOMMERS SALES'!$1:$500,MATCH('vlookup match'!E$1,ECOMMERS_SALES[#Headers],0))</f>
        <v>5</v>
      </c>
      <c r="F359">
        <f>VLOOKUP($A359,'ECOMMERS SALES'!$1:$500,MATCH('vlookup match'!F$1,ECOMMERS_SALES[#Headers],0))</f>
        <v>1003</v>
      </c>
      <c r="G359">
        <f>VLOOKUP($A359,'ECOMMERS SALES'!$1:$500,MATCH('vlookup match'!G$1,ECOMMERS_SALES[#Headers],0))</f>
        <v>5015</v>
      </c>
      <c r="H359" t="str">
        <f>VLOOKUP($A359,'ECOMMERS SALES'!$1:$500,MATCH('vlookup match'!H$1,ECOMMERS_SALES[#Headers],0))</f>
        <v>Mumbai</v>
      </c>
      <c r="I359" t="str">
        <f>VLOOKUP($A359,'ECOMMERS SALES'!$1:$500,MATCH('vlookup match'!I$1,ECOMMERS_SALES[#Headers],0))</f>
        <v>Returning</v>
      </c>
      <c r="J359" t="str">
        <f>VLOOKUP($A359,'ECOMMERS SALES'!$1:$500,MATCH('vlookup match'!J$1,ECOMMERS_SALES[#Headers],0))</f>
        <v>COD</v>
      </c>
    </row>
    <row r="360" spans="1:10" x14ac:dyDescent="0.35">
      <c r="A360">
        <v>1359</v>
      </c>
      <c r="B360" t="str">
        <f>VLOOKUP($A360,'ECOMMERS SALES'!$1:$500,MATCH('vlookup match'!B$1,ECOMMERS_SALES[#Headers],0))</f>
        <v>26-12-2025</v>
      </c>
      <c r="C360" t="str">
        <f>VLOOKUP($A360,'ECOMMERS SALES'!$1:$500,MATCH('vlookup match'!C$1,ECOMMERS_SALES[#Headers],0))</f>
        <v>Smartwatch</v>
      </c>
      <c r="D360" t="str">
        <f>VLOOKUP($A360,'ECOMMERS SALES'!$1:$500,MATCH('vlookup match'!D$1,ECOMMERS_SALES[#Headers],0))</f>
        <v>Electronics</v>
      </c>
      <c r="E360">
        <f>VLOOKUP($A360,'ECOMMERS SALES'!$1:$500,MATCH('vlookup match'!E$1,ECOMMERS_SALES[#Headers],0))</f>
        <v>1</v>
      </c>
      <c r="F360">
        <f>VLOOKUP($A360,'ECOMMERS SALES'!$1:$500,MATCH('vlookup match'!F$1,ECOMMERS_SALES[#Headers],0))</f>
        <v>9526</v>
      </c>
      <c r="G360">
        <f>VLOOKUP($A360,'ECOMMERS SALES'!$1:$500,MATCH('vlookup match'!G$1,ECOMMERS_SALES[#Headers],0))</f>
        <v>9526</v>
      </c>
      <c r="H360" t="str">
        <f>VLOOKUP($A360,'ECOMMERS SALES'!$1:$500,MATCH('vlookup match'!H$1,ECOMMERS_SALES[#Headers],0))</f>
        <v>Mumbai</v>
      </c>
      <c r="I360" t="str">
        <f>VLOOKUP($A360,'ECOMMERS SALES'!$1:$500,MATCH('vlookup match'!I$1,ECOMMERS_SALES[#Headers],0))</f>
        <v>Premimum</v>
      </c>
      <c r="J360" t="str">
        <f>VLOOKUP($A360,'ECOMMERS SALES'!$1:$500,MATCH('vlookup match'!J$1,ECOMMERS_SALES[#Headers],0))</f>
        <v>UPI</v>
      </c>
    </row>
    <row r="361" spans="1:10" x14ac:dyDescent="0.35">
      <c r="A361">
        <v>1360</v>
      </c>
      <c r="B361" t="str">
        <f>VLOOKUP($A361,'ECOMMERS SALES'!$1:$500,MATCH('vlookup match'!B$1,ECOMMERS_SALES[#Headers],0))</f>
        <v>27-12-2025</v>
      </c>
      <c r="C361" t="str">
        <f>VLOOKUP($A361,'ECOMMERS SALES'!$1:$500,MATCH('vlookup match'!C$1,ECOMMERS_SALES[#Headers],0))</f>
        <v>Water Bottle</v>
      </c>
      <c r="D361" t="str">
        <f>VLOOKUP($A361,'ECOMMERS SALES'!$1:$500,MATCH('vlookup match'!D$1,ECOMMERS_SALES[#Headers],0))</f>
        <v>Other</v>
      </c>
      <c r="E361">
        <f>VLOOKUP($A361,'ECOMMERS SALES'!$1:$500,MATCH('vlookup match'!E$1,ECOMMERS_SALES[#Headers],0))</f>
        <v>5</v>
      </c>
      <c r="F361">
        <f>VLOOKUP($A361,'ECOMMERS SALES'!$1:$500,MATCH('vlookup match'!F$1,ECOMMERS_SALES[#Headers],0))</f>
        <v>317</v>
      </c>
      <c r="G361">
        <f>VLOOKUP($A361,'ECOMMERS SALES'!$1:$500,MATCH('vlookup match'!G$1,ECOMMERS_SALES[#Headers],0))</f>
        <v>1585</v>
      </c>
      <c r="H361" t="str">
        <f>VLOOKUP($A361,'ECOMMERS SALES'!$1:$500,MATCH('vlookup match'!H$1,ECOMMERS_SALES[#Headers],0))</f>
        <v>Chennai</v>
      </c>
      <c r="I361" t="str">
        <f>VLOOKUP($A361,'ECOMMERS SALES'!$1:$500,MATCH('vlookup match'!I$1,ECOMMERS_SALES[#Headers],0))</f>
        <v>Returning</v>
      </c>
      <c r="J361" t="str">
        <f>VLOOKUP($A361,'ECOMMERS SALES'!$1:$500,MATCH('vlookup match'!J$1,ECOMMERS_SALES[#Headers],0))</f>
        <v>COD</v>
      </c>
    </row>
    <row r="362" spans="1:10" x14ac:dyDescent="0.35">
      <c r="A362">
        <v>1361</v>
      </c>
      <c r="B362" t="str">
        <f>VLOOKUP($A362,'ECOMMERS SALES'!$1:$500,MATCH('vlookup match'!B$1,ECOMMERS_SALES[#Headers],0))</f>
        <v>28-12-2025</v>
      </c>
      <c r="C362" t="str">
        <f>VLOOKUP($A362,'ECOMMERS SALES'!$1:$500,MATCH('vlookup match'!C$1,ECOMMERS_SALES[#Headers],0))</f>
        <v>Laptop</v>
      </c>
      <c r="D362" t="str">
        <f>VLOOKUP($A362,'ECOMMERS SALES'!$1:$500,MATCH('vlookup match'!D$1,ECOMMERS_SALES[#Headers],0))</f>
        <v>Electronics</v>
      </c>
      <c r="E362">
        <f>VLOOKUP($A362,'ECOMMERS SALES'!$1:$500,MATCH('vlookup match'!E$1,ECOMMERS_SALES[#Headers],0))</f>
        <v>1</v>
      </c>
      <c r="F362">
        <f>VLOOKUP($A362,'ECOMMERS SALES'!$1:$500,MATCH('vlookup match'!F$1,ECOMMERS_SALES[#Headers],0))</f>
        <v>53373</v>
      </c>
      <c r="G362">
        <f>VLOOKUP($A362,'ECOMMERS SALES'!$1:$500,MATCH('vlookup match'!G$1,ECOMMERS_SALES[#Headers],0))</f>
        <v>53373</v>
      </c>
      <c r="H362" t="str">
        <f>VLOOKUP($A362,'ECOMMERS SALES'!$1:$500,MATCH('vlookup match'!H$1,ECOMMERS_SALES[#Headers],0))</f>
        <v>Mumbai</v>
      </c>
      <c r="I362" t="str">
        <f>VLOOKUP($A362,'ECOMMERS SALES'!$1:$500,MATCH('vlookup match'!I$1,ECOMMERS_SALES[#Headers],0))</f>
        <v>Premimum</v>
      </c>
      <c r="J362" t="str">
        <f>VLOOKUP($A362,'ECOMMERS SALES'!$1:$500,MATCH('vlookup match'!J$1,ECOMMERS_SALES[#Headers],0))</f>
        <v>COD</v>
      </c>
    </row>
    <row r="363" spans="1:10" x14ac:dyDescent="0.35">
      <c r="A363">
        <v>1362</v>
      </c>
      <c r="B363" t="str">
        <f>VLOOKUP($A363,'ECOMMERS SALES'!$1:$500,MATCH('vlookup match'!B$1,ECOMMERS_SALES[#Headers],0))</f>
        <v>29-12-2025</v>
      </c>
      <c r="C363" t="str">
        <f>VLOOKUP($A363,'ECOMMERS SALES'!$1:$500,MATCH('vlookup match'!C$1,ECOMMERS_SALES[#Headers],0))</f>
        <v>Headphones</v>
      </c>
      <c r="D363" t="str">
        <f>VLOOKUP($A363,'ECOMMERS SALES'!$1:$500,MATCH('vlookup match'!D$1,ECOMMERS_SALES[#Headers],0))</f>
        <v>Electronics</v>
      </c>
      <c r="E363">
        <f>VLOOKUP($A363,'ECOMMERS SALES'!$1:$500,MATCH('vlookup match'!E$1,ECOMMERS_SALES[#Headers],0))</f>
        <v>2</v>
      </c>
      <c r="F363">
        <f>VLOOKUP($A363,'ECOMMERS SALES'!$1:$500,MATCH('vlookup match'!F$1,ECOMMERS_SALES[#Headers],0))</f>
        <v>4853</v>
      </c>
      <c r="G363">
        <f>VLOOKUP($A363,'ECOMMERS SALES'!$1:$500,MATCH('vlookup match'!G$1,ECOMMERS_SALES[#Headers],0))</f>
        <v>9706</v>
      </c>
      <c r="H363" t="str">
        <f>VLOOKUP($A363,'ECOMMERS SALES'!$1:$500,MATCH('vlookup match'!H$1,ECOMMERS_SALES[#Headers],0))</f>
        <v>Chennai</v>
      </c>
      <c r="I363" t="str">
        <f>VLOOKUP($A363,'ECOMMERS SALES'!$1:$500,MATCH('vlookup match'!I$1,ECOMMERS_SALES[#Headers],0))</f>
        <v>New</v>
      </c>
      <c r="J363" t="str">
        <f>VLOOKUP($A363,'ECOMMERS SALES'!$1:$500,MATCH('vlookup match'!J$1,ECOMMERS_SALES[#Headers],0))</f>
        <v>Card</v>
      </c>
    </row>
    <row r="364" spans="1:10" x14ac:dyDescent="0.35">
      <c r="A364">
        <v>1363</v>
      </c>
      <c r="B364" t="str">
        <f>VLOOKUP($A364,'ECOMMERS SALES'!$1:$500,MATCH('vlookup match'!B$1,ECOMMERS_SALES[#Headers],0))</f>
        <v>30-12-2025</v>
      </c>
      <c r="C364" t="str">
        <f>VLOOKUP($A364,'ECOMMERS SALES'!$1:$500,MATCH('vlookup match'!C$1,ECOMMERS_SALES[#Headers],0))</f>
        <v>Shoes</v>
      </c>
      <c r="D364" t="str">
        <f>VLOOKUP($A364,'ECOMMERS SALES'!$1:$500,MATCH('vlookup match'!D$1,ECOMMERS_SALES[#Headers],0))</f>
        <v>Fashion</v>
      </c>
      <c r="E364">
        <f>VLOOKUP($A364,'ECOMMERS SALES'!$1:$500,MATCH('vlookup match'!E$1,ECOMMERS_SALES[#Headers],0))</f>
        <v>2</v>
      </c>
      <c r="F364">
        <f>VLOOKUP($A364,'ECOMMERS SALES'!$1:$500,MATCH('vlookup match'!F$1,ECOMMERS_SALES[#Headers],0))</f>
        <v>4788</v>
      </c>
      <c r="G364">
        <f>VLOOKUP($A364,'ECOMMERS SALES'!$1:$500,MATCH('vlookup match'!G$1,ECOMMERS_SALES[#Headers],0))</f>
        <v>9576</v>
      </c>
      <c r="H364" t="str">
        <f>VLOOKUP($A364,'ECOMMERS SALES'!$1:$500,MATCH('vlookup match'!H$1,ECOMMERS_SALES[#Headers],0))</f>
        <v>Pune</v>
      </c>
      <c r="I364" t="str">
        <f>VLOOKUP($A364,'ECOMMERS SALES'!$1:$500,MATCH('vlookup match'!I$1,ECOMMERS_SALES[#Headers],0))</f>
        <v>Premimum</v>
      </c>
      <c r="J364" t="str">
        <f>VLOOKUP($A364,'ECOMMERS SALES'!$1:$500,MATCH('vlookup match'!J$1,ECOMMERS_SALES[#Headers],0))</f>
        <v>Card</v>
      </c>
    </row>
    <row r="365" spans="1:10" x14ac:dyDescent="0.35">
      <c r="A365">
        <v>1364</v>
      </c>
      <c r="B365" t="str">
        <f>VLOOKUP($A365,'ECOMMERS SALES'!$1:$500,MATCH('vlookup match'!B$1,ECOMMERS_SALES[#Headers],0))</f>
        <v>31-12-2025</v>
      </c>
      <c r="C365" t="str">
        <f>VLOOKUP($A365,'ECOMMERS SALES'!$1:$500,MATCH('vlookup match'!C$1,ECOMMERS_SALES[#Headers],0))</f>
        <v>Watch</v>
      </c>
      <c r="D365" t="str">
        <f>VLOOKUP($A365,'ECOMMERS SALES'!$1:$500,MATCH('vlookup match'!D$1,ECOMMERS_SALES[#Headers],0))</f>
        <v>Other</v>
      </c>
      <c r="E365">
        <f>VLOOKUP($A365,'ECOMMERS SALES'!$1:$500,MATCH('vlookup match'!E$1,ECOMMERS_SALES[#Headers],0))</f>
        <v>5</v>
      </c>
      <c r="F365">
        <f>VLOOKUP($A365,'ECOMMERS SALES'!$1:$500,MATCH('vlookup match'!F$1,ECOMMERS_SALES[#Headers],0))</f>
        <v>17252</v>
      </c>
      <c r="G365">
        <f>VLOOKUP($A365,'ECOMMERS SALES'!$1:$500,MATCH('vlookup match'!G$1,ECOMMERS_SALES[#Headers],0))</f>
        <v>86260</v>
      </c>
      <c r="H365" t="str">
        <f>VLOOKUP($A365,'ECOMMERS SALES'!$1:$500,MATCH('vlookup match'!H$1,ECOMMERS_SALES[#Headers],0))</f>
        <v>Hyderabad</v>
      </c>
      <c r="I365" t="str">
        <f>VLOOKUP($A365,'ECOMMERS SALES'!$1:$500,MATCH('vlookup match'!I$1,ECOMMERS_SALES[#Headers],0))</f>
        <v>Returning</v>
      </c>
      <c r="J365" t="str">
        <f>VLOOKUP($A365,'ECOMMERS SALES'!$1:$500,MATCH('vlookup match'!J$1,ECOMMERS_SALES[#Headers],0))</f>
        <v>COD</v>
      </c>
    </row>
    <row r="366" spans="1:10" x14ac:dyDescent="0.35">
      <c r="A366">
        <v>1365</v>
      </c>
      <c r="B366" t="str">
        <f>VLOOKUP($A366,'ECOMMERS SALES'!$1:$500,MATCH('vlookup match'!B$1,ECOMMERS_SALES[#Headers],0))</f>
        <v>01-01-2026</v>
      </c>
      <c r="C366" t="str">
        <f>VLOOKUP($A366,'ECOMMERS SALES'!$1:$500,MATCH('vlookup match'!C$1,ECOMMERS_SALES[#Headers],0))</f>
        <v>Mobile Case</v>
      </c>
      <c r="D366" t="str">
        <f>VLOOKUP($A366,'ECOMMERS SALES'!$1:$500,MATCH('vlookup match'!D$1,ECOMMERS_SALES[#Headers],0))</f>
        <v>Other</v>
      </c>
      <c r="E366">
        <f>VLOOKUP($A366,'ECOMMERS SALES'!$1:$500,MATCH('vlookup match'!E$1,ECOMMERS_SALES[#Headers],0))</f>
        <v>5</v>
      </c>
      <c r="F366">
        <f>VLOOKUP($A366,'ECOMMERS SALES'!$1:$500,MATCH('vlookup match'!F$1,ECOMMERS_SALES[#Headers],0))</f>
        <v>179</v>
      </c>
      <c r="G366">
        <f>VLOOKUP($A366,'ECOMMERS SALES'!$1:$500,MATCH('vlookup match'!G$1,ECOMMERS_SALES[#Headers],0))</f>
        <v>895</v>
      </c>
      <c r="H366" t="str">
        <f>VLOOKUP($A366,'ECOMMERS SALES'!$1:$500,MATCH('vlookup match'!H$1,ECOMMERS_SALES[#Headers],0))</f>
        <v>Delhi</v>
      </c>
      <c r="I366" t="str">
        <f>VLOOKUP($A366,'ECOMMERS SALES'!$1:$500,MATCH('vlookup match'!I$1,ECOMMERS_SALES[#Headers],0))</f>
        <v>Premimum</v>
      </c>
      <c r="J366" t="str">
        <f>VLOOKUP($A366,'ECOMMERS SALES'!$1:$500,MATCH('vlookup match'!J$1,ECOMMERS_SALES[#Headers],0))</f>
        <v>COD</v>
      </c>
    </row>
    <row r="367" spans="1:10" x14ac:dyDescent="0.35">
      <c r="A367">
        <v>1366</v>
      </c>
      <c r="B367" t="str">
        <f>VLOOKUP($A367,'ECOMMERS SALES'!$1:$500,MATCH('vlookup match'!B$1,ECOMMERS_SALES[#Headers],0))</f>
        <v>02-01-2026</v>
      </c>
      <c r="C367" t="str">
        <f>VLOOKUP($A367,'ECOMMERS SALES'!$1:$500,MATCH('vlookup match'!C$1,ECOMMERS_SALES[#Headers],0))</f>
        <v>Tablet</v>
      </c>
      <c r="D367" t="str">
        <f>VLOOKUP($A367,'ECOMMERS SALES'!$1:$500,MATCH('vlookup match'!D$1,ECOMMERS_SALES[#Headers],0))</f>
        <v>Electronics</v>
      </c>
      <c r="E367">
        <f>VLOOKUP($A367,'ECOMMERS SALES'!$1:$500,MATCH('vlookup match'!E$1,ECOMMERS_SALES[#Headers],0))</f>
        <v>1</v>
      </c>
      <c r="F367">
        <f>VLOOKUP($A367,'ECOMMERS SALES'!$1:$500,MATCH('vlookup match'!F$1,ECOMMERS_SALES[#Headers],0))</f>
        <v>29151</v>
      </c>
      <c r="G367">
        <f>VLOOKUP($A367,'ECOMMERS SALES'!$1:$500,MATCH('vlookup match'!G$1,ECOMMERS_SALES[#Headers],0))</f>
        <v>29151</v>
      </c>
      <c r="H367" t="str">
        <f>VLOOKUP($A367,'ECOMMERS SALES'!$1:$500,MATCH('vlookup match'!H$1,ECOMMERS_SALES[#Headers],0))</f>
        <v>Delhi</v>
      </c>
      <c r="I367" t="str">
        <f>VLOOKUP($A367,'ECOMMERS SALES'!$1:$500,MATCH('vlookup match'!I$1,ECOMMERS_SALES[#Headers],0))</f>
        <v>New</v>
      </c>
      <c r="J367" t="str">
        <f>VLOOKUP($A367,'ECOMMERS SALES'!$1:$500,MATCH('vlookup match'!J$1,ECOMMERS_SALES[#Headers],0))</f>
        <v>Card</v>
      </c>
    </row>
    <row r="368" spans="1:10" x14ac:dyDescent="0.35">
      <c r="A368">
        <v>1367</v>
      </c>
      <c r="B368" t="str">
        <f>VLOOKUP($A368,'ECOMMERS SALES'!$1:$500,MATCH('vlookup match'!B$1,ECOMMERS_SALES[#Headers],0))</f>
        <v>03-01-2026</v>
      </c>
      <c r="C368" t="str">
        <f>VLOOKUP($A368,'ECOMMERS SALES'!$1:$500,MATCH('vlookup match'!C$1,ECOMMERS_SALES[#Headers],0))</f>
        <v>Book</v>
      </c>
      <c r="D368" t="str">
        <f>VLOOKUP($A368,'ECOMMERS SALES'!$1:$500,MATCH('vlookup match'!D$1,ECOMMERS_SALES[#Headers],0))</f>
        <v>Books</v>
      </c>
      <c r="E368">
        <f>VLOOKUP($A368,'ECOMMERS SALES'!$1:$500,MATCH('vlookup match'!E$1,ECOMMERS_SALES[#Headers],0))</f>
        <v>4</v>
      </c>
      <c r="F368">
        <f>VLOOKUP($A368,'ECOMMERS SALES'!$1:$500,MATCH('vlookup match'!F$1,ECOMMERS_SALES[#Headers],0))</f>
        <v>474</v>
      </c>
      <c r="G368">
        <f>VLOOKUP($A368,'ECOMMERS SALES'!$1:$500,MATCH('vlookup match'!G$1,ECOMMERS_SALES[#Headers],0))</f>
        <v>1896</v>
      </c>
      <c r="H368" t="str">
        <f>VLOOKUP($A368,'ECOMMERS SALES'!$1:$500,MATCH('vlookup match'!H$1,ECOMMERS_SALES[#Headers],0))</f>
        <v>Chennai</v>
      </c>
      <c r="I368" t="str">
        <f>VLOOKUP($A368,'ECOMMERS SALES'!$1:$500,MATCH('vlookup match'!I$1,ECOMMERS_SALES[#Headers],0))</f>
        <v>Returning</v>
      </c>
      <c r="J368" t="str">
        <f>VLOOKUP($A368,'ECOMMERS SALES'!$1:$500,MATCH('vlookup match'!J$1,ECOMMERS_SALES[#Headers],0))</f>
        <v>Card</v>
      </c>
    </row>
    <row r="369" spans="1:10" x14ac:dyDescent="0.35">
      <c r="A369">
        <v>1368</v>
      </c>
      <c r="B369" t="str">
        <f>VLOOKUP($A369,'ECOMMERS SALES'!$1:$500,MATCH('vlookup match'!B$1,ECOMMERS_SALES[#Headers],0))</f>
        <v>04-01-2026</v>
      </c>
      <c r="C369" t="str">
        <f>VLOOKUP($A369,'ECOMMERS SALES'!$1:$500,MATCH('vlookup match'!C$1,ECOMMERS_SALES[#Headers],0))</f>
        <v>Backpack</v>
      </c>
      <c r="D369" t="str">
        <f>VLOOKUP($A369,'ECOMMERS SALES'!$1:$500,MATCH('vlookup match'!D$1,ECOMMERS_SALES[#Headers],0))</f>
        <v>Fashion</v>
      </c>
      <c r="E369">
        <f>VLOOKUP($A369,'ECOMMERS SALES'!$1:$500,MATCH('vlookup match'!E$1,ECOMMERS_SALES[#Headers],0))</f>
        <v>1</v>
      </c>
      <c r="F369">
        <f>VLOOKUP($A369,'ECOMMERS SALES'!$1:$500,MATCH('vlookup match'!F$1,ECOMMERS_SALES[#Headers],0))</f>
        <v>1670</v>
      </c>
      <c r="G369">
        <f>VLOOKUP($A369,'ECOMMERS SALES'!$1:$500,MATCH('vlookup match'!G$1,ECOMMERS_SALES[#Headers],0))</f>
        <v>1670</v>
      </c>
      <c r="H369" t="str">
        <f>VLOOKUP($A369,'ECOMMERS SALES'!$1:$500,MATCH('vlookup match'!H$1,ECOMMERS_SALES[#Headers],0))</f>
        <v>Bangalore</v>
      </c>
      <c r="I369" t="str">
        <f>VLOOKUP($A369,'ECOMMERS SALES'!$1:$500,MATCH('vlookup match'!I$1,ECOMMERS_SALES[#Headers],0))</f>
        <v>Returning</v>
      </c>
      <c r="J369" t="str">
        <f>VLOOKUP($A369,'ECOMMERS SALES'!$1:$500,MATCH('vlookup match'!J$1,ECOMMERS_SALES[#Headers],0))</f>
        <v>Card</v>
      </c>
    </row>
    <row r="370" spans="1:10" x14ac:dyDescent="0.35">
      <c r="A370">
        <v>1369</v>
      </c>
      <c r="B370" t="str">
        <f>VLOOKUP($A370,'ECOMMERS SALES'!$1:$500,MATCH('vlookup match'!B$1,ECOMMERS_SALES[#Headers],0))</f>
        <v>05-01-2026</v>
      </c>
      <c r="C370" t="str">
        <f>VLOOKUP($A370,'ECOMMERS SALES'!$1:$500,MATCH('vlookup match'!C$1,ECOMMERS_SALES[#Headers],0))</f>
        <v>Smartwatch</v>
      </c>
      <c r="D370" t="str">
        <f>VLOOKUP($A370,'ECOMMERS SALES'!$1:$500,MATCH('vlookup match'!D$1,ECOMMERS_SALES[#Headers],0))</f>
        <v>Electronics</v>
      </c>
      <c r="E370">
        <f>VLOOKUP($A370,'ECOMMERS SALES'!$1:$500,MATCH('vlookup match'!E$1,ECOMMERS_SALES[#Headers],0))</f>
        <v>2</v>
      </c>
      <c r="F370">
        <f>VLOOKUP($A370,'ECOMMERS SALES'!$1:$500,MATCH('vlookup match'!F$1,ECOMMERS_SALES[#Headers],0))</f>
        <v>14676</v>
      </c>
      <c r="G370">
        <f>VLOOKUP($A370,'ECOMMERS SALES'!$1:$500,MATCH('vlookup match'!G$1,ECOMMERS_SALES[#Headers],0))</f>
        <v>29352</v>
      </c>
      <c r="H370" t="str">
        <f>VLOOKUP($A370,'ECOMMERS SALES'!$1:$500,MATCH('vlookup match'!H$1,ECOMMERS_SALES[#Headers],0))</f>
        <v>Bangalore</v>
      </c>
      <c r="I370" t="str">
        <f>VLOOKUP($A370,'ECOMMERS SALES'!$1:$500,MATCH('vlookup match'!I$1,ECOMMERS_SALES[#Headers],0))</f>
        <v>Premimum</v>
      </c>
      <c r="J370" t="str">
        <f>VLOOKUP($A370,'ECOMMERS SALES'!$1:$500,MATCH('vlookup match'!J$1,ECOMMERS_SALES[#Headers],0))</f>
        <v>Card</v>
      </c>
    </row>
    <row r="371" spans="1:10" x14ac:dyDescent="0.35">
      <c r="A371">
        <v>1370</v>
      </c>
      <c r="B371" t="str">
        <f>VLOOKUP($A371,'ECOMMERS SALES'!$1:$500,MATCH('vlookup match'!B$1,ECOMMERS_SALES[#Headers],0))</f>
        <v>06-01-2026</v>
      </c>
      <c r="C371" t="str">
        <f>VLOOKUP($A371,'ECOMMERS SALES'!$1:$500,MATCH('vlookup match'!C$1,ECOMMERS_SALES[#Headers],0))</f>
        <v>Water Bottle</v>
      </c>
      <c r="D371" t="str">
        <f>VLOOKUP($A371,'ECOMMERS SALES'!$1:$500,MATCH('vlookup match'!D$1,ECOMMERS_SALES[#Headers],0))</f>
        <v>Other</v>
      </c>
      <c r="E371">
        <f>VLOOKUP($A371,'ECOMMERS SALES'!$1:$500,MATCH('vlookup match'!E$1,ECOMMERS_SALES[#Headers],0))</f>
        <v>3</v>
      </c>
      <c r="F371">
        <f>VLOOKUP($A371,'ECOMMERS SALES'!$1:$500,MATCH('vlookup match'!F$1,ECOMMERS_SALES[#Headers],0))</f>
        <v>635</v>
      </c>
      <c r="G371">
        <f>VLOOKUP($A371,'ECOMMERS SALES'!$1:$500,MATCH('vlookup match'!G$1,ECOMMERS_SALES[#Headers],0))</f>
        <v>1905</v>
      </c>
      <c r="H371" t="str">
        <f>VLOOKUP($A371,'ECOMMERS SALES'!$1:$500,MATCH('vlookup match'!H$1,ECOMMERS_SALES[#Headers],0))</f>
        <v>Bangalore</v>
      </c>
      <c r="I371" t="str">
        <f>VLOOKUP($A371,'ECOMMERS SALES'!$1:$500,MATCH('vlookup match'!I$1,ECOMMERS_SALES[#Headers],0))</f>
        <v>Premimum</v>
      </c>
      <c r="J371" t="str">
        <f>VLOOKUP($A371,'ECOMMERS SALES'!$1:$500,MATCH('vlookup match'!J$1,ECOMMERS_SALES[#Headers],0))</f>
        <v>UPI</v>
      </c>
    </row>
    <row r="372" spans="1:10" x14ac:dyDescent="0.35">
      <c r="A372">
        <v>1371</v>
      </c>
      <c r="B372" t="str">
        <f>VLOOKUP($A372,'ECOMMERS SALES'!$1:$500,MATCH('vlookup match'!B$1,ECOMMERS_SALES[#Headers],0))</f>
        <v>07-01-2026</v>
      </c>
      <c r="C372" t="str">
        <f>VLOOKUP($A372,'ECOMMERS SALES'!$1:$500,MATCH('vlookup match'!C$1,ECOMMERS_SALES[#Headers],0))</f>
        <v>Laptop</v>
      </c>
      <c r="D372" t="str">
        <f>VLOOKUP($A372,'ECOMMERS SALES'!$1:$500,MATCH('vlookup match'!D$1,ECOMMERS_SALES[#Headers],0))</f>
        <v>Electronics</v>
      </c>
      <c r="E372">
        <f>VLOOKUP($A372,'ECOMMERS SALES'!$1:$500,MATCH('vlookup match'!E$1,ECOMMERS_SALES[#Headers],0))</f>
        <v>2</v>
      </c>
      <c r="F372">
        <f>VLOOKUP($A372,'ECOMMERS SALES'!$1:$500,MATCH('vlookup match'!F$1,ECOMMERS_SALES[#Headers],0))</f>
        <v>61090</v>
      </c>
      <c r="G372">
        <f>VLOOKUP($A372,'ECOMMERS SALES'!$1:$500,MATCH('vlookup match'!G$1,ECOMMERS_SALES[#Headers],0))</f>
        <v>122180</v>
      </c>
      <c r="H372" t="str">
        <f>VLOOKUP($A372,'ECOMMERS SALES'!$1:$500,MATCH('vlookup match'!H$1,ECOMMERS_SALES[#Headers],0))</f>
        <v>Hyderabad</v>
      </c>
      <c r="I372" t="str">
        <f>VLOOKUP($A372,'ECOMMERS SALES'!$1:$500,MATCH('vlookup match'!I$1,ECOMMERS_SALES[#Headers],0))</f>
        <v>Premimum</v>
      </c>
      <c r="J372" t="str">
        <f>VLOOKUP($A372,'ECOMMERS SALES'!$1:$500,MATCH('vlookup match'!J$1,ECOMMERS_SALES[#Headers],0))</f>
        <v>UPI</v>
      </c>
    </row>
    <row r="373" spans="1:10" x14ac:dyDescent="0.35">
      <c r="A373">
        <v>1372</v>
      </c>
      <c r="B373" t="str">
        <f>VLOOKUP($A373,'ECOMMERS SALES'!$1:$500,MATCH('vlookup match'!B$1,ECOMMERS_SALES[#Headers],0))</f>
        <v>08-01-2026</v>
      </c>
      <c r="C373" t="str">
        <f>VLOOKUP($A373,'ECOMMERS SALES'!$1:$500,MATCH('vlookup match'!C$1,ECOMMERS_SALES[#Headers],0))</f>
        <v>Headphones</v>
      </c>
      <c r="D373" t="str">
        <f>VLOOKUP($A373,'ECOMMERS SALES'!$1:$500,MATCH('vlookup match'!D$1,ECOMMERS_SALES[#Headers],0))</f>
        <v>Electronics</v>
      </c>
      <c r="E373">
        <f>VLOOKUP($A373,'ECOMMERS SALES'!$1:$500,MATCH('vlookup match'!E$1,ECOMMERS_SALES[#Headers],0))</f>
        <v>1</v>
      </c>
      <c r="F373">
        <f>VLOOKUP($A373,'ECOMMERS SALES'!$1:$500,MATCH('vlookup match'!F$1,ECOMMERS_SALES[#Headers],0))</f>
        <v>2093</v>
      </c>
      <c r="G373">
        <f>VLOOKUP($A373,'ECOMMERS SALES'!$1:$500,MATCH('vlookup match'!G$1,ECOMMERS_SALES[#Headers],0))</f>
        <v>2093</v>
      </c>
      <c r="H373" t="str">
        <f>VLOOKUP($A373,'ECOMMERS SALES'!$1:$500,MATCH('vlookup match'!H$1,ECOMMERS_SALES[#Headers],0))</f>
        <v>Bangalore</v>
      </c>
      <c r="I373" t="str">
        <f>VLOOKUP($A373,'ECOMMERS SALES'!$1:$500,MATCH('vlookup match'!I$1,ECOMMERS_SALES[#Headers],0))</f>
        <v>Returning</v>
      </c>
      <c r="J373" t="str">
        <f>VLOOKUP($A373,'ECOMMERS SALES'!$1:$500,MATCH('vlookup match'!J$1,ECOMMERS_SALES[#Headers],0))</f>
        <v>Card</v>
      </c>
    </row>
    <row r="374" spans="1:10" x14ac:dyDescent="0.35">
      <c r="A374">
        <v>1373</v>
      </c>
      <c r="B374" t="str">
        <f>VLOOKUP($A374,'ECOMMERS SALES'!$1:$500,MATCH('vlookup match'!B$1,ECOMMERS_SALES[#Headers],0))</f>
        <v>09-01-2026</v>
      </c>
      <c r="C374" t="str">
        <f>VLOOKUP($A374,'ECOMMERS SALES'!$1:$500,MATCH('vlookup match'!C$1,ECOMMERS_SALES[#Headers],0))</f>
        <v>Shoes</v>
      </c>
      <c r="D374" t="str">
        <f>VLOOKUP($A374,'ECOMMERS SALES'!$1:$500,MATCH('vlookup match'!D$1,ECOMMERS_SALES[#Headers],0))</f>
        <v>Fashion</v>
      </c>
      <c r="E374">
        <f>VLOOKUP($A374,'ECOMMERS SALES'!$1:$500,MATCH('vlookup match'!E$1,ECOMMERS_SALES[#Headers],0))</f>
        <v>3</v>
      </c>
      <c r="F374">
        <f>VLOOKUP($A374,'ECOMMERS SALES'!$1:$500,MATCH('vlookup match'!F$1,ECOMMERS_SALES[#Headers],0))</f>
        <v>4952</v>
      </c>
      <c r="G374">
        <f>VLOOKUP($A374,'ECOMMERS SALES'!$1:$500,MATCH('vlookup match'!G$1,ECOMMERS_SALES[#Headers],0))</f>
        <v>14856</v>
      </c>
      <c r="H374" t="str">
        <f>VLOOKUP($A374,'ECOMMERS SALES'!$1:$500,MATCH('vlookup match'!H$1,ECOMMERS_SALES[#Headers],0))</f>
        <v>Hyderabad</v>
      </c>
      <c r="I374" t="str">
        <f>VLOOKUP($A374,'ECOMMERS SALES'!$1:$500,MATCH('vlookup match'!I$1,ECOMMERS_SALES[#Headers],0))</f>
        <v>Premimum</v>
      </c>
      <c r="J374" t="str">
        <f>VLOOKUP($A374,'ECOMMERS SALES'!$1:$500,MATCH('vlookup match'!J$1,ECOMMERS_SALES[#Headers],0))</f>
        <v>Card</v>
      </c>
    </row>
    <row r="375" spans="1:10" x14ac:dyDescent="0.35">
      <c r="A375">
        <v>1374</v>
      </c>
      <c r="B375" t="str">
        <f>VLOOKUP($A375,'ECOMMERS SALES'!$1:$500,MATCH('vlookup match'!B$1,ECOMMERS_SALES[#Headers],0))</f>
        <v>10-01-2026</v>
      </c>
      <c r="C375" t="str">
        <f>VLOOKUP($A375,'ECOMMERS SALES'!$1:$500,MATCH('vlookup match'!C$1,ECOMMERS_SALES[#Headers],0))</f>
        <v>Watch</v>
      </c>
      <c r="D375" t="str">
        <f>VLOOKUP($A375,'ECOMMERS SALES'!$1:$500,MATCH('vlookup match'!D$1,ECOMMERS_SALES[#Headers],0))</f>
        <v>Other</v>
      </c>
      <c r="E375">
        <f>VLOOKUP($A375,'ECOMMERS SALES'!$1:$500,MATCH('vlookup match'!E$1,ECOMMERS_SALES[#Headers],0))</f>
        <v>4</v>
      </c>
      <c r="F375">
        <f>VLOOKUP($A375,'ECOMMERS SALES'!$1:$500,MATCH('vlookup match'!F$1,ECOMMERS_SALES[#Headers],0))</f>
        <v>11582</v>
      </c>
      <c r="G375">
        <f>VLOOKUP($A375,'ECOMMERS SALES'!$1:$500,MATCH('vlookup match'!G$1,ECOMMERS_SALES[#Headers],0))</f>
        <v>46328</v>
      </c>
      <c r="H375" t="str">
        <f>VLOOKUP($A375,'ECOMMERS SALES'!$1:$500,MATCH('vlookup match'!H$1,ECOMMERS_SALES[#Headers],0))</f>
        <v>Chennai</v>
      </c>
      <c r="I375" t="str">
        <f>VLOOKUP($A375,'ECOMMERS SALES'!$1:$500,MATCH('vlookup match'!I$1,ECOMMERS_SALES[#Headers],0))</f>
        <v>New</v>
      </c>
      <c r="J375" t="str">
        <f>VLOOKUP($A375,'ECOMMERS SALES'!$1:$500,MATCH('vlookup match'!J$1,ECOMMERS_SALES[#Headers],0))</f>
        <v>COD</v>
      </c>
    </row>
    <row r="376" spans="1:10" x14ac:dyDescent="0.35">
      <c r="A376">
        <v>1375</v>
      </c>
      <c r="B376" t="str">
        <f>VLOOKUP($A376,'ECOMMERS SALES'!$1:$500,MATCH('vlookup match'!B$1,ECOMMERS_SALES[#Headers],0))</f>
        <v>11-01-2026</v>
      </c>
      <c r="C376" t="str">
        <f>VLOOKUP($A376,'ECOMMERS SALES'!$1:$500,MATCH('vlookup match'!C$1,ECOMMERS_SALES[#Headers],0))</f>
        <v>Mobile Case</v>
      </c>
      <c r="D376" t="str">
        <f>VLOOKUP($A376,'ECOMMERS SALES'!$1:$500,MATCH('vlookup match'!D$1,ECOMMERS_SALES[#Headers],0))</f>
        <v>Other</v>
      </c>
      <c r="E376">
        <f>VLOOKUP($A376,'ECOMMERS SALES'!$1:$500,MATCH('vlookup match'!E$1,ECOMMERS_SALES[#Headers],0))</f>
        <v>1</v>
      </c>
      <c r="F376">
        <f>VLOOKUP($A376,'ECOMMERS SALES'!$1:$500,MATCH('vlookup match'!F$1,ECOMMERS_SALES[#Headers],0))</f>
        <v>267</v>
      </c>
      <c r="G376">
        <f>VLOOKUP($A376,'ECOMMERS SALES'!$1:$500,MATCH('vlookup match'!G$1,ECOMMERS_SALES[#Headers],0))</f>
        <v>267</v>
      </c>
      <c r="H376" t="str">
        <f>VLOOKUP($A376,'ECOMMERS SALES'!$1:$500,MATCH('vlookup match'!H$1,ECOMMERS_SALES[#Headers],0))</f>
        <v>Chennai</v>
      </c>
      <c r="I376" t="str">
        <f>VLOOKUP($A376,'ECOMMERS SALES'!$1:$500,MATCH('vlookup match'!I$1,ECOMMERS_SALES[#Headers],0))</f>
        <v>Returning</v>
      </c>
      <c r="J376" t="str">
        <f>VLOOKUP($A376,'ECOMMERS SALES'!$1:$500,MATCH('vlookup match'!J$1,ECOMMERS_SALES[#Headers],0))</f>
        <v>Card</v>
      </c>
    </row>
    <row r="377" spans="1:10" x14ac:dyDescent="0.35">
      <c r="A377">
        <v>1376</v>
      </c>
      <c r="B377" t="str">
        <f>VLOOKUP($A377,'ECOMMERS SALES'!$1:$500,MATCH('vlookup match'!B$1,ECOMMERS_SALES[#Headers],0))</f>
        <v>12-01-2026</v>
      </c>
      <c r="C377" t="str">
        <f>VLOOKUP($A377,'ECOMMERS SALES'!$1:$500,MATCH('vlookup match'!C$1,ECOMMERS_SALES[#Headers],0))</f>
        <v>Tablet</v>
      </c>
      <c r="D377" t="str">
        <f>VLOOKUP($A377,'ECOMMERS SALES'!$1:$500,MATCH('vlookup match'!D$1,ECOMMERS_SALES[#Headers],0))</f>
        <v>Electronics</v>
      </c>
      <c r="E377">
        <f>VLOOKUP($A377,'ECOMMERS SALES'!$1:$500,MATCH('vlookup match'!E$1,ECOMMERS_SALES[#Headers],0))</f>
        <v>1</v>
      </c>
      <c r="F377">
        <f>VLOOKUP($A377,'ECOMMERS SALES'!$1:$500,MATCH('vlookup match'!F$1,ECOMMERS_SALES[#Headers],0))</f>
        <v>36468</v>
      </c>
      <c r="G377">
        <f>VLOOKUP($A377,'ECOMMERS SALES'!$1:$500,MATCH('vlookup match'!G$1,ECOMMERS_SALES[#Headers],0))</f>
        <v>36468</v>
      </c>
      <c r="H377" t="str">
        <f>VLOOKUP($A377,'ECOMMERS SALES'!$1:$500,MATCH('vlookup match'!H$1,ECOMMERS_SALES[#Headers],0))</f>
        <v>Hyderabad</v>
      </c>
      <c r="I377" t="str">
        <f>VLOOKUP($A377,'ECOMMERS SALES'!$1:$500,MATCH('vlookup match'!I$1,ECOMMERS_SALES[#Headers],0))</f>
        <v>Premimum</v>
      </c>
      <c r="J377" t="str">
        <f>VLOOKUP($A377,'ECOMMERS SALES'!$1:$500,MATCH('vlookup match'!J$1,ECOMMERS_SALES[#Headers],0))</f>
        <v>COD</v>
      </c>
    </row>
    <row r="378" spans="1:10" x14ac:dyDescent="0.35">
      <c r="A378">
        <v>1377</v>
      </c>
      <c r="B378" t="str">
        <f>VLOOKUP($A378,'ECOMMERS SALES'!$1:$500,MATCH('vlookup match'!B$1,ECOMMERS_SALES[#Headers],0))</f>
        <v>13-01-2026</v>
      </c>
      <c r="C378" t="str">
        <f>VLOOKUP($A378,'ECOMMERS SALES'!$1:$500,MATCH('vlookup match'!C$1,ECOMMERS_SALES[#Headers],0))</f>
        <v>Book</v>
      </c>
      <c r="D378" t="str">
        <f>VLOOKUP($A378,'ECOMMERS SALES'!$1:$500,MATCH('vlookup match'!D$1,ECOMMERS_SALES[#Headers],0))</f>
        <v>Books</v>
      </c>
      <c r="E378">
        <f>VLOOKUP($A378,'ECOMMERS SALES'!$1:$500,MATCH('vlookup match'!E$1,ECOMMERS_SALES[#Headers],0))</f>
        <v>4</v>
      </c>
      <c r="F378">
        <f>VLOOKUP($A378,'ECOMMERS SALES'!$1:$500,MATCH('vlookup match'!F$1,ECOMMERS_SALES[#Headers],0))</f>
        <v>506</v>
      </c>
      <c r="G378">
        <f>VLOOKUP($A378,'ECOMMERS SALES'!$1:$500,MATCH('vlookup match'!G$1,ECOMMERS_SALES[#Headers],0))</f>
        <v>2024</v>
      </c>
      <c r="H378" t="str">
        <f>VLOOKUP($A378,'ECOMMERS SALES'!$1:$500,MATCH('vlookup match'!H$1,ECOMMERS_SALES[#Headers],0))</f>
        <v>Pune</v>
      </c>
      <c r="I378" t="str">
        <f>VLOOKUP($A378,'ECOMMERS SALES'!$1:$500,MATCH('vlookup match'!I$1,ECOMMERS_SALES[#Headers],0))</f>
        <v>New</v>
      </c>
      <c r="J378" t="str">
        <f>VLOOKUP($A378,'ECOMMERS SALES'!$1:$500,MATCH('vlookup match'!J$1,ECOMMERS_SALES[#Headers],0))</f>
        <v>COD</v>
      </c>
    </row>
    <row r="379" spans="1:10" x14ac:dyDescent="0.35">
      <c r="A379">
        <v>1378</v>
      </c>
      <c r="B379" t="str">
        <f>VLOOKUP($A379,'ECOMMERS SALES'!$1:$500,MATCH('vlookup match'!B$1,ECOMMERS_SALES[#Headers],0))</f>
        <v>14-01-2026</v>
      </c>
      <c r="C379" t="str">
        <f>VLOOKUP($A379,'ECOMMERS SALES'!$1:$500,MATCH('vlookup match'!C$1,ECOMMERS_SALES[#Headers],0))</f>
        <v>Backpack</v>
      </c>
      <c r="D379" t="str">
        <f>VLOOKUP($A379,'ECOMMERS SALES'!$1:$500,MATCH('vlookup match'!D$1,ECOMMERS_SALES[#Headers],0))</f>
        <v>Fashion</v>
      </c>
      <c r="E379">
        <f>VLOOKUP($A379,'ECOMMERS SALES'!$1:$500,MATCH('vlookup match'!E$1,ECOMMERS_SALES[#Headers],0))</f>
        <v>1</v>
      </c>
      <c r="F379">
        <f>VLOOKUP($A379,'ECOMMERS SALES'!$1:$500,MATCH('vlookup match'!F$1,ECOMMERS_SALES[#Headers],0))</f>
        <v>640</v>
      </c>
      <c r="G379">
        <f>VLOOKUP($A379,'ECOMMERS SALES'!$1:$500,MATCH('vlookup match'!G$1,ECOMMERS_SALES[#Headers],0))</f>
        <v>640</v>
      </c>
      <c r="H379" t="str">
        <f>VLOOKUP($A379,'ECOMMERS SALES'!$1:$500,MATCH('vlookup match'!H$1,ECOMMERS_SALES[#Headers],0))</f>
        <v>Pune</v>
      </c>
      <c r="I379" t="str">
        <f>VLOOKUP($A379,'ECOMMERS SALES'!$1:$500,MATCH('vlookup match'!I$1,ECOMMERS_SALES[#Headers],0))</f>
        <v>New</v>
      </c>
      <c r="J379" t="str">
        <f>VLOOKUP($A379,'ECOMMERS SALES'!$1:$500,MATCH('vlookup match'!J$1,ECOMMERS_SALES[#Headers],0))</f>
        <v>COD</v>
      </c>
    </row>
    <row r="380" spans="1:10" x14ac:dyDescent="0.35">
      <c r="A380">
        <v>1379</v>
      </c>
      <c r="B380" t="str">
        <f>VLOOKUP($A380,'ECOMMERS SALES'!$1:$500,MATCH('vlookup match'!B$1,ECOMMERS_SALES[#Headers],0))</f>
        <v>15-01-2026</v>
      </c>
      <c r="C380" t="str">
        <f>VLOOKUP($A380,'ECOMMERS SALES'!$1:$500,MATCH('vlookup match'!C$1,ECOMMERS_SALES[#Headers],0))</f>
        <v>Smartwatch</v>
      </c>
      <c r="D380" t="str">
        <f>VLOOKUP($A380,'ECOMMERS SALES'!$1:$500,MATCH('vlookup match'!D$1,ECOMMERS_SALES[#Headers],0))</f>
        <v>Electronics</v>
      </c>
      <c r="E380">
        <f>VLOOKUP($A380,'ECOMMERS SALES'!$1:$500,MATCH('vlookup match'!E$1,ECOMMERS_SALES[#Headers],0))</f>
        <v>2</v>
      </c>
      <c r="F380">
        <f>VLOOKUP($A380,'ECOMMERS SALES'!$1:$500,MATCH('vlookup match'!F$1,ECOMMERS_SALES[#Headers],0))</f>
        <v>7951</v>
      </c>
      <c r="G380">
        <f>VLOOKUP($A380,'ECOMMERS SALES'!$1:$500,MATCH('vlookup match'!G$1,ECOMMERS_SALES[#Headers],0))</f>
        <v>15902</v>
      </c>
      <c r="H380" t="str">
        <f>VLOOKUP($A380,'ECOMMERS SALES'!$1:$500,MATCH('vlookup match'!H$1,ECOMMERS_SALES[#Headers],0))</f>
        <v>Bangalore</v>
      </c>
      <c r="I380" t="str">
        <f>VLOOKUP($A380,'ECOMMERS SALES'!$1:$500,MATCH('vlookup match'!I$1,ECOMMERS_SALES[#Headers],0))</f>
        <v>Returning</v>
      </c>
      <c r="J380" t="str">
        <f>VLOOKUP($A380,'ECOMMERS SALES'!$1:$500,MATCH('vlookup match'!J$1,ECOMMERS_SALES[#Headers],0))</f>
        <v>UPI</v>
      </c>
    </row>
    <row r="381" spans="1:10" x14ac:dyDescent="0.35">
      <c r="A381">
        <v>1380</v>
      </c>
      <c r="B381" t="str">
        <f>VLOOKUP($A381,'ECOMMERS SALES'!$1:$500,MATCH('vlookup match'!B$1,ECOMMERS_SALES[#Headers],0))</f>
        <v>16-01-2026</v>
      </c>
      <c r="C381" t="str">
        <f>VLOOKUP($A381,'ECOMMERS SALES'!$1:$500,MATCH('vlookup match'!C$1,ECOMMERS_SALES[#Headers],0))</f>
        <v>Water Bottle</v>
      </c>
      <c r="D381" t="str">
        <f>VLOOKUP($A381,'ECOMMERS SALES'!$1:$500,MATCH('vlookup match'!D$1,ECOMMERS_SALES[#Headers],0))</f>
        <v>Other</v>
      </c>
      <c r="E381">
        <f>VLOOKUP($A381,'ECOMMERS SALES'!$1:$500,MATCH('vlookup match'!E$1,ECOMMERS_SALES[#Headers],0))</f>
        <v>2</v>
      </c>
      <c r="F381">
        <f>VLOOKUP($A381,'ECOMMERS SALES'!$1:$500,MATCH('vlookup match'!F$1,ECOMMERS_SALES[#Headers],0))</f>
        <v>547</v>
      </c>
      <c r="G381">
        <f>VLOOKUP($A381,'ECOMMERS SALES'!$1:$500,MATCH('vlookup match'!G$1,ECOMMERS_SALES[#Headers],0))</f>
        <v>1094</v>
      </c>
      <c r="H381" t="str">
        <f>VLOOKUP($A381,'ECOMMERS SALES'!$1:$500,MATCH('vlookup match'!H$1,ECOMMERS_SALES[#Headers],0))</f>
        <v>Delhi</v>
      </c>
      <c r="I381" t="str">
        <f>VLOOKUP($A381,'ECOMMERS SALES'!$1:$500,MATCH('vlookup match'!I$1,ECOMMERS_SALES[#Headers],0))</f>
        <v>Returning</v>
      </c>
      <c r="J381" t="str">
        <f>VLOOKUP($A381,'ECOMMERS SALES'!$1:$500,MATCH('vlookup match'!J$1,ECOMMERS_SALES[#Headers],0))</f>
        <v>UPI</v>
      </c>
    </row>
    <row r="382" spans="1:10" x14ac:dyDescent="0.35">
      <c r="A382">
        <v>1381</v>
      </c>
      <c r="B382" t="str">
        <f>VLOOKUP($A382,'ECOMMERS SALES'!$1:$500,MATCH('vlookup match'!B$1,ECOMMERS_SALES[#Headers],0))</f>
        <v>17-01-2026</v>
      </c>
      <c r="C382" t="str">
        <f>VLOOKUP($A382,'ECOMMERS SALES'!$1:$500,MATCH('vlookup match'!C$1,ECOMMERS_SALES[#Headers],0))</f>
        <v>Laptop</v>
      </c>
      <c r="D382" t="str">
        <f>VLOOKUP($A382,'ECOMMERS SALES'!$1:$500,MATCH('vlookup match'!D$1,ECOMMERS_SALES[#Headers],0))</f>
        <v>Electronics</v>
      </c>
      <c r="E382">
        <f>VLOOKUP($A382,'ECOMMERS SALES'!$1:$500,MATCH('vlookup match'!E$1,ECOMMERS_SALES[#Headers],0))</f>
        <v>2</v>
      </c>
      <c r="F382">
        <f>VLOOKUP($A382,'ECOMMERS SALES'!$1:$500,MATCH('vlookup match'!F$1,ECOMMERS_SALES[#Headers],0))</f>
        <v>44128</v>
      </c>
      <c r="G382">
        <f>VLOOKUP($A382,'ECOMMERS SALES'!$1:$500,MATCH('vlookup match'!G$1,ECOMMERS_SALES[#Headers],0))</f>
        <v>88256</v>
      </c>
      <c r="H382" t="str">
        <f>VLOOKUP($A382,'ECOMMERS SALES'!$1:$500,MATCH('vlookup match'!H$1,ECOMMERS_SALES[#Headers],0))</f>
        <v>Chennai</v>
      </c>
      <c r="I382" t="str">
        <f>VLOOKUP($A382,'ECOMMERS SALES'!$1:$500,MATCH('vlookup match'!I$1,ECOMMERS_SALES[#Headers],0))</f>
        <v>Returning</v>
      </c>
      <c r="J382" t="str">
        <f>VLOOKUP($A382,'ECOMMERS SALES'!$1:$500,MATCH('vlookup match'!J$1,ECOMMERS_SALES[#Headers],0))</f>
        <v>UPI</v>
      </c>
    </row>
    <row r="383" spans="1:10" x14ac:dyDescent="0.35">
      <c r="A383">
        <v>1382</v>
      </c>
      <c r="B383" t="str">
        <f>VLOOKUP($A383,'ECOMMERS SALES'!$1:$500,MATCH('vlookup match'!B$1,ECOMMERS_SALES[#Headers],0))</f>
        <v>18-01-2026</v>
      </c>
      <c r="C383" t="str">
        <f>VLOOKUP($A383,'ECOMMERS SALES'!$1:$500,MATCH('vlookup match'!C$1,ECOMMERS_SALES[#Headers],0))</f>
        <v>Headphones</v>
      </c>
      <c r="D383" t="str">
        <f>VLOOKUP($A383,'ECOMMERS SALES'!$1:$500,MATCH('vlookup match'!D$1,ECOMMERS_SALES[#Headers],0))</f>
        <v>Electronics</v>
      </c>
      <c r="E383">
        <f>VLOOKUP($A383,'ECOMMERS SALES'!$1:$500,MATCH('vlookup match'!E$1,ECOMMERS_SALES[#Headers],0))</f>
        <v>1</v>
      </c>
      <c r="F383">
        <f>VLOOKUP($A383,'ECOMMERS SALES'!$1:$500,MATCH('vlookup match'!F$1,ECOMMERS_SALES[#Headers],0))</f>
        <v>2236</v>
      </c>
      <c r="G383">
        <f>VLOOKUP($A383,'ECOMMERS SALES'!$1:$500,MATCH('vlookup match'!G$1,ECOMMERS_SALES[#Headers],0))</f>
        <v>2236</v>
      </c>
      <c r="H383" t="str">
        <f>VLOOKUP($A383,'ECOMMERS SALES'!$1:$500,MATCH('vlookup match'!H$1,ECOMMERS_SALES[#Headers],0))</f>
        <v>Mumbai</v>
      </c>
      <c r="I383" t="str">
        <f>VLOOKUP($A383,'ECOMMERS SALES'!$1:$500,MATCH('vlookup match'!I$1,ECOMMERS_SALES[#Headers],0))</f>
        <v>New</v>
      </c>
      <c r="J383" t="str">
        <f>VLOOKUP($A383,'ECOMMERS SALES'!$1:$500,MATCH('vlookup match'!J$1,ECOMMERS_SALES[#Headers],0))</f>
        <v>COD</v>
      </c>
    </row>
    <row r="384" spans="1:10" x14ac:dyDescent="0.35">
      <c r="A384">
        <v>1383</v>
      </c>
      <c r="B384" t="str">
        <f>VLOOKUP($A384,'ECOMMERS SALES'!$1:$500,MATCH('vlookup match'!B$1,ECOMMERS_SALES[#Headers],0))</f>
        <v>19-01-2026</v>
      </c>
      <c r="C384" t="str">
        <f>VLOOKUP($A384,'ECOMMERS SALES'!$1:$500,MATCH('vlookup match'!C$1,ECOMMERS_SALES[#Headers],0))</f>
        <v>Shoes</v>
      </c>
      <c r="D384" t="str">
        <f>VLOOKUP($A384,'ECOMMERS SALES'!$1:$500,MATCH('vlookup match'!D$1,ECOMMERS_SALES[#Headers],0))</f>
        <v>Fashion</v>
      </c>
      <c r="E384">
        <f>VLOOKUP($A384,'ECOMMERS SALES'!$1:$500,MATCH('vlookup match'!E$1,ECOMMERS_SALES[#Headers],0))</f>
        <v>1</v>
      </c>
      <c r="F384">
        <f>VLOOKUP($A384,'ECOMMERS SALES'!$1:$500,MATCH('vlookup match'!F$1,ECOMMERS_SALES[#Headers],0))</f>
        <v>2086</v>
      </c>
      <c r="G384">
        <f>VLOOKUP($A384,'ECOMMERS SALES'!$1:$500,MATCH('vlookup match'!G$1,ECOMMERS_SALES[#Headers],0))</f>
        <v>2086</v>
      </c>
      <c r="H384" t="str">
        <f>VLOOKUP($A384,'ECOMMERS SALES'!$1:$500,MATCH('vlookup match'!H$1,ECOMMERS_SALES[#Headers],0))</f>
        <v>Mumbai</v>
      </c>
      <c r="I384" t="str">
        <f>VLOOKUP($A384,'ECOMMERS SALES'!$1:$500,MATCH('vlookup match'!I$1,ECOMMERS_SALES[#Headers],0))</f>
        <v>Premimum</v>
      </c>
      <c r="J384" t="str">
        <f>VLOOKUP($A384,'ECOMMERS SALES'!$1:$500,MATCH('vlookup match'!J$1,ECOMMERS_SALES[#Headers],0))</f>
        <v>UPI</v>
      </c>
    </row>
    <row r="385" spans="1:10" x14ac:dyDescent="0.35">
      <c r="A385">
        <v>1384</v>
      </c>
      <c r="B385" t="str">
        <f>VLOOKUP($A385,'ECOMMERS SALES'!$1:$500,MATCH('vlookup match'!B$1,ECOMMERS_SALES[#Headers],0))</f>
        <v>20-01-2026</v>
      </c>
      <c r="C385" t="str">
        <f>VLOOKUP($A385,'ECOMMERS SALES'!$1:$500,MATCH('vlookup match'!C$1,ECOMMERS_SALES[#Headers],0))</f>
        <v>Watch</v>
      </c>
      <c r="D385" t="str">
        <f>VLOOKUP($A385,'ECOMMERS SALES'!$1:$500,MATCH('vlookup match'!D$1,ECOMMERS_SALES[#Headers],0))</f>
        <v>Other</v>
      </c>
      <c r="E385">
        <f>VLOOKUP($A385,'ECOMMERS SALES'!$1:$500,MATCH('vlookup match'!E$1,ECOMMERS_SALES[#Headers],0))</f>
        <v>5</v>
      </c>
      <c r="F385">
        <f>VLOOKUP($A385,'ECOMMERS SALES'!$1:$500,MATCH('vlookup match'!F$1,ECOMMERS_SALES[#Headers],0))</f>
        <v>2776</v>
      </c>
      <c r="G385">
        <f>VLOOKUP($A385,'ECOMMERS SALES'!$1:$500,MATCH('vlookup match'!G$1,ECOMMERS_SALES[#Headers],0))</f>
        <v>13880</v>
      </c>
      <c r="H385" t="str">
        <f>VLOOKUP($A385,'ECOMMERS SALES'!$1:$500,MATCH('vlookup match'!H$1,ECOMMERS_SALES[#Headers],0))</f>
        <v>Chennai</v>
      </c>
      <c r="I385" t="str">
        <f>VLOOKUP($A385,'ECOMMERS SALES'!$1:$500,MATCH('vlookup match'!I$1,ECOMMERS_SALES[#Headers],0))</f>
        <v>Returning</v>
      </c>
      <c r="J385" t="str">
        <f>VLOOKUP($A385,'ECOMMERS SALES'!$1:$500,MATCH('vlookup match'!J$1,ECOMMERS_SALES[#Headers],0))</f>
        <v>Card</v>
      </c>
    </row>
    <row r="386" spans="1:10" x14ac:dyDescent="0.35">
      <c r="A386">
        <v>1385</v>
      </c>
      <c r="B386" t="str">
        <f>VLOOKUP($A386,'ECOMMERS SALES'!$1:$500,MATCH('vlookup match'!B$1,ECOMMERS_SALES[#Headers],0))</f>
        <v>21-01-2026</v>
      </c>
      <c r="C386" t="str">
        <f>VLOOKUP($A386,'ECOMMERS SALES'!$1:$500,MATCH('vlookup match'!C$1,ECOMMERS_SALES[#Headers],0))</f>
        <v>Mobile Case</v>
      </c>
      <c r="D386" t="str">
        <f>VLOOKUP($A386,'ECOMMERS SALES'!$1:$500,MATCH('vlookup match'!D$1,ECOMMERS_SALES[#Headers],0))</f>
        <v>Other</v>
      </c>
      <c r="E386">
        <f>VLOOKUP($A386,'ECOMMERS SALES'!$1:$500,MATCH('vlookup match'!E$1,ECOMMERS_SALES[#Headers],0))</f>
        <v>3</v>
      </c>
      <c r="F386">
        <f>VLOOKUP($A386,'ECOMMERS SALES'!$1:$500,MATCH('vlookup match'!F$1,ECOMMERS_SALES[#Headers],0))</f>
        <v>950</v>
      </c>
      <c r="G386">
        <f>VLOOKUP($A386,'ECOMMERS SALES'!$1:$500,MATCH('vlookup match'!G$1,ECOMMERS_SALES[#Headers],0))</f>
        <v>2850</v>
      </c>
      <c r="H386" t="str">
        <f>VLOOKUP($A386,'ECOMMERS SALES'!$1:$500,MATCH('vlookup match'!H$1,ECOMMERS_SALES[#Headers],0))</f>
        <v>Hyderabad</v>
      </c>
      <c r="I386" t="str">
        <f>VLOOKUP($A386,'ECOMMERS SALES'!$1:$500,MATCH('vlookup match'!I$1,ECOMMERS_SALES[#Headers],0))</f>
        <v>New</v>
      </c>
      <c r="J386" t="str">
        <f>VLOOKUP($A386,'ECOMMERS SALES'!$1:$500,MATCH('vlookup match'!J$1,ECOMMERS_SALES[#Headers],0))</f>
        <v>UPI</v>
      </c>
    </row>
    <row r="387" spans="1:10" x14ac:dyDescent="0.35">
      <c r="A387">
        <v>1386</v>
      </c>
      <c r="B387" t="str">
        <f>VLOOKUP($A387,'ECOMMERS SALES'!$1:$500,MATCH('vlookup match'!B$1,ECOMMERS_SALES[#Headers],0))</f>
        <v>22-01-2026</v>
      </c>
      <c r="C387" t="str">
        <f>VLOOKUP($A387,'ECOMMERS SALES'!$1:$500,MATCH('vlookup match'!C$1,ECOMMERS_SALES[#Headers],0))</f>
        <v>Tablet</v>
      </c>
      <c r="D387" t="str">
        <f>VLOOKUP($A387,'ECOMMERS SALES'!$1:$500,MATCH('vlookup match'!D$1,ECOMMERS_SALES[#Headers],0))</f>
        <v>Electronics</v>
      </c>
      <c r="E387">
        <f>VLOOKUP($A387,'ECOMMERS SALES'!$1:$500,MATCH('vlookup match'!E$1,ECOMMERS_SALES[#Headers],0))</f>
        <v>2</v>
      </c>
      <c r="F387">
        <f>VLOOKUP($A387,'ECOMMERS SALES'!$1:$500,MATCH('vlookup match'!F$1,ECOMMERS_SALES[#Headers],0))</f>
        <v>35262</v>
      </c>
      <c r="G387">
        <f>VLOOKUP($A387,'ECOMMERS SALES'!$1:$500,MATCH('vlookup match'!G$1,ECOMMERS_SALES[#Headers],0))</f>
        <v>70524</v>
      </c>
      <c r="H387" t="str">
        <f>VLOOKUP($A387,'ECOMMERS SALES'!$1:$500,MATCH('vlookup match'!H$1,ECOMMERS_SALES[#Headers],0))</f>
        <v>Chennai</v>
      </c>
      <c r="I387" t="str">
        <f>VLOOKUP($A387,'ECOMMERS SALES'!$1:$500,MATCH('vlookup match'!I$1,ECOMMERS_SALES[#Headers],0))</f>
        <v>Returning</v>
      </c>
      <c r="J387" t="str">
        <f>VLOOKUP($A387,'ECOMMERS SALES'!$1:$500,MATCH('vlookup match'!J$1,ECOMMERS_SALES[#Headers],0))</f>
        <v>COD</v>
      </c>
    </row>
    <row r="388" spans="1:10" x14ac:dyDescent="0.35">
      <c r="A388">
        <v>1387</v>
      </c>
      <c r="B388" t="str">
        <f>VLOOKUP($A388,'ECOMMERS SALES'!$1:$500,MATCH('vlookup match'!B$1,ECOMMERS_SALES[#Headers],0))</f>
        <v>23-01-2026</v>
      </c>
      <c r="C388" t="str">
        <f>VLOOKUP($A388,'ECOMMERS SALES'!$1:$500,MATCH('vlookup match'!C$1,ECOMMERS_SALES[#Headers],0))</f>
        <v>Book</v>
      </c>
      <c r="D388" t="str">
        <f>VLOOKUP($A388,'ECOMMERS SALES'!$1:$500,MATCH('vlookup match'!D$1,ECOMMERS_SALES[#Headers],0))</f>
        <v>Books</v>
      </c>
      <c r="E388">
        <f>VLOOKUP($A388,'ECOMMERS SALES'!$1:$500,MATCH('vlookup match'!E$1,ECOMMERS_SALES[#Headers],0))</f>
        <v>2</v>
      </c>
      <c r="F388">
        <f>VLOOKUP($A388,'ECOMMERS SALES'!$1:$500,MATCH('vlookup match'!F$1,ECOMMERS_SALES[#Headers],0))</f>
        <v>987</v>
      </c>
      <c r="G388">
        <f>VLOOKUP($A388,'ECOMMERS SALES'!$1:$500,MATCH('vlookup match'!G$1,ECOMMERS_SALES[#Headers],0))</f>
        <v>1974</v>
      </c>
      <c r="H388" t="str">
        <f>VLOOKUP($A388,'ECOMMERS SALES'!$1:$500,MATCH('vlookup match'!H$1,ECOMMERS_SALES[#Headers],0))</f>
        <v>Bangalore</v>
      </c>
      <c r="I388" t="str">
        <f>VLOOKUP($A388,'ECOMMERS SALES'!$1:$500,MATCH('vlookup match'!I$1,ECOMMERS_SALES[#Headers],0))</f>
        <v>Premimum</v>
      </c>
      <c r="J388" t="str">
        <f>VLOOKUP($A388,'ECOMMERS SALES'!$1:$500,MATCH('vlookup match'!J$1,ECOMMERS_SALES[#Headers],0))</f>
        <v>Card</v>
      </c>
    </row>
    <row r="389" spans="1:10" x14ac:dyDescent="0.35">
      <c r="A389">
        <v>1388</v>
      </c>
      <c r="B389" t="str">
        <f>VLOOKUP($A389,'ECOMMERS SALES'!$1:$500,MATCH('vlookup match'!B$1,ECOMMERS_SALES[#Headers],0))</f>
        <v>24-01-2026</v>
      </c>
      <c r="C389" t="str">
        <f>VLOOKUP($A389,'ECOMMERS SALES'!$1:$500,MATCH('vlookup match'!C$1,ECOMMERS_SALES[#Headers],0))</f>
        <v>Backpack</v>
      </c>
      <c r="D389" t="str">
        <f>VLOOKUP($A389,'ECOMMERS SALES'!$1:$500,MATCH('vlookup match'!D$1,ECOMMERS_SALES[#Headers],0))</f>
        <v>Fashion</v>
      </c>
      <c r="E389">
        <f>VLOOKUP($A389,'ECOMMERS SALES'!$1:$500,MATCH('vlookup match'!E$1,ECOMMERS_SALES[#Headers],0))</f>
        <v>4</v>
      </c>
      <c r="F389">
        <f>VLOOKUP($A389,'ECOMMERS SALES'!$1:$500,MATCH('vlookup match'!F$1,ECOMMERS_SALES[#Headers],0))</f>
        <v>1738</v>
      </c>
      <c r="G389">
        <f>VLOOKUP($A389,'ECOMMERS SALES'!$1:$500,MATCH('vlookup match'!G$1,ECOMMERS_SALES[#Headers],0))</f>
        <v>6952</v>
      </c>
      <c r="H389" t="str">
        <f>VLOOKUP($A389,'ECOMMERS SALES'!$1:$500,MATCH('vlookup match'!H$1,ECOMMERS_SALES[#Headers],0))</f>
        <v>Delhi</v>
      </c>
      <c r="I389" t="str">
        <f>VLOOKUP($A389,'ECOMMERS SALES'!$1:$500,MATCH('vlookup match'!I$1,ECOMMERS_SALES[#Headers],0))</f>
        <v>New</v>
      </c>
      <c r="J389" t="str">
        <f>VLOOKUP($A389,'ECOMMERS SALES'!$1:$500,MATCH('vlookup match'!J$1,ECOMMERS_SALES[#Headers],0))</f>
        <v>UPI</v>
      </c>
    </row>
    <row r="390" spans="1:10" x14ac:dyDescent="0.35">
      <c r="A390">
        <v>1389</v>
      </c>
      <c r="B390" t="str">
        <f>VLOOKUP($A390,'ECOMMERS SALES'!$1:$500,MATCH('vlookup match'!B$1,ECOMMERS_SALES[#Headers],0))</f>
        <v>25-01-2026</v>
      </c>
      <c r="C390" t="str">
        <f>VLOOKUP($A390,'ECOMMERS SALES'!$1:$500,MATCH('vlookup match'!C$1,ECOMMERS_SALES[#Headers],0))</f>
        <v>Smartwatch</v>
      </c>
      <c r="D390" t="str">
        <f>VLOOKUP($A390,'ECOMMERS SALES'!$1:$500,MATCH('vlookup match'!D$1,ECOMMERS_SALES[#Headers],0))</f>
        <v>Electronics</v>
      </c>
      <c r="E390">
        <f>VLOOKUP($A390,'ECOMMERS SALES'!$1:$500,MATCH('vlookup match'!E$1,ECOMMERS_SALES[#Headers],0))</f>
        <v>2</v>
      </c>
      <c r="F390">
        <f>VLOOKUP($A390,'ECOMMERS SALES'!$1:$500,MATCH('vlookup match'!F$1,ECOMMERS_SALES[#Headers],0))</f>
        <v>12489</v>
      </c>
      <c r="G390">
        <f>VLOOKUP($A390,'ECOMMERS SALES'!$1:$500,MATCH('vlookup match'!G$1,ECOMMERS_SALES[#Headers],0))</f>
        <v>24978</v>
      </c>
      <c r="H390" t="str">
        <f>VLOOKUP($A390,'ECOMMERS SALES'!$1:$500,MATCH('vlookup match'!H$1,ECOMMERS_SALES[#Headers],0))</f>
        <v>Mumbai</v>
      </c>
      <c r="I390" t="str">
        <f>VLOOKUP($A390,'ECOMMERS SALES'!$1:$500,MATCH('vlookup match'!I$1,ECOMMERS_SALES[#Headers],0))</f>
        <v>New</v>
      </c>
      <c r="J390" t="str">
        <f>VLOOKUP($A390,'ECOMMERS SALES'!$1:$500,MATCH('vlookup match'!J$1,ECOMMERS_SALES[#Headers],0))</f>
        <v>UPI</v>
      </c>
    </row>
    <row r="391" spans="1:10" x14ac:dyDescent="0.35">
      <c r="A391">
        <v>1390</v>
      </c>
      <c r="B391" t="str">
        <f>VLOOKUP($A391,'ECOMMERS SALES'!$1:$500,MATCH('vlookup match'!B$1,ECOMMERS_SALES[#Headers],0))</f>
        <v>26-01-2026</v>
      </c>
      <c r="C391" t="str">
        <f>VLOOKUP($A391,'ECOMMERS SALES'!$1:$500,MATCH('vlookup match'!C$1,ECOMMERS_SALES[#Headers],0))</f>
        <v>Water Bottle</v>
      </c>
      <c r="D391" t="str">
        <f>VLOOKUP($A391,'ECOMMERS SALES'!$1:$500,MATCH('vlookup match'!D$1,ECOMMERS_SALES[#Headers],0))</f>
        <v>Other</v>
      </c>
      <c r="E391">
        <f>VLOOKUP($A391,'ECOMMERS SALES'!$1:$500,MATCH('vlookup match'!E$1,ECOMMERS_SALES[#Headers],0))</f>
        <v>1</v>
      </c>
      <c r="F391">
        <f>VLOOKUP($A391,'ECOMMERS SALES'!$1:$500,MATCH('vlookup match'!F$1,ECOMMERS_SALES[#Headers],0))</f>
        <v>655</v>
      </c>
      <c r="G391">
        <f>VLOOKUP($A391,'ECOMMERS SALES'!$1:$500,MATCH('vlookup match'!G$1,ECOMMERS_SALES[#Headers],0))</f>
        <v>655</v>
      </c>
      <c r="H391" t="str">
        <f>VLOOKUP($A391,'ECOMMERS SALES'!$1:$500,MATCH('vlookup match'!H$1,ECOMMERS_SALES[#Headers],0))</f>
        <v>Mumbai</v>
      </c>
      <c r="I391" t="str">
        <f>VLOOKUP($A391,'ECOMMERS SALES'!$1:$500,MATCH('vlookup match'!I$1,ECOMMERS_SALES[#Headers],0))</f>
        <v>Returning</v>
      </c>
      <c r="J391" t="str">
        <f>VLOOKUP($A391,'ECOMMERS SALES'!$1:$500,MATCH('vlookup match'!J$1,ECOMMERS_SALES[#Headers],0))</f>
        <v>Card</v>
      </c>
    </row>
    <row r="392" spans="1:10" x14ac:dyDescent="0.35">
      <c r="A392">
        <v>1391</v>
      </c>
      <c r="B392" t="str">
        <f>VLOOKUP($A392,'ECOMMERS SALES'!$1:$500,MATCH('vlookup match'!B$1,ECOMMERS_SALES[#Headers],0))</f>
        <v>27-01-2026</v>
      </c>
      <c r="C392" t="str">
        <f>VLOOKUP($A392,'ECOMMERS SALES'!$1:$500,MATCH('vlookup match'!C$1,ECOMMERS_SALES[#Headers],0))</f>
        <v>Laptop</v>
      </c>
      <c r="D392" t="str">
        <f>VLOOKUP($A392,'ECOMMERS SALES'!$1:$500,MATCH('vlookup match'!D$1,ECOMMERS_SALES[#Headers],0))</f>
        <v>Electronics</v>
      </c>
      <c r="E392">
        <f>VLOOKUP($A392,'ECOMMERS SALES'!$1:$500,MATCH('vlookup match'!E$1,ECOMMERS_SALES[#Headers],0))</f>
        <v>1</v>
      </c>
      <c r="F392">
        <f>VLOOKUP($A392,'ECOMMERS SALES'!$1:$500,MATCH('vlookup match'!F$1,ECOMMERS_SALES[#Headers],0))</f>
        <v>43749</v>
      </c>
      <c r="G392">
        <f>VLOOKUP($A392,'ECOMMERS SALES'!$1:$500,MATCH('vlookup match'!G$1,ECOMMERS_SALES[#Headers],0))</f>
        <v>43749</v>
      </c>
      <c r="H392" t="str">
        <f>VLOOKUP($A392,'ECOMMERS SALES'!$1:$500,MATCH('vlookup match'!H$1,ECOMMERS_SALES[#Headers],0))</f>
        <v>Bangalore</v>
      </c>
      <c r="I392" t="str">
        <f>VLOOKUP($A392,'ECOMMERS SALES'!$1:$500,MATCH('vlookup match'!I$1,ECOMMERS_SALES[#Headers],0))</f>
        <v>Premimum</v>
      </c>
      <c r="J392" t="str">
        <f>VLOOKUP($A392,'ECOMMERS SALES'!$1:$500,MATCH('vlookup match'!J$1,ECOMMERS_SALES[#Headers],0))</f>
        <v>Card</v>
      </c>
    </row>
    <row r="393" spans="1:10" x14ac:dyDescent="0.35">
      <c r="A393">
        <v>1392</v>
      </c>
      <c r="B393" t="str">
        <f>VLOOKUP($A393,'ECOMMERS SALES'!$1:$500,MATCH('vlookup match'!B$1,ECOMMERS_SALES[#Headers],0))</f>
        <v>28-01-2026</v>
      </c>
      <c r="C393" t="str">
        <f>VLOOKUP($A393,'ECOMMERS SALES'!$1:$500,MATCH('vlookup match'!C$1,ECOMMERS_SALES[#Headers],0))</f>
        <v>Headphones</v>
      </c>
      <c r="D393" t="str">
        <f>VLOOKUP($A393,'ECOMMERS SALES'!$1:$500,MATCH('vlookup match'!D$1,ECOMMERS_SALES[#Headers],0))</f>
        <v>Electronics</v>
      </c>
      <c r="E393">
        <f>VLOOKUP($A393,'ECOMMERS SALES'!$1:$500,MATCH('vlookup match'!E$1,ECOMMERS_SALES[#Headers],0))</f>
        <v>2</v>
      </c>
      <c r="F393">
        <f>VLOOKUP($A393,'ECOMMERS SALES'!$1:$500,MATCH('vlookup match'!F$1,ECOMMERS_SALES[#Headers],0))</f>
        <v>2811</v>
      </c>
      <c r="G393">
        <f>VLOOKUP($A393,'ECOMMERS SALES'!$1:$500,MATCH('vlookup match'!G$1,ECOMMERS_SALES[#Headers],0))</f>
        <v>5622</v>
      </c>
      <c r="H393" t="str">
        <f>VLOOKUP($A393,'ECOMMERS SALES'!$1:$500,MATCH('vlookup match'!H$1,ECOMMERS_SALES[#Headers],0))</f>
        <v>Mumbai</v>
      </c>
      <c r="I393" t="str">
        <f>VLOOKUP($A393,'ECOMMERS SALES'!$1:$500,MATCH('vlookup match'!I$1,ECOMMERS_SALES[#Headers],0))</f>
        <v>Premimum</v>
      </c>
      <c r="J393" t="str">
        <f>VLOOKUP($A393,'ECOMMERS SALES'!$1:$500,MATCH('vlookup match'!J$1,ECOMMERS_SALES[#Headers],0))</f>
        <v>COD</v>
      </c>
    </row>
    <row r="394" spans="1:10" x14ac:dyDescent="0.35">
      <c r="A394">
        <v>1393</v>
      </c>
      <c r="B394" t="str">
        <f>VLOOKUP($A394,'ECOMMERS SALES'!$1:$500,MATCH('vlookup match'!B$1,ECOMMERS_SALES[#Headers],0))</f>
        <v>29-01-2026</v>
      </c>
      <c r="C394" t="str">
        <f>VLOOKUP($A394,'ECOMMERS SALES'!$1:$500,MATCH('vlookup match'!C$1,ECOMMERS_SALES[#Headers],0))</f>
        <v>Shoes</v>
      </c>
      <c r="D394" t="str">
        <f>VLOOKUP($A394,'ECOMMERS SALES'!$1:$500,MATCH('vlookup match'!D$1,ECOMMERS_SALES[#Headers],0))</f>
        <v>Fashion</v>
      </c>
      <c r="E394">
        <f>VLOOKUP($A394,'ECOMMERS SALES'!$1:$500,MATCH('vlookup match'!E$1,ECOMMERS_SALES[#Headers],0))</f>
        <v>2</v>
      </c>
      <c r="F394">
        <f>VLOOKUP($A394,'ECOMMERS SALES'!$1:$500,MATCH('vlookup match'!F$1,ECOMMERS_SALES[#Headers],0))</f>
        <v>3024</v>
      </c>
      <c r="G394">
        <f>VLOOKUP($A394,'ECOMMERS SALES'!$1:$500,MATCH('vlookup match'!G$1,ECOMMERS_SALES[#Headers],0))</f>
        <v>6048</v>
      </c>
      <c r="H394" t="str">
        <f>VLOOKUP($A394,'ECOMMERS SALES'!$1:$500,MATCH('vlookup match'!H$1,ECOMMERS_SALES[#Headers],0))</f>
        <v>Chennai</v>
      </c>
      <c r="I394" t="str">
        <f>VLOOKUP($A394,'ECOMMERS SALES'!$1:$500,MATCH('vlookup match'!I$1,ECOMMERS_SALES[#Headers],0))</f>
        <v>Premimum</v>
      </c>
      <c r="J394" t="str">
        <f>VLOOKUP($A394,'ECOMMERS SALES'!$1:$500,MATCH('vlookup match'!J$1,ECOMMERS_SALES[#Headers],0))</f>
        <v>UPI</v>
      </c>
    </row>
    <row r="395" spans="1:10" x14ac:dyDescent="0.35">
      <c r="A395">
        <v>1394</v>
      </c>
      <c r="B395" t="str">
        <f>VLOOKUP($A395,'ECOMMERS SALES'!$1:$500,MATCH('vlookup match'!B$1,ECOMMERS_SALES[#Headers],0))</f>
        <v>30-01-2026</v>
      </c>
      <c r="C395" t="str">
        <f>VLOOKUP($A395,'ECOMMERS SALES'!$1:$500,MATCH('vlookup match'!C$1,ECOMMERS_SALES[#Headers],0))</f>
        <v>Watch</v>
      </c>
      <c r="D395" t="str">
        <f>VLOOKUP($A395,'ECOMMERS SALES'!$1:$500,MATCH('vlookup match'!D$1,ECOMMERS_SALES[#Headers],0))</f>
        <v>Other</v>
      </c>
      <c r="E395">
        <f>VLOOKUP($A395,'ECOMMERS SALES'!$1:$500,MATCH('vlookup match'!E$1,ECOMMERS_SALES[#Headers],0))</f>
        <v>2</v>
      </c>
      <c r="F395">
        <f>VLOOKUP($A395,'ECOMMERS SALES'!$1:$500,MATCH('vlookup match'!F$1,ECOMMERS_SALES[#Headers],0))</f>
        <v>3456</v>
      </c>
      <c r="G395">
        <f>VLOOKUP($A395,'ECOMMERS SALES'!$1:$500,MATCH('vlookup match'!G$1,ECOMMERS_SALES[#Headers],0))</f>
        <v>6912</v>
      </c>
      <c r="H395" t="str">
        <f>VLOOKUP($A395,'ECOMMERS SALES'!$1:$500,MATCH('vlookup match'!H$1,ECOMMERS_SALES[#Headers],0))</f>
        <v>Chennai</v>
      </c>
      <c r="I395" t="str">
        <f>VLOOKUP($A395,'ECOMMERS SALES'!$1:$500,MATCH('vlookup match'!I$1,ECOMMERS_SALES[#Headers],0))</f>
        <v>New</v>
      </c>
      <c r="J395" t="str">
        <f>VLOOKUP($A395,'ECOMMERS SALES'!$1:$500,MATCH('vlookup match'!J$1,ECOMMERS_SALES[#Headers],0))</f>
        <v>UPI</v>
      </c>
    </row>
    <row r="396" spans="1:10" x14ac:dyDescent="0.35">
      <c r="A396">
        <v>1395</v>
      </c>
      <c r="B396" t="str">
        <f>VLOOKUP($A396,'ECOMMERS SALES'!$1:$500,MATCH('vlookup match'!B$1,ECOMMERS_SALES[#Headers],0))</f>
        <v>31-01-2026</v>
      </c>
      <c r="C396" t="str">
        <f>VLOOKUP($A396,'ECOMMERS SALES'!$1:$500,MATCH('vlookup match'!C$1,ECOMMERS_SALES[#Headers],0))</f>
        <v>Mobile Case</v>
      </c>
      <c r="D396" t="str">
        <f>VLOOKUP($A396,'ECOMMERS SALES'!$1:$500,MATCH('vlookup match'!D$1,ECOMMERS_SALES[#Headers],0))</f>
        <v>Other</v>
      </c>
      <c r="E396">
        <f>VLOOKUP($A396,'ECOMMERS SALES'!$1:$500,MATCH('vlookup match'!E$1,ECOMMERS_SALES[#Headers],0))</f>
        <v>2</v>
      </c>
      <c r="F396">
        <f>VLOOKUP($A396,'ECOMMERS SALES'!$1:$500,MATCH('vlookup match'!F$1,ECOMMERS_SALES[#Headers],0))</f>
        <v>101</v>
      </c>
      <c r="G396">
        <f>VLOOKUP($A396,'ECOMMERS SALES'!$1:$500,MATCH('vlookup match'!G$1,ECOMMERS_SALES[#Headers],0))</f>
        <v>202</v>
      </c>
      <c r="H396" t="str">
        <f>VLOOKUP($A396,'ECOMMERS SALES'!$1:$500,MATCH('vlookup match'!H$1,ECOMMERS_SALES[#Headers],0))</f>
        <v>Hyderabad</v>
      </c>
      <c r="I396" t="str">
        <f>VLOOKUP($A396,'ECOMMERS SALES'!$1:$500,MATCH('vlookup match'!I$1,ECOMMERS_SALES[#Headers],0))</f>
        <v>New</v>
      </c>
      <c r="J396" t="str">
        <f>VLOOKUP($A396,'ECOMMERS SALES'!$1:$500,MATCH('vlookup match'!J$1,ECOMMERS_SALES[#Headers],0))</f>
        <v>COD</v>
      </c>
    </row>
    <row r="397" spans="1:10" x14ac:dyDescent="0.35">
      <c r="A397">
        <v>1396</v>
      </c>
      <c r="B397" t="str">
        <f>VLOOKUP($A397,'ECOMMERS SALES'!$1:$500,MATCH('vlookup match'!B$1,ECOMMERS_SALES[#Headers],0))</f>
        <v>01-02-2026</v>
      </c>
      <c r="C397" t="str">
        <f>VLOOKUP($A397,'ECOMMERS SALES'!$1:$500,MATCH('vlookup match'!C$1,ECOMMERS_SALES[#Headers],0))</f>
        <v>Tablet</v>
      </c>
      <c r="D397" t="str">
        <f>VLOOKUP($A397,'ECOMMERS SALES'!$1:$500,MATCH('vlookup match'!D$1,ECOMMERS_SALES[#Headers],0))</f>
        <v>Electronics</v>
      </c>
      <c r="E397">
        <f>VLOOKUP($A397,'ECOMMERS SALES'!$1:$500,MATCH('vlookup match'!E$1,ECOMMERS_SALES[#Headers],0))</f>
        <v>1</v>
      </c>
      <c r="F397">
        <f>VLOOKUP($A397,'ECOMMERS SALES'!$1:$500,MATCH('vlookup match'!F$1,ECOMMERS_SALES[#Headers],0))</f>
        <v>12460</v>
      </c>
      <c r="G397">
        <f>VLOOKUP($A397,'ECOMMERS SALES'!$1:$500,MATCH('vlookup match'!G$1,ECOMMERS_SALES[#Headers],0))</f>
        <v>12460</v>
      </c>
      <c r="H397" t="str">
        <f>VLOOKUP($A397,'ECOMMERS SALES'!$1:$500,MATCH('vlookup match'!H$1,ECOMMERS_SALES[#Headers],0))</f>
        <v>Chennai</v>
      </c>
      <c r="I397" t="str">
        <f>VLOOKUP($A397,'ECOMMERS SALES'!$1:$500,MATCH('vlookup match'!I$1,ECOMMERS_SALES[#Headers],0))</f>
        <v>Returning</v>
      </c>
      <c r="J397" t="str">
        <f>VLOOKUP($A397,'ECOMMERS SALES'!$1:$500,MATCH('vlookup match'!J$1,ECOMMERS_SALES[#Headers],0))</f>
        <v>COD</v>
      </c>
    </row>
    <row r="398" spans="1:10" x14ac:dyDescent="0.35">
      <c r="A398">
        <v>1397</v>
      </c>
      <c r="B398" t="str">
        <f>VLOOKUP($A398,'ECOMMERS SALES'!$1:$500,MATCH('vlookup match'!B$1,ECOMMERS_SALES[#Headers],0))</f>
        <v>02-02-2026</v>
      </c>
      <c r="C398" t="str">
        <f>VLOOKUP($A398,'ECOMMERS SALES'!$1:$500,MATCH('vlookup match'!C$1,ECOMMERS_SALES[#Headers],0))</f>
        <v>Book</v>
      </c>
      <c r="D398" t="str">
        <f>VLOOKUP($A398,'ECOMMERS SALES'!$1:$500,MATCH('vlookup match'!D$1,ECOMMERS_SALES[#Headers],0))</f>
        <v>Books</v>
      </c>
      <c r="E398">
        <f>VLOOKUP($A398,'ECOMMERS SALES'!$1:$500,MATCH('vlookup match'!E$1,ECOMMERS_SALES[#Headers],0))</f>
        <v>2</v>
      </c>
      <c r="F398">
        <f>VLOOKUP($A398,'ECOMMERS SALES'!$1:$500,MATCH('vlookup match'!F$1,ECOMMERS_SALES[#Headers],0))</f>
        <v>255</v>
      </c>
      <c r="G398">
        <f>VLOOKUP($A398,'ECOMMERS SALES'!$1:$500,MATCH('vlookup match'!G$1,ECOMMERS_SALES[#Headers],0))</f>
        <v>510</v>
      </c>
      <c r="H398" t="str">
        <f>VLOOKUP($A398,'ECOMMERS SALES'!$1:$500,MATCH('vlookup match'!H$1,ECOMMERS_SALES[#Headers],0))</f>
        <v>Hyderabad</v>
      </c>
      <c r="I398" t="str">
        <f>VLOOKUP($A398,'ECOMMERS SALES'!$1:$500,MATCH('vlookup match'!I$1,ECOMMERS_SALES[#Headers],0))</f>
        <v>Returning</v>
      </c>
      <c r="J398" t="str">
        <f>VLOOKUP($A398,'ECOMMERS SALES'!$1:$500,MATCH('vlookup match'!J$1,ECOMMERS_SALES[#Headers],0))</f>
        <v>COD</v>
      </c>
    </row>
    <row r="399" spans="1:10" x14ac:dyDescent="0.35">
      <c r="A399">
        <v>1398</v>
      </c>
      <c r="B399" t="str">
        <f>VLOOKUP($A399,'ECOMMERS SALES'!$1:$500,MATCH('vlookup match'!B$1,ECOMMERS_SALES[#Headers],0))</f>
        <v>03-02-2026</v>
      </c>
      <c r="C399" t="str">
        <f>VLOOKUP($A399,'ECOMMERS SALES'!$1:$500,MATCH('vlookup match'!C$1,ECOMMERS_SALES[#Headers],0))</f>
        <v>Backpack</v>
      </c>
      <c r="D399" t="str">
        <f>VLOOKUP($A399,'ECOMMERS SALES'!$1:$500,MATCH('vlookup match'!D$1,ECOMMERS_SALES[#Headers],0))</f>
        <v>Fashion</v>
      </c>
      <c r="E399">
        <f>VLOOKUP($A399,'ECOMMERS SALES'!$1:$500,MATCH('vlookup match'!E$1,ECOMMERS_SALES[#Headers],0))</f>
        <v>4</v>
      </c>
      <c r="F399">
        <f>VLOOKUP($A399,'ECOMMERS SALES'!$1:$500,MATCH('vlookup match'!F$1,ECOMMERS_SALES[#Headers],0))</f>
        <v>688</v>
      </c>
      <c r="G399">
        <f>VLOOKUP($A399,'ECOMMERS SALES'!$1:$500,MATCH('vlookup match'!G$1,ECOMMERS_SALES[#Headers],0))</f>
        <v>2752</v>
      </c>
      <c r="H399" t="str">
        <f>VLOOKUP($A399,'ECOMMERS SALES'!$1:$500,MATCH('vlookup match'!H$1,ECOMMERS_SALES[#Headers],0))</f>
        <v>Chennai</v>
      </c>
      <c r="I399" t="str">
        <f>VLOOKUP($A399,'ECOMMERS SALES'!$1:$500,MATCH('vlookup match'!I$1,ECOMMERS_SALES[#Headers],0))</f>
        <v>Premimum</v>
      </c>
      <c r="J399" t="str">
        <f>VLOOKUP($A399,'ECOMMERS SALES'!$1:$500,MATCH('vlookup match'!J$1,ECOMMERS_SALES[#Headers],0))</f>
        <v>Card</v>
      </c>
    </row>
    <row r="400" spans="1:10" x14ac:dyDescent="0.35">
      <c r="A400">
        <v>1399</v>
      </c>
      <c r="B400" t="str">
        <f>VLOOKUP($A400,'ECOMMERS SALES'!$1:$500,MATCH('vlookup match'!B$1,ECOMMERS_SALES[#Headers],0))</f>
        <v>04-02-2026</v>
      </c>
      <c r="C400" t="str">
        <f>VLOOKUP($A400,'ECOMMERS SALES'!$1:$500,MATCH('vlookup match'!C$1,ECOMMERS_SALES[#Headers],0))</f>
        <v>Smartwatch</v>
      </c>
      <c r="D400" t="str">
        <f>VLOOKUP($A400,'ECOMMERS SALES'!$1:$500,MATCH('vlookup match'!D$1,ECOMMERS_SALES[#Headers],0))</f>
        <v>Electronics</v>
      </c>
      <c r="E400">
        <f>VLOOKUP($A400,'ECOMMERS SALES'!$1:$500,MATCH('vlookup match'!E$1,ECOMMERS_SALES[#Headers],0))</f>
        <v>2</v>
      </c>
      <c r="F400">
        <f>VLOOKUP($A400,'ECOMMERS SALES'!$1:$500,MATCH('vlookup match'!F$1,ECOMMERS_SALES[#Headers],0))</f>
        <v>4109</v>
      </c>
      <c r="G400">
        <f>VLOOKUP($A400,'ECOMMERS SALES'!$1:$500,MATCH('vlookup match'!G$1,ECOMMERS_SALES[#Headers],0))</f>
        <v>8218</v>
      </c>
      <c r="H400" t="str">
        <f>VLOOKUP($A400,'ECOMMERS SALES'!$1:$500,MATCH('vlookup match'!H$1,ECOMMERS_SALES[#Headers],0))</f>
        <v>Delhi</v>
      </c>
      <c r="I400" t="str">
        <f>VLOOKUP($A400,'ECOMMERS SALES'!$1:$500,MATCH('vlookup match'!I$1,ECOMMERS_SALES[#Headers],0))</f>
        <v>New</v>
      </c>
      <c r="J400" t="str">
        <f>VLOOKUP($A400,'ECOMMERS SALES'!$1:$500,MATCH('vlookup match'!J$1,ECOMMERS_SALES[#Headers],0))</f>
        <v>Card</v>
      </c>
    </row>
    <row r="401" spans="1:10" x14ac:dyDescent="0.35">
      <c r="A401">
        <v>1400</v>
      </c>
      <c r="B401" t="str">
        <f>VLOOKUP($A401,'ECOMMERS SALES'!$1:$500,MATCH('vlookup match'!B$1,ECOMMERS_SALES[#Headers],0))</f>
        <v>05-02-2026</v>
      </c>
      <c r="C401" t="str">
        <f>VLOOKUP($A401,'ECOMMERS SALES'!$1:$500,MATCH('vlookup match'!C$1,ECOMMERS_SALES[#Headers],0))</f>
        <v>Water Bottle</v>
      </c>
      <c r="D401" t="str">
        <f>VLOOKUP($A401,'ECOMMERS SALES'!$1:$500,MATCH('vlookup match'!D$1,ECOMMERS_SALES[#Headers],0))</f>
        <v>Other</v>
      </c>
      <c r="E401">
        <f>VLOOKUP($A401,'ECOMMERS SALES'!$1:$500,MATCH('vlookup match'!E$1,ECOMMERS_SALES[#Headers],0))</f>
        <v>2</v>
      </c>
      <c r="F401">
        <f>VLOOKUP($A401,'ECOMMERS SALES'!$1:$500,MATCH('vlookup match'!F$1,ECOMMERS_SALES[#Headers],0))</f>
        <v>289</v>
      </c>
      <c r="G401">
        <f>VLOOKUP($A401,'ECOMMERS SALES'!$1:$500,MATCH('vlookup match'!G$1,ECOMMERS_SALES[#Headers],0))</f>
        <v>578</v>
      </c>
      <c r="H401" t="str">
        <f>VLOOKUP($A401,'ECOMMERS SALES'!$1:$500,MATCH('vlookup match'!H$1,ECOMMERS_SALES[#Headers],0))</f>
        <v>Mumbai</v>
      </c>
      <c r="I401" t="str">
        <f>VLOOKUP($A401,'ECOMMERS SALES'!$1:$500,MATCH('vlookup match'!I$1,ECOMMERS_SALES[#Headers],0))</f>
        <v>Returning</v>
      </c>
      <c r="J401" t="str">
        <f>VLOOKUP($A401,'ECOMMERS SALES'!$1:$500,MATCH('vlookup match'!J$1,ECOMMERS_SALES[#Headers],0))</f>
        <v>UPI</v>
      </c>
    </row>
    <row r="402" spans="1:10" x14ac:dyDescent="0.35">
      <c r="A402">
        <v>1401</v>
      </c>
      <c r="B402" t="str">
        <f>VLOOKUP($A402,'ECOMMERS SALES'!$1:$500,MATCH('vlookup match'!B$1,ECOMMERS_SALES[#Headers],0))</f>
        <v>06-02-2026</v>
      </c>
      <c r="C402" t="str">
        <f>VLOOKUP($A402,'ECOMMERS SALES'!$1:$500,MATCH('vlookup match'!C$1,ECOMMERS_SALES[#Headers],0))</f>
        <v>Laptop</v>
      </c>
      <c r="D402" t="str">
        <f>VLOOKUP($A402,'ECOMMERS SALES'!$1:$500,MATCH('vlookup match'!D$1,ECOMMERS_SALES[#Headers],0))</f>
        <v>Electronics</v>
      </c>
      <c r="E402">
        <f>VLOOKUP($A402,'ECOMMERS SALES'!$1:$500,MATCH('vlookup match'!E$1,ECOMMERS_SALES[#Headers],0))</f>
        <v>1</v>
      </c>
      <c r="F402">
        <f>VLOOKUP($A402,'ECOMMERS SALES'!$1:$500,MATCH('vlookup match'!F$1,ECOMMERS_SALES[#Headers],0))</f>
        <v>56349</v>
      </c>
      <c r="G402">
        <f>VLOOKUP($A402,'ECOMMERS SALES'!$1:$500,MATCH('vlookup match'!G$1,ECOMMERS_SALES[#Headers],0))</f>
        <v>56349</v>
      </c>
      <c r="H402" t="str">
        <f>VLOOKUP($A402,'ECOMMERS SALES'!$1:$500,MATCH('vlookup match'!H$1,ECOMMERS_SALES[#Headers],0))</f>
        <v>Hyderabad</v>
      </c>
      <c r="I402" t="str">
        <f>VLOOKUP($A402,'ECOMMERS SALES'!$1:$500,MATCH('vlookup match'!I$1,ECOMMERS_SALES[#Headers],0))</f>
        <v>Returning</v>
      </c>
      <c r="J402" t="str">
        <f>VLOOKUP($A402,'ECOMMERS SALES'!$1:$500,MATCH('vlookup match'!J$1,ECOMMERS_SALES[#Headers],0))</f>
        <v>COD</v>
      </c>
    </row>
    <row r="403" spans="1:10" x14ac:dyDescent="0.35">
      <c r="A403">
        <v>1402</v>
      </c>
      <c r="B403" t="str">
        <f>VLOOKUP($A403,'ECOMMERS SALES'!$1:$500,MATCH('vlookup match'!B$1,ECOMMERS_SALES[#Headers],0))</f>
        <v>07-02-2026</v>
      </c>
      <c r="C403" t="str">
        <f>VLOOKUP($A403,'ECOMMERS SALES'!$1:$500,MATCH('vlookup match'!C$1,ECOMMERS_SALES[#Headers],0))</f>
        <v>Headphones</v>
      </c>
      <c r="D403" t="str">
        <f>VLOOKUP($A403,'ECOMMERS SALES'!$1:$500,MATCH('vlookup match'!D$1,ECOMMERS_SALES[#Headers],0))</f>
        <v>Electronics</v>
      </c>
      <c r="E403">
        <f>VLOOKUP($A403,'ECOMMERS SALES'!$1:$500,MATCH('vlookup match'!E$1,ECOMMERS_SALES[#Headers],0))</f>
        <v>3</v>
      </c>
      <c r="F403">
        <f>VLOOKUP($A403,'ECOMMERS SALES'!$1:$500,MATCH('vlookup match'!F$1,ECOMMERS_SALES[#Headers],0))</f>
        <v>2075</v>
      </c>
      <c r="G403">
        <f>VLOOKUP($A403,'ECOMMERS SALES'!$1:$500,MATCH('vlookup match'!G$1,ECOMMERS_SALES[#Headers],0))</f>
        <v>6225</v>
      </c>
      <c r="H403" t="str">
        <f>VLOOKUP($A403,'ECOMMERS SALES'!$1:$500,MATCH('vlookup match'!H$1,ECOMMERS_SALES[#Headers],0))</f>
        <v>Hyderabad</v>
      </c>
      <c r="I403" t="str">
        <f>VLOOKUP($A403,'ECOMMERS SALES'!$1:$500,MATCH('vlookup match'!I$1,ECOMMERS_SALES[#Headers],0))</f>
        <v>Returning</v>
      </c>
      <c r="J403" t="str">
        <f>VLOOKUP($A403,'ECOMMERS SALES'!$1:$500,MATCH('vlookup match'!J$1,ECOMMERS_SALES[#Headers],0))</f>
        <v>Card</v>
      </c>
    </row>
    <row r="404" spans="1:10" x14ac:dyDescent="0.35">
      <c r="A404">
        <v>1403</v>
      </c>
      <c r="B404" t="str">
        <f>VLOOKUP($A404,'ECOMMERS SALES'!$1:$500,MATCH('vlookup match'!B$1,ECOMMERS_SALES[#Headers],0))</f>
        <v>08-02-2026</v>
      </c>
      <c r="C404" t="str">
        <f>VLOOKUP($A404,'ECOMMERS SALES'!$1:$500,MATCH('vlookup match'!C$1,ECOMMERS_SALES[#Headers],0))</f>
        <v>Shoes</v>
      </c>
      <c r="D404" t="str">
        <f>VLOOKUP($A404,'ECOMMERS SALES'!$1:$500,MATCH('vlookup match'!D$1,ECOMMERS_SALES[#Headers],0))</f>
        <v>Fashion</v>
      </c>
      <c r="E404">
        <f>VLOOKUP($A404,'ECOMMERS SALES'!$1:$500,MATCH('vlookup match'!E$1,ECOMMERS_SALES[#Headers],0))</f>
        <v>3</v>
      </c>
      <c r="F404">
        <f>VLOOKUP($A404,'ECOMMERS SALES'!$1:$500,MATCH('vlookup match'!F$1,ECOMMERS_SALES[#Headers],0))</f>
        <v>3644</v>
      </c>
      <c r="G404">
        <f>VLOOKUP($A404,'ECOMMERS SALES'!$1:$500,MATCH('vlookup match'!G$1,ECOMMERS_SALES[#Headers],0))</f>
        <v>10932</v>
      </c>
      <c r="H404" t="str">
        <f>VLOOKUP($A404,'ECOMMERS SALES'!$1:$500,MATCH('vlookup match'!H$1,ECOMMERS_SALES[#Headers],0))</f>
        <v>Chennai</v>
      </c>
      <c r="I404" t="str">
        <f>VLOOKUP($A404,'ECOMMERS SALES'!$1:$500,MATCH('vlookup match'!I$1,ECOMMERS_SALES[#Headers],0))</f>
        <v>New</v>
      </c>
      <c r="J404" t="str">
        <f>VLOOKUP($A404,'ECOMMERS SALES'!$1:$500,MATCH('vlookup match'!J$1,ECOMMERS_SALES[#Headers],0))</f>
        <v>UPI</v>
      </c>
    </row>
    <row r="405" spans="1:10" x14ac:dyDescent="0.35">
      <c r="A405">
        <v>1404</v>
      </c>
      <c r="B405" t="str">
        <f>VLOOKUP($A405,'ECOMMERS SALES'!$1:$500,MATCH('vlookup match'!B$1,ECOMMERS_SALES[#Headers],0))</f>
        <v>09-02-2026</v>
      </c>
      <c r="C405" t="str">
        <f>VLOOKUP($A405,'ECOMMERS SALES'!$1:$500,MATCH('vlookup match'!C$1,ECOMMERS_SALES[#Headers],0))</f>
        <v>Watch</v>
      </c>
      <c r="D405" t="str">
        <f>VLOOKUP($A405,'ECOMMERS SALES'!$1:$500,MATCH('vlookup match'!D$1,ECOMMERS_SALES[#Headers],0))</f>
        <v>Other</v>
      </c>
      <c r="E405">
        <f>VLOOKUP($A405,'ECOMMERS SALES'!$1:$500,MATCH('vlookup match'!E$1,ECOMMERS_SALES[#Headers],0))</f>
        <v>1</v>
      </c>
      <c r="F405">
        <f>VLOOKUP($A405,'ECOMMERS SALES'!$1:$500,MATCH('vlookup match'!F$1,ECOMMERS_SALES[#Headers],0))</f>
        <v>5904</v>
      </c>
      <c r="G405">
        <f>VLOOKUP($A405,'ECOMMERS SALES'!$1:$500,MATCH('vlookup match'!G$1,ECOMMERS_SALES[#Headers],0))</f>
        <v>5904</v>
      </c>
      <c r="H405" t="str">
        <f>VLOOKUP($A405,'ECOMMERS SALES'!$1:$500,MATCH('vlookup match'!H$1,ECOMMERS_SALES[#Headers],0))</f>
        <v>Mumbai</v>
      </c>
      <c r="I405" t="str">
        <f>VLOOKUP($A405,'ECOMMERS SALES'!$1:$500,MATCH('vlookup match'!I$1,ECOMMERS_SALES[#Headers],0))</f>
        <v>New</v>
      </c>
      <c r="J405" t="str">
        <f>VLOOKUP($A405,'ECOMMERS SALES'!$1:$500,MATCH('vlookup match'!J$1,ECOMMERS_SALES[#Headers],0))</f>
        <v>UPI</v>
      </c>
    </row>
    <row r="406" spans="1:10" x14ac:dyDescent="0.35">
      <c r="A406">
        <v>1405</v>
      </c>
      <c r="B406" t="str">
        <f>VLOOKUP($A406,'ECOMMERS SALES'!$1:$500,MATCH('vlookup match'!B$1,ECOMMERS_SALES[#Headers],0))</f>
        <v>10-02-2026</v>
      </c>
      <c r="C406" t="str">
        <f>VLOOKUP($A406,'ECOMMERS SALES'!$1:$500,MATCH('vlookup match'!C$1,ECOMMERS_SALES[#Headers],0))</f>
        <v>Mobile Case</v>
      </c>
      <c r="D406" t="str">
        <f>VLOOKUP($A406,'ECOMMERS SALES'!$1:$500,MATCH('vlookup match'!D$1,ECOMMERS_SALES[#Headers],0))</f>
        <v>Other</v>
      </c>
      <c r="E406">
        <f>VLOOKUP($A406,'ECOMMERS SALES'!$1:$500,MATCH('vlookup match'!E$1,ECOMMERS_SALES[#Headers],0))</f>
        <v>3</v>
      </c>
      <c r="F406">
        <f>VLOOKUP($A406,'ECOMMERS SALES'!$1:$500,MATCH('vlookup match'!F$1,ECOMMERS_SALES[#Headers],0))</f>
        <v>295</v>
      </c>
      <c r="G406">
        <f>VLOOKUP($A406,'ECOMMERS SALES'!$1:$500,MATCH('vlookup match'!G$1,ECOMMERS_SALES[#Headers],0))</f>
        <v>885</v>
      </c>
      <c r="H406" t="str">
        <f>VLOOKUP($A406,'ECOMMERS SALES'!$1:$500,MATCH('vlookup match'!H$1,ECOMMERS_SALES[#Headers],0))</f>
        <v>Bangalore</v>
      </c>
      <c r="I406" t="str">
        <f>VLOOKUP($A406,'ECOMMERS SALES'!$1:$500,MATCH('vlookup match'!I$1,ECOMMERS_SALES[#Headers],0))</f>
        <v>Premimum</v>
      </c>
      <c r="J406" t="str">
        <f>VLOOKUP($A406,'ECOMMERS SALES'!$1:$500,MATCH('vlookup match'!J$1,ECOMMERS_SALES[#Headers],0))</f>
        <v>COD</v>
      </c>
    </row>
    <row r="407" spans="1:10" x14ac:dyDescent="0.35">
      <c r="A407">
        <v>1406</v>
      </c>
      <c r="B407" t="str">
        <f>VLOOKUP($A407,'ECOMMERS SALES'!$1:$500,MATCH('vlookup match'!B$1,ECOMMERS_SALES[#Headers],0))</f>
        <v>11-02-2026</v>
      </c>
      <c r="C407" t="str">
        <f>VLOOKUP($A407,'ECOMMERS SALES'!$1:$500,MATCH('vlookup match'!C$1,ECOMMERS_SALES[#Headers],0))</f>
        <v>Tablet</v>
      </c>
      <c r="D407" t="str">
        <f>VLOOKUP($A407,'ECOMMERS SALES'!$1:$500,MATCH('vlookup match'!D$1,ECOMMERS_SALES[#Headers],0))</f>
        <v>Electronics</v>
      </c>
      <c r="E407">
        <f>VLOOKUP($A407,'ECOMMERS SALES'!$1:$500,MATCH('vlookup match'!E$1,ECOMMERS_SALES[#Headers],0))</f>
        <v>1</v>
      </c>
      <c r="F407">
        <f>VLOOKUP($A407,'ECOMMERS SALES'!$1:$500,MATCH('vlookup match'!F$1,ECOMMERS_SALES[#Headers],0))</f>
        <v>27414</v>
      </c>
      <c r="G407">
        <f>VLOOKUP($A407,'ECOMMERS SALES'!$1:$500,MATCH('vlookup match'!G$1,ECOMMERS_SALES[#Headers],0))</f>
        <v>27414</v>
      </c>
      <c r="H407" t="str">
        <f>VLOOKUP($A407,'ECOMMERS SALES'!$1:$500,MATCH('vlookup match'!H$1,ECOMMERS_SALES[#Headers],0))</f>
        <v>Chennai</v>
      </c>
      <c r="I407" t="str">
        <f>VLOOKUP($A407,'ECOMMERS SALES'!$1:$500,MATCH('vlookup match'!I$1,ECOMMERS_SALES[#Headers],0))</f>
        <v>New</v>
      </c>
      <c r="J407" t="str">
        <f>VLOOKUP($A407,'ECOMMERS SALES'!$1:$500,MATCH('vlookup match'!J$1,ECOMMERS_SALES[#Headers],0))</f>
        <v>Card</v>
      </c>
    </row>
    <row r="408" spans="1:10" x14ac:dyDescent="0.35">
      <c r="A408">
        <v>1407</v>
      </c>
      <c r="B408" t="str">
        <f>VLOOKUP($A408,'ECOMMERS SALES'!$1:$500,MATCH('vlookup match'!B$1,ECOMMERS_SALES[#Headers],0))</f>
        <v>12-02-2026</v>
      </c>
      <c r="C408" t="str">
        <f>VLOOKUP($A408,'ECOMMERS SALES'!$1:$500,MATCH('vlookup match'!C$1,ECOMMERS_SALES[#Headers],0))</f>
        <v>Book</v>
      </c>
      <c r="D408" t="str">
        <f>VLOOKUP($A408,'ECOMMERS SALES'!$1:$500,MATCH('vlookup match'!D$1,ECOMMERS_SALES[#Headers],0))</f>
        <v>Books</v>
      </c>
      <c r="E408">
        <f>VLOOKUP($A408,'ECOMMERS SALES'!$1:$500,MATCH('vlookup match'!E$1,ECOMMERS_SALES[#Headers],0))</f>
        <v>1</v>
      </c>
      <c r="F408">
        <f>VLOOKUP($A408,'ECOMMERS SALES'!$1:$500,MATCH('vlookup match'!F$1,ECOMMERS_SALES[#Headers],0))</f>
        <v>367</v>
      </c>
      <c r="G408">
        <f>VLOOKUP($A408,'ECOMMERS SALES'!$1:$500,MATCH('vlookup match'!G$1,ECOMMERS_SALES[#Headers],0))</f>
        <v>367</v>
      </c>
      <c r="H408" t="str">
        <f>VLOOKUP($A408,'ECOMMERS SALES'!$1:$500,MATCH('vlookup match'!H$1,ECOMMERS_SALES[#Headers],0))</f>
        <v>Bangalore</v>
      </c>
      <c r="I408" t="str">
        <f>VLOOKUP($A408,'ECOMMERS SALES'!$1:$500,MATCH('vlookup match'!I$1,ECOMMERS_SALES[#Headers],0))</f>
        <v>Premimum</v>
      </c>
      <c r="J408" t="str">
        <f>VLOOKUP($A408,'ECOMMERS SALES'!$1:$500,MATCH('vlookup match'!J$1,ECOMMERS_SALES[#Headers],0))</f>
        <v>COD</v>
      </c>
    </row>
    <row r="409" spans="1:10" x14ac:dyDescent="0.35">
      <c r="A409">
        <v>1408</v>
      </c>
      <c r="B409" t="str">
        <f>VLOOKUP($A409,'ECOMMERS SALES'!$1:$500,MATCH('vlookup match'!B$1,ECOMMERS_SALES[#Headers],0))</f>
        <v>13-02-2026</v>
      </c>
      <c r="C409" t="str">
        <f>VLOOKUP($A409,'ECOMMERS SALES'!$1:$500,MATCH('vlookup match'!C$1,ECOMMERS_SALES[#Headers],0))</f>
        <v>Backpack</v>
      </c>
      <c r="D409" t="str">
        <f>VLOOKUP($A409,'ECOMMERS SALES'!$1:$500,MATCH('vlookup match'!D$1,ECOMMERS_SALES[#Headers],0))</f>
        <v>Fashion</v>
      </c>
      <c r="E409">
        <f>VLOOKUP($A409,'ECOMMERS SALES'!$1:$500,MATCH('vlookup match'!E$1,ECOMMERS_SALES[#Headers],0))</f>
        <v>2</v>
      </c>
      <c r="F409">
        <f>VLOOKUP($A409,'ECOMMERS SALES'!$1:$500,MATCH('vlookup match'!F$1,ECOMMERS_SALES[#Headers],0))</f>
        <v>698</v>
      </c>
      <c r="G409">
        <f>VLOOKUP($A409,'ECOMMERS SALES'!$1:$500,MATCH('vlookup match'!G$1,ECOMMERS_SALES[#Headers],0))</f>
        <v>1396</v>
      </c>
      <c r="H409" t="str">
        <f>VLOOKUP($A409,'ECOMMERS SALES'!$1:$500,MATCH('vlookup match'!H$1,ECOMMERS_SALES[#Headers],0))</f>
        <v>Pune</v>
      </c>
      <c r="I409" t="str">
        <f>VLOOKUP($A409,'ECOMMERS SALES'!$1:$500,MATCH('vlookup match'!I$1,ECOMMERS_SALES[#Headers],0))</f>
        <v>Premimum</v>
      </c>
      <c r="J409" t="str">
        <f>VLOOKUP($A409,'ECOMMERS SALES'!$1:$500,MATCH('vlookup match'!J$1,ECOMMERS_SALES[#Headers],0))</f>
        <v>COD</v>
      </c>
    </row>
    <row r="410" spans="1:10" x14ac:dyDescent="0.35">
      <c r="A410">
        <v>1409</v>
      </c>
      <c r="B410" t="str">
        <f>VLOOKUP($A410,'ECOMMERS SALES'!$1:$500,MATCH('vlookup match'!B$1,ECOMMERS_SALES[#Headers],0))</f>
        <v>14-02-2026</v>
      </c>
      <c r="C410" t="str">
        <f>VLOOKUP($A410,'ECOMMERS SALES'!$1:$500,MATCH('vlookup match'!C$1,ECOMMERS_SALES[#Headers],0))</f>
        <v>Smartwatch</v>
      </c>
      <c r="D410" t="str">
        <f>VLOOKUP($A410,'ECOMMERS SALES'!$1:$500,MATCH('vlookup match'!D$1,ECOMMERS_SALES[#Headers],0))</f>
        <v>Electronics</v>
      </c>
      <c r="E410">
        <f>VLOOKUP($A410,'ECOMMERS SALES'!$1:$500,MATCH('vlookup match'!E$1,ECOMMERS_SALES[#Headers],0))</f>
        <v>2</v>
      </c>
      <c r="F410">
        <f>VLOOKUP($A410,'ECOMMERS SALES'!$1:$500,MATCH('vlookup match'!F$1,ECOMMERS_SALES[#Headers],0))</f>
        <v>13713</v>
      </c>
      <c r="G410">
        <f>VLOOKUP($A410,'ECOMMERS SALES'!$1:$500,MATCH('vlookup match'!G$1,ECOMMERS_SALES[#Headers],0))</f>
        <v>27426</v>
      </c>
      <c r="H410" t="str">
        <f>VLOOKUP($A410,'ECOMMERS SALES'!$1:$500,MATCH('vlookup match'!H$1,ECOMMERS_SALES[#Headers],0))</f>
        <v>Bangalore</v>
      </c>
      <c r="I410" t="str">
        <f>VLOOKUP($A410,'ECOMMERS SALES'!$1:$500,MATCH('vlookup match'!I$1,ECOMMERS_SALES[#Headers],0))</f>
        <v>Returning</v>
      </c>
      <c r="J410" t="str">
        <f>VLOOKUP($A410,'ECOMMERS SALES'!$1:$500,MATCH('vlookup match'!J$1,ECOMMERS_SALES[#Headers],0))</f>
        <v>Card</v>
      </c>
    </row>
    <row r="411" spans="1:10" x14ac:dyDescent="0.35">
      <c r="A411">
        <v>1410</v>
      </c>
      <c r="B411" t="str">
        <f>VLOOKUP($A411,'ECOMMERS SALES'!$1:$500,MATCH('vlookup match'!B$1,ECOMMERS_SALES[#Headers],0))</f>
        <v>15-02-2026</v>
      </c>
      <c r="C411" t="str">
        <f>VLOOKUP($A411,'ECOMMERS SALES'!$1:$500,MATCH('vlookup match'!C$1,ECOMMERS_SALES[#Headers],0))</f>
        <v>Water Bottle</v>
      </c>
      <c r="D411" t="str">
        <f>VLOOKUP($A411,'ECOMMERS SALES'!$1:$500,MATCH('vlookup match'!D$1,ECOMMERS_SALES[#Headers],0))</f>
        <v>Other</v>
      </c>
      <c r="E411">
        <f>VLOOKUP($A411,'ECOMMERS SALES'!$1:$500,MATCH('vlookup match'!E$1,ECOMMERS_SALES[#Headers],0))</f>
        <v>4</v>
      </c>
      <c r="F411">
        <f>VLOOKUP($A411,'ECOMMERS SALES'!$1:$500,MATCH('vlookup match'!F$1,ECOMMERS_SALES[#Headers],0))</f>
        <v>626</v>
      </c>
      <c r="G411">
        <f>VLOOKUP($A411,'ECOMMERS SALES'!$1:$500,MATCH('vlookup match'!G$1,ECOMMERS_SALES[#Headers],0))</f>
        <v>2504</v>
      </c>
      <c r="H411" t="str">
        <f>VLOOKUP($A411,'ECOMMERS SALES'!$1:$500,MATCH('vlookup match'!H$1,ECOMMERS_SALES[#Headers],0))</f>
        <v>Delhi</v>
      </c>
      <c r="I411" t="str">
        <f>VLOOKUP($A411,'ECOMMERS SALES'!$1:$500,MATCH('vlookup match'!I$1,ECOMMERS_SALES[#Headers],0))</f>
        <v>Premimum</v>
      </c>
      <c r="J411" t="str">
        <f>VLOOKUP($A411,'ECOMMERS SALES'!$1:$500,MATCH('vlookup match'!J$1,ECOMMERS_SALES[#Headers],0))</f>
        <v>COD</v>
      </c>
    </row>
    <row r="412" spans="1:10" x14ac:dyDescent="0.35">
      <c r="A412">
        <v>1411</v>
      </c>
      <c r="B412" t="str">
        <f>VLOOKUP($A412,'ECOMMERS SALES'!$1:$500,MATCH('vlookup match'!B$1,ECOMMERS_SALES[#Headers],0))</f>
        <v>16-02-2026</v>
      </c>
      <c r="C412" t="str">
        <f>VLOOKUP($A412,'ECOMMERS SALES'!$1:$500,MATCH('vlookup match'!C$1,ECOMMERS_SALES[#Headers],0))</f>
        <v>Laptop</v>
      </c>
      <c r="D412" t="str">
        <f>VLOOKUP($A412,'ECOMMERS SALES'!$1:$500,MATCH('vlookup match'!D$1,ECOMMERS_SALES[#Headers],0))</f>
        <v>Electronics</v>
      </c>
      <c r="E412">
        <f>VLOOKUP($A412,'ECOMMERS SALES'!$1:$500,MATCH('vlookup match'!E$1,ECOMMERS_SALES[#Headers],0))</f>
        <v>2</v>
      </c>
      <c r="F412">
        <f>VLOOKUP($A412,'ECOMMERS SALES'!$1:$500,MATCH('vlookup match'!F$1,ECOMMERS_SALES[#Headers],0))</f>
        <v>56913</v>
      </c>
      <c r="G412">
        <f>VLOOKUP($A412,'ECOMMERS SALES'!$1:$500,MATCH('vlookup match'!G$1,ECOMMERS_SALES[#Headers],0))</f>
        <v>113826</v>
      </c>
      <c r="H412" t="str">
        <f>VLOOKUP($A412,'ECOMMERS SALES'!$1:$500,MATCH('vlookup match'!H$1,ECOMMERS_SALES[#Headers],0))</f>
        <v>Delhi</v>
      </c>
      <c r="I412" t="str">
        <f>VLOOKUP($A412,'ECOMMERS SALES'!$1:$500,MATCH('vlookup match'!I$1,ECOMMERS_SALES[#Headers],0))</f>
        <v>Premimum</v>
      </c>
      <c r="J412" t="str">
        <f>VLOOKUP($A412,'ECOMMERS SALES'!$1:$500,MATCH('vlookup match'!J$1,ECOMMERS_SALES[#Headers],0))</f>
        <v>Card</v>
      </c>
    </row>
    <row r="413" spans="1:10" x14ac:dyDescent="0.35">
      <c r="A413">
        <v>1412</v>
      </c>
      <c r="B413" t="str">
        <f>VLOOKUP($A413,'ECOMMERS SALES'!$1:$500,MATCH('vlookup match'!B$1,ECOMMERS_SALES[#Headers],0))</f>
        <v>17-02-2026</v>
      </c>
      <c r="C413" t="str">
        <f>VLOOKUP($A413,'ECOMMERS SALES'!$1:$500,MATCH('vlookup match'!C$1,ECOMMERS_SALES[#Headers],0))</f>
        <v>Headphones</v>
      </c>
      <c r="D413" t="str">
        <f>VLOOKUP($A413,'ECOMMERS SALES'!$1:$500,MATCH('vlookup match'!D$1,ECOMMERS_SALES[#Headers],0))</f>
        <v>Electronics</v>
      </c>
      <c r="E413">
        <f>VLOOKUP($A413,'ECOMMERS SALES'!$1:$500,MATCH('vlookup match'!E$1,ECOMMERS_SALES[#Headers],0))</f>
        <v>1</v>
      </c>
      <c r="F413">
        <f>VLOOKUP($A413,'ECOMMERS SALES'!$1:$500,MATCH('vlookup match'!F$1,ECOMMERS_SALES[#Headers],0))</f>
        <v>4959</v>
      </c>
      <c r="G413">
        <f>VLOOKUP($A413,'ECOMMERS SALES'!$1:$500,MATCH('vlookup match'!G$1,ECOMMERS_SALES[#Headers],0))</f>
        <v>4959</v>
      </c>
      <c r="H413" t="str">
        <f>VLOOKUP($A413,'ECOMMERS SALES'!$1:$500,MATCH('vlookup match'!H$1,ECOMMERS_SALES[#Headers],0))</f>
        <v>Mumbai</v>
      </c>
      <c r="I413" t="str">
        <f>VLOOKUP($A413,'ECOMMERS SALES'!$1:$500,MATCH('vlookup match'!I$1,ECOMMERS_SALES[#Headers],0))</f>
        <v>Premimum</v>
      </c>
      <c r="J413" t="str">
        <f>VLOOKUP($A413,'ECOMMERS SALES'!$1:$500,MATCH('vlookup match'!J$1,ECOMMERS_SALES[#Headers],0))</f>
        <v>Card</v>
      </c>
    </row>
    <row r="414" spans="1:10" x14ac:dyDescent="0.35">
      <c r="A414">
        <v>1413</v>
      </c>
      <c r="B414" t="str">
        <f>VLOOKUP($A414,'ECOMMERS SALES'!$1:$500,MATCH('vlookup match'!B$1,ECOMMERS_SALES[#Headers],0))</f>
        <v>18-02-2026</v>
      </c>
      <c r="C414" t="str">
        <f>VLOOKUP($A414,'ECOMMERS SALES'!$1:$500,MATCH('vlookup match'!C$1,ECOMMERS_SALES[#Headers],0))</f>
        <v>Shoes</v>
      </c>
      <c r="D414" t="str">
        <f>VLOOKUP($A414,'ECOMMERS SALES'!$1:$500,MATCH('vlookup match'!D$1,ECOMMERS_SALES[#Headers],0))</f>
        <v>Fashion</v>
      </c>
      <c r="E414">
        <f>VLOOKUP($A414,'ECOMMERS SALES'!$1:$500,MATCH('vlookup match'!E$1,ECOMMERS_SALES[#Headers],0))</f>
        <v>2</v>
      </c>
      <c r="F414">
        <f>VLOOKUP($A414,'ECOMMERS SALES'!$1:$500,MATCH('vlookup match'!F$1,ECOMMERS_SALES[#Headers],0))</f>
        <v>2841</v>
      </c>
      <c r="G414">
        <f>VLOOKUP($A414,'ECOMMERS SALES'!$1:$500,MATCH('vlookup match'!G$1,ECOMMERS_SALES[#Headers],0))</f>
        <v>5682</v>
      </c>
      <c r="H414" t="str">
        <f>VLOOKUP($A414,'ECOMMERS SALES'!$1:$500,MATCH('vlookup match'!H$1,ECOMMERS_SALES[#Headers],0))</f>
        <v>Mumbai</v>
      </c>
      <c r="I414" t="str">
        <f>VLOOKUP($A414,'ECOMMERS SALES'!$1:$500,MATCH('vlookup match'!I$1,ECOMMERS_SALES[#Headers],0))</f>
        <v>Premimum</v>
      </c>
      <c r="J414" t="str">
        <f>VLOOKUP($A414,'ECOMMERS SALES'!$1:$500,MATCH('vlookup match'!J$1,ECOMMERS_SALES[#Headers],0))</f>
        <v>Card</v>
      </c>
    </row>
    <row r="415" spans="1:10" x14ac:dyDescent="0.35">
      <c r="A415">
        <v>1414</v>
      </c>
      <c r="B415" t="str">
        <f>VLOOKUP($A415,'ECOMMERS SALES'!$1:$500,MATCH('vlookup match'!B$1,ECOMMERS_SALES[#Headers],0))</f>
        <v>19-02-2026</v>
      </c>
      <c r="C415" t="str">
        <f>VLOOKUP($A415,'ECOMMERS SALES'!$1:$500,MATCH('vlookup match'!C$1,ECOMMERS_SALES[#Headers],0))</f>
        <v>Watch</v>
      </c>
      <c r="D415" t="str">
        <f>VLOOKUP($A415,'ECOMMERS SALES'!$1:$500,MATCH('vlookup match'!D$1,ECOMMERS_SALES[#Headers],0))</f>
        <v>Other</v>
      </c>
      <c r="E415">
        <f>VLOOKUP($A415,'ECOMMERS SALES'!$1:$500,MATCH('vlookup match'!E$1,ECOMMERS_SALES[#Headers],0))</f>
        <v>4</v>
      </c>
      <c r="F415">
        <f>VLOOKUP($A415,'ECOMMERS SALES'!$1:$500,MATCH('vlookup match'!F$1,ECOMMERS_SALES[#Headers],0))</f>
        <v>13916</v>
      </c>
      <c r="G415">
        <f>VLOOKUP($A415,'ECOMMERS SALES'!$1:$500,MATCH('vlookup match'!G$1,ECOMMERS_SALES[#Headers],0))</f>
        <v>55664</v>
      </c>
      <c r="H415" t="str">
        <f>VLOOKUP($A415,'ECOMMERS SALES'!$1:$500,MATCH('vlookup match'!H$1,ECOMMERS_SALES[#Headers],0))</f>
        <v>Hyderabad</v>
      </c>
      <c r="I415" t="str">
        <f>VLOOKUP($A415,'ECOMMERS SALES'!$1:$500,MATCH('vlookup match'!I$1,ECOMMERS_SALES[#Headers],0))</f>
        <v>New</v>
      </c>
      <c r="J415" t="str">
        <f>VLOOKUP($A415,'ECOMMERS SALES'!$1:$500,MATCH('vlookup match'!J$1,ECOMMERS_SALES[#Headers],0))</f>
        <v>Card</v>
      </c>
    </row>
    <row r="416" spans="1:10" x14ac:dyDescent="0.35">
      <c r="A416">
        <v>1415</v>
      </c>
      <c r="B416" t="str">
        <f>VLOOKUP($A416,'ECOMMERS SALES'!$1:$500,MATCH('vlookup match'!B$1,ECOMMERS_SALES[#Headers],0))</f>
        <v>20-02-2026</v>
      </c>
      <c r="C416" t="str">
        <f>VLOOKUP($A416,'ECOMMERS SALES'!$1:$500,MATCH('vlookup match'!C$1,ECOMMERS_SALES[#Headers],0))</f>
        <v>Mobile Case</v>
      </c>
      <c r="D416" t="str">
        <f>VLOOKUP($A416,'ECOMMERS SALES'!$1:$500,MATCH('vlookup match'!D$1,ECOMMERS_SALES[#Headers],0))</f>
        <v>Other</v>
      </c>
      <c r="E416">
        <f>VLOOKUP($A416,'ECOMMERS SALES'!$1:$500,MATCH('vlookup match'!E$1,ECOMMERS_SALES[#Headers],0))</f>
        <v>4</v>
      </c>
      <c r="F416">
        <f>VLOOKUP($A416,'ECOMMERS SALES'!$1:$500,MATCH('vlookup match'!F$1,ECOMMERS_SALES[#Headers],0))</f>
        <v>151</v>
      </c>
      <c r="G416">
        <f>VLOOKUP($A416,'ECOMMERS SALES'!$1:$500,MATCH('vlookup match'!G$1,ECOMMERS_SALES[#Headers],0))</f>
        <v>604</v>
      </c>
      <c r="H416" t="str">
        <f>VLOOKUP($A416,'ECOMMERS SALES'!$1:$500,MATCH('vlookup match'!H$1,ECOMMERS_SALES[#Headers],0))</f>
        <v>Mumbai</v>
      </c>
      <c r="I416" t="str">
        <f>VLOOKUP($A416,'ECOMMERS SALES'!$1:$500,MATCH('vlookup match'!I$1,ECOMMERS_SALES[#Headers],0))</f>
        <v>Returning</v>
      </c>
      <c r="J416" t="str">
        <f>VLOOKUP($A416,'ECOMMERS SALES'!$1:$500,MATCH('vlookup match'!J$1,ECOMMERS_SALES[#Headers],0))</f>
        <v>COD</v>
      </c>
    </row>
    <row r="417" spans="1:10" x14ac:dyDescent="0.35">
      <c r="A417">
        <v>1416</v>
      </c>
      <c r="B417" t="str">
        <f>VLOOKUP($A417,'ECOMMERS SALES'!$1:$500,MATCH('vlookup match'!B$1,ECOMMERS_SALES[#Headers],0))</f>
        <v>21-02-2026</v>
      </c>
      <c r="C417" t="str">
        <f>VLOOKUP($A417,'ECOMMERS SALES'!$1:$500,MATCH('vlookup match'!C$1,ECOMMERS_SALES[#Headers],0))</f>
        <v>Tablet</v>
      </c>
      <c r="D417" t="str">
        <f>VLOOKUP($A417,'ECOMMERS SALES'!$1:$500,MATCH('vlookup match'!D$1,ECOMMERS_SALES[#Headers],0))</f>
        <v>Electronics</v>
      </c>
      <c r="E417">
        <f>VLOOKUP($A417,'ECOMMERS SALES'!$1:$500,MATCH('vlookup match'!E$1,ECOMMERS_SALES[#Headers],0))</f>
        <v>1</v>
      </c>
      <c r="F417">
        <f>VLOOKUP($A417,'ECOMMERS SALES'!$1:$500,MATCH('vlookup match'!F$1,ECOMMERS_SALES[#Headers],0))</f>
        <v>17923</v>
      </c>
      <c r="G417">
        <f>VLOOKUP($A417,'ECOMMERS SALES'!$1:$500,MATCH('vlookup match'!G$1,ECOMMERS_SALES[#Headers],0))</f>
        <v>17923</v>
      </c>
      <c r="H417" t="str">
        <f>VLOOKUP($A417,'ECOMMERS SALES'!$1:$500,MATCH('vlookup match'!H$1,ECOMMERS_SALES[#Headers],0))</f>
        <v>Chennai</v>
      </c>
      <c r="I417" t="str">
        <f>VLOOKUP($A417,'ECOMMERS SALES'!$1:$500,MATCH('vlookup match'!I$1,ECOMMERS_SALES[#Headers],0))</f>
        <v>New</v>
      </c>
      <c r="J417" t="str">
        <f>VLOOKUP($A417,'ECOMMERS SALES'!$1:$500,MATCH('vlookup match'!J$1,ECOMMERS_SALES[#Headers],0))</f>
        <v>COD</v>
      </c>
    </row>
    <row r="418" spans="1:10" x14ac:dyDescent="0.35">
      <c r="A418">
        <v>1417</v>
      </c>
      <c r="B418" t="str">
        <f>VLOOKUP($A418,'ECOMMERS SALES'!$1:$500,MATCH('vlookup match'!B$1,ECOMMERS_SALES[#Headers],0))</f>
        <v>22-02-2026</v>
      </c>
      <c r="C418" t="str">
        <f>VLOOKUP($A418,'ECOMMERS SALES'!$1:$500,MATCH('vlookup match'!C$1,ECOMMERS_SALES[#Headers],0))</f>
        <v>Book</v>
      </c>
      <c r="D418" t="str">
        <f>VLOOKUP($A418,'ECOMMERS SALES'!$1:$500,MATCH('vlookup match'!D$1,ECOMMERS_SALES[#Headers],0))</f>
        <v>Books</v>
      </c>
      <c r="E418">
        <f>VLOOKUP($A418,'ECOMMERS SALES'!$1:$500,MATCH('vlookup match'!E$1,ECOMMERS_SALES[#Headers],0))</f>
        <v>3</v>
      </c>
      <c r="F418">
        <f>VLOOKUP($A418,'ECOMMERS SALES'!$1:$500,MATCH('vlookup match'!F$1,ECOMMERS_SALES[#Headers],0))</f>
        <v>843</v>
      </c>
      <c r="G418">
        <f>VLOOKUP($A418,'ECOMMERS SALES'!$1:$500,MATCH('vlookup match'!G$1,ECOMMERS_SALES[#Headers],0))</f>
        <v>2529</v>
      </c>
      <c r="H418" t="str">
        <f>VLOOKUP($A418,'ECOMMERS SALES'!$1:$500,MATCH('vlookup match'!H$1,ECOMMERS_SALES[#Headers],0))</f>
        <v>Bangalore</v>
      </c>
      <c r="I418" t="str">
        <f>VLOOKUP($A418,'ECOMMERS SALES'!$1:$500,MATCH('vlookup match'!I$1,ECOMMERS_SALES[#Headers],0))</f>
        <v>New</v>
      </c>
      <c r="J418" t="str">
        <f>VLOOKUP($A418,'ECOMMERS SALES'!$1:$500,MATCH('vlookup match'!J$1,ECOMMERS_SALES[#Headers],0))</f>
        <v>Card</v>
      </c>
    </row>
    <row r="419" spans="1:10" x14ac:dyDescent="0.35">
      <c r="A419">
        <v>1418</v>
      </c>
      <c r="B419" t="str">
        <f>VLOOKUP($A419,'ECOMMERS SALES'!$1:$500,MATCH('vlookup match'!B$1,ECOMMERS_SALES[#Headers],0))</f>
        <v>23-02-2026</v>
      </c>
      <c r="C419" t="str">
        <f>VLOOKUP($A419,'ECOMMERS SALES'!$1:$500,MATCH('vlookup match'!C$1,ECOMMERS_SALES[#Headers],0))</f>
        <v>Backpack</v>
      </c>
      <c r="D419" t="str">
        <f>VLOOKUP($A419,'ECOMMERS SALES'!$1:$500,MATCH('vlookup match'!D$1,ECOMMERS_SALES[#Headers],0))</f>
        <v>Fashion</v>
      </c>
      <c r="E419">
        <f>VLOOKUP($A419,'ECOMMERS SALES'!$1:$500,MATCH('vlookup match'!E$1,ECOMMERS_SALES[#Headers],0))</f>
        <v>2</v>
      </c>
      <c r="F419">
        <f>VLOOKUP($A419,'ECOMMERS SALES'!$1:$500,MATCH('vlookup match'!F$1,ECOMMERS_SALES[#Headers],0))</f>
        <v>1736</v>
      </c>
      <c r="G419">
        <f>VLOOKUP($A419,'ECOMMERS SALES'!$1:$500,MATCH('vlookup match'!G$1,ECOMMERS_SALES[#Headers],0))</f>
        <v>3472</v>
      </c>
      <c r="H419" t="str">
        <f>VLOOKUP($A419,'ECOMMERS SALES'!$1:$500,MATCH('vlookup match'!H$1,ECOMMERS_SALES[#Headers],0))</f>
        <v>Delhi</v>
      </c>
      <c r="I419" t="str">
        <f>VLOOKUP($A419,'ECOMMERS SALES'!$1:$500,MATCH('vlookup match'!I$1,ECOMMERS_SALES[#Headers],0))</f>
        <v>New</v>
      </c>
      <c r="J419" t="str">
        <f>VLOOKUP($A419,'ECOMMERS SALES'!$1:$500,MATCH('vlookup match'!J$1,ECOMMERS_SALES[#Headers],0))</f>
        <v>UPI</v>
      </c>
    </row>
    <row r="420" spans="1:10" x14ac:dyDescent="0.35">
      <c r="A420">
        <v>1419</v>
      </c>
      <c r="B420" t="str">
        <f>VLOOKUP($A420,'ECOMMERS SALES'!$1:$500,MATCH('vlookup match'!B$1,ECOMMERS_SALES[#Headers],0))</f>
        <v>24-02-2026</v>
      </c>
      <c r="C420" t="str">
        <f>VLOOKUP($A420,'ECOMMERS SALES'!$1:$500,MATCH('vlookup match'!C$1,ECOMMERS_SALES[#Headers],0))</f>
        <v>Smartwatch</v>
      </c>
      <c r="D420" t="str">
        <f>VLOOKUP($A420,'ECOMMERS SALES'!$1:$500,MATCH('vlookup match'!D$1,ECOMMERS_SALES[#Headers],0))</f>
        <v>Electronics</v>
      </c>
      <c r="E420">
        <f>VLOOKUP($A420,'ECOMMERS SALES'!$1:$500,MATCH('vlookup match'!E$1,ECOMMERS_SALES[#Headers],0))</f>
        <v>1</v>
      </c>
      <c r="F420">
        <f>VLOOKUP($A420,'ECOMMERS SALES'!$1:$500,MATCH('vlookup match'!F$1,ECOMMERS_SALES[#Headers],0))</f>
        <v>13704</v>
      </c>
      <c r="G420">
        <f>VLOOKUP($A420,'ECOMMERS SALES'!$1:$500,MATCH('vlookup match'!G$1,ECOMMERS_SALES[#Headers],0))</f>
        <v>13704</v>
      </c>
      <c r="H420" t="str">
        <f>VLOOKUP($A420,'ECOMMERS SALES'!$1:$500,MATCH('vlookup match'!H$1,ECOMMERS_SALES[#Headers],0))</f>
        <v>Mumbai</v>
      </c>
      <c r="I420" t="str">
        <f>VLOOKUP($A420,'ECOMMERS SALES'!$1:$500,MATCH('vlookup match'!I$1,ECOMMERS_SALES[#Headers],0))</f>
        <v>Premimum</v>
      </c>
      <c r="J420" t="str">
        <f>VLOOKUP($A420,'ECOMMERS SALES'!$1:$500,MATCH('vlookup match'!J$1,ECOMMERS_SALES[#Headers],0))</f>
        <v>UPI</v>
      </c>
    </row>
    <row r="421" spans="1:10" x14ac:dyDescent="0.35">
      <c r="A421">
        <v>1420</v>
      </c>
      <c r="B421" t="str">
        <f>VLOOKUP($A421,'ECOMMERS SALES'!$1:$500,MATCH('vlookup match'!B$1,ECOMMERS_SALES[#Headers],0))</f>
        <v>25-02-2026</v>
      </c>
      <c r="C421" t="str">
        <f>VLOOKUP($A421,'ECOMMERS SALES'!$1:$500,MATCH('vlookup match'!C$1,ECOMMERS_SALES[#Headers],0))</f>
        <v>Water Bottle</v>
      </c>
      <c r="D421" t="str">
        <f>VLOOKUP($A421,'ECOMMERS SALES'!$1:$500,MATCH('vlookup match'!D$1,ECOMMERS_SALES[#Headers],0))</f>
        <v>Other</v>
      </c>
      <c r="E421">
        <f>VLOOKUP($A421,'ECOMMERS SALES'!$1:$500,MATCH('vlookup match'!E$1,ECOMMERS_SALES[#Headers],0))</f>
        <v>5</v>
      </c>
      <c r="F421">
        <f>VLOOKUP($A421,'ECOMMERS SALES'!$1:$500,MATCH('vlookup match'!F$1,ECOMMERS_SALES[#Headers],0))</f>
        <v>297</v>
      </c>
      <c r="G421">
        <f>VLOOKUP($A421,'ECOMMERS SALES'!$1:$500,MATCH('vlookup match'!G$1,ECOMMERS_SALES[#Headers],0))</f>
        <v>1485</v>
      </c>
      <c r="H421" t="str">
        <f>VLOOKUP($A421,'ECOMMERS SALES'!$1:$500,MATCH('vlookup match'!H$1,ECOMMERS_SALES[#Headers],0))</f>
        <v>Delhi</v>
      </c>
      <c r="I421" t="str">
        <f>VLOOKUP($A421,'ECOMMERS SALES'!$1:$500,MATCH('vlookup match'!I$1,ECOMMERS_SALES[#Headers],0))</f>
        <v>Premimum</v>
      </c>
      <c r="J421" t="str">
        <f>VLOOKUP($A421,'ECOMMERS SALES'!$1:$500,MATCH('vlookup match'!J$1,ECOMMERS_SALES[#Headers],0))</f>
        <v>UPI</v>
      </c>
    </row>
    <row r="422" spans="1:10" x14ac:dyDescent="0.35">
      <c r="A422">
        <v>1421</v>
      </c>
      <c r="B422" t="str">
        <f>VLOOKUP($A422,'ECOMMERS SALES'!$1:$500,MATCH('vlookup match'!B$1,ECOMMERS_SALES[#Headers],0))</f>
        <v>26-02-2026</v>
      </c>
      <c r="C422" t="str">
        <f>VLOOKUP($A422,'ECOMMERS SALES'!$1:$500,MATCH('vlookup match'!C$1,ECOMMERS_SALES[#Headers],0))</f>
        <v>Laptop</v>
      </c>
      <c r="D422" t="str">
        <f>VLOOKUP($A422,'ECOMMERS SALES'!$1:$500,MATCH('vlookup match'!D$1,ECOMMERS_SALES[#Headers],0))</f>
        <v>Electronics</v>
      </c>
      <c r="E422">
        <f>VLOOKUP($A422,'ECOMMERS SALES'!$1:$500,MATCH('vlookup match'!E$1,ECOMMERS_SALES[#Headers],0))</f>
        <v>2</v>
      </c>
      <c r="F422">
        <f>VLOOKUP($A422,'ECOMMERS SALES'!$1:$500,MATCH('vlookup match'!F$1,ECOMMERS_SALES[#Headers],0))</f>
        <v>59030</v>
      </c>
      <c r="G422">
        <f>VLOOKUP($A422,'ECOMMERS SALES'!$1:$500,MATCH('vlookup match'!G$1,ECOMMERS_SALES[#Headers],0))</f>
        <v>118060</v>
      </c>
      <c r="H422" t="str">
        <f>VLOOKUP($A422,'ECOMMERS SALES'!$1:$500,MATCH('vlookup match'!H$1,ECOMMERS_SALES[#Headers],0))</f>
        <v>Hyderabad</v>
      </c>
      <c r="I422" t="str">
        <f>VLOOKUP($A422,'ECOMMERS SALES'!$1:$500,MATCH('vlookup match'!I$1,ECOMMERS_SALES[#Headers],0))</f>
        <v>Returning</v>
      </c>
      <c r="J422" t="str">
        <f>VLOOKUP($A422,'ECOMMERS SALES'!$1:$500,MATCH('vlookup match'!J$1,ECOMMERS_SALES[#Headers],0))</f>
        <v>UPI</v>
      </c>
    </row>
    <row r="423" spans="1:10" x14ac:dyDescent="0.35">
      <c r="A423">
        <v>1422</v>
      </c>
      <c r="B423" t="str">
        <f>VLOOKUP($A423,'ECOMMERS SALES'!$1:$500,MATCH('vlookup match'!B$1,ECOMMERS_SALES[#Headers],0))</f>
        <v>27-02-2026</v>
      </c>
      <c r="C423" t="str">
        <f>VLOOKUP($A423,'ECOMMERS SALES'!$1:$500,MATCH('vlookup match'!C$1,ECOMMERS_SALES[#Headers],0))</f>
        <v>Headphones</v>
      </c>
      <c r="D423" t="str">
        <f>VLOOKUP($A423,'ECOMMERS SALES'!$1:$500,MATCH('vlookup match'!D$1,ECOMMERS_SALES[#Headers],0))</f>
        <v>Electronics</v>
      </c>
      <c r="E423">
        <f>VLOOKUP($A423,'ECOMMERS SALES'!$1:$500,MATCH('vlookup match'!E$1,ECOMMERS_SALES[#Headers],0))</f>
        <v>1</v>
      </c>
      <c r="F423">
        <f>VLOOKUP($A423,'ECOMMERS SALES'!$1:$500,MATCH('vlookup match'!F$1,ECOMMERS_SALES[#Headers],0))</f>
        <v>1043</v>
      </c>
      <c r="G423">
        <f>VLOOKUP($A423,'ECOMMERS SALES'!$1:$500,MATCH('vlookup match'!G$1,ECOMMERS_SALES[#Headers],0))</f>
        <v>1043</v>
      </c>
      <c r="H423" t="str">
        <f>VLOOKUP($A423,'ECOMMERS SALES'!$1:$500,MATCH('vlookup match'!H$1,ECOMMERS_SALES[#Headers],0))</f>
        <v>Mumbai</v>
      </c>
      <c r="I423" t="str">
        <f>VLOOKUP($A423,'ECOMMERS SALES'!$1:$500,MATCH('vlookup match'!I$1,ECOMMERS_SALES[#Headers],0))</f>
        <v>Premimum</v>
      </c>
      <c r="J423" t="str">
        <f>VLOOKUP($A423,'ECOMMERS SALES'!$1:$500,MATCH('vlookup match'!J$1,ECOMMERS_SALES[#Headers],0))</f>
        <v>UPI</v>
      </c>
    </row>
    <row r="424" spans="1:10" x14ac:dyDescent="0.35">
      <c r="A424">
        <v>1423</v>
      </c>
      <c r="B424" t="str">
        <f>VLOOKUP($A424,'ECOMMERS SALES'!$1:$500,MATCH('vlookup match'!B$1,ECOMMERS_SALES[#Headers],0))</f>
        <v>28-02-2026</v>
      </c>
      <c r="C424" t="str">
        <f>VLOOKUP($A424,'ECOMMERS SALES'!$1:$500,MATCH('vlookup match'!C$1,ECOMMERS_SALES[#Headers],0))</f>
        <v>Shoes</v>
      </c>
      <c r="D424" t="str">
        <f>VLOOKUP($A424,'ECOMMERS SALES'!$1:$500,MATCH('vlookup match'!D$1,ECOMMERS_SALES[#Headers],0))</f>
        <v>Fashion</v>
      </c>
      <c r="E424">
        <f>VLOOKUP($A424,'ECOMMERS SALES'!$1:$500,MATCH('vlookup match'!E$1,ECOMMERS_SALES[#Headers],0))</f>
        <v>2</v>
      </c>
      <c r="F424">
        <f>VLOOKUP($A424,'ECOMMERS SALES'!$1:$500,MATCH('vlookup match'!F$1,ECOMMERS_SALES[#Headers],0))</f>
        <v>3714</v>
      </c>
      <c r="G424">
        <f>VLOOKUP($A424,'ECOMMERS SALES'!$1:$500,MATCH('vlookup match'!G$1,ECOMMERS_SALES[#Headers],0))</f>
        <v>7428</v>
      </c>
      <c r="H424" t="str">
        <f>VLOOKUP($A424,'ECOMMERS SALES'!$1:$500,MATCH('vlookup match'!H$1,ECOMMERS_SALES[#Headers],0))</f>
        <v>Delhi</v>
      </c>
      <c r="I424" t="str">
        <f>VLOOKUP($A424,'ECOMMERS SALES'!$1:$500,MATCH('vlookup match'!I$1,ECOMMERS_SALES[#Headers],0))</f>
        <v>New</v>
      </c>
      <c r="J424" t="str">
        <f>VLOOKUP($A424,'ECOMMERS SALES'!$1:$500,MATCH('vlookup match'!J$1,ECOMMERS_SALES[#Headers],0))</f>
        <v>Card</v>
      </c>
    </row>
    <row r="425" spans="1:10" x14ac:dyDescent="0.35">
      <c r="A425">
        <v>1424</v>
      </c>
      <c r="B425" t="str">
        <f>VLOOKUP($A425,'ECOMMERS SALES'!$1:$500,MATCH('vlookup match'!B$1,ECOMMERS_SALES[#Headers],0))</f>
        <v>01-03-2026</v>
      </c>
      <c r="C425" t="str">
        <f>VLOOKUP($A425,'ECOMMERS SALES'!$1:$500,MATCH('vlookup match'!C$1,ECOMMERS_SALES[#Headers],0))</f>
        <v>Watch</v>
      </c>
      <c r="D425" t="str">
        <f>VLOOKUP($A425,'ECOMMERS SALES'!$1:$500,MATCH('vlookup match'!D$1,ECOMMERS_SALES[#Headers],0))</f>
        <v>Other</v>
      </c>
      <c r="E425">
        <f>VLOOKUP($A425,'ECOMMERS SALES'!$1:$500,MATCH('vlookup match'!E$1,ECOMMERS_SALES[#Headers],0))</f>
        <v>2</v>
      </c>
      <c r="F425">
        <f>VLOOKUP($A425,'ECOMMERS SALES'!$1:$500,MATCH('vlookup match'!F$1,ECOMMERS_SALES[#Headers],0))</f>
        <v>4810</v>
      </c>
      <c r="G425">
        <f>VLOOKUP($A425,'ECOMMERS SALES'!$1:$500,MATCH('vlookup match'!G$1,ECOMMERS_SALES[#Headers],0))</f>
        <v>9620</v>
      </c>
      <c r="H425" t="str">
        <f>VLOOKUP($A425,'ECOMMERS SALES'!$1:$500,MATCH('vlookup match'!H$1,ECOMMERS_SALES[#Headers],0))</f>
        <v>Hyderabad</v>
      </c>
      <c r="I425" t="str">
        <f>VLOOKUP($A425,'ECOMMERS SALES'!$1:$500,MATCH('vlookup match'!I$1,ECOMMERS_SALES[#Headers],0))</f>
        <v>Returning</v>
      </c>
      <c r="J425" t="str">
        <f>VLOOKUP($A425,'ECOMMERS SALES'!$1:$500,MATCH('vlookup match'!J$1,ECOMMERS_SALES[#Headers],0))</f>
        <v>UPI</v>
      </c>
    </row>
    <row r="426" spans="1:10" x14ac:dyDescent="0.35">
      <c r="A426">
        <v>1425</v>
      </c>
      <c r="B426" t="str">
        <f>VLOOKUP($A426,'ECOMMERS SALES'!$1:$500,MATCH('vlookup match'!B$1,ECOMMERS_SALES[#Headers],0))</f>
        <v>02-03-2026</v>
      </c>
      <c r="C426" t="str">
        <f>VLOOKUP($A426,'ECOMMERS SALES'!$1:$500,MATCH('vlookup match'!C$1,ECOMMERS_SALES[#Headers],0))</f>
        <v>Mobile Case</v>
      </c>
      <c r="D426" t="str">
        <f>VLOOKUP($A426,'ECOMMERS SALES'!$1:$500,MATCH('vlookup match'!D$1,ECOMMERS_SALES[#Headers],0))</f>
        <v>Other</v>
      </c>
      <c r="E426">
        <f>VLOOKUP($A426,'ECOMMERS SALES'!$1:$500,MATCH('vlookup match'!E$1,ECOMMERS_SALES[#Headers],0))</f>
        <v>3</v>
      </c>
      <c r="F426">
        <f>VLOOKUP($A426,'ECOMMERS SALES'!$1:$500,MATCH('vlookup match'!F$1,ECOMMERS_SALES[#Headers],0))</f>
        <v>873</v>
      </c>
      <c r="G426">
        <f>VLOOKUP($A426,'ECOMMERS SALES'!$1:$500,MATCH('vlookup match'!G$1,ECOMMERS_SALES[#Headers],0))</f>
        <v>2619</v>
      </c>
      <c r="H426" t="str">
        <f>VLOOKUP($A426,'ECOMMERS SALES'!$1:$500,MATCH('vlookup match'!H$1,ECOMMERS_SALES[#Headers],0))</f>
        <v>Delhi</v>
      </c>
      <c r="I426" t="str">
        <f>VLOOKUP($A426,'ECOMMERS SALES'!$1:$500,MATCH('vlookup match'!I$1,ECOMMERS_SALES[#Headers],0))</f>
        <v>Returning</v>
      </c>
      <c r="J426" t="str">
        <f>VLOOKUP($A426,'ECOMMERS SALES'!$1:$500,MATCH('vlookup match'!J$1,ECOMMERS_SALES[#Headers],0))</f>
        <v>Card</v>
      </c>
    </row>
    <row r="427" spans="1:10" x14ac:dyDescent="0.35">
      <c r="A427">
        <v>1426</v>
      </c>
      <c r="B427" t="str">
        <f>VLOOKUP($A427,'ECOMMERS SALES'!$1:$500,MATCH('vlookup match'!B$1,ECOMMERS_SALES[#Headers],0))</f>
        <v>03-03-2026</v>
      </c>
      <c r="C427" t="str">
        <f>VLOOKUP($A427,'ECOMMERS SALES'!$1:$500,MATCH('vlookup match'!C$1,ECOMMERS_SALES[#Headers],0))</f>
        <v>Tablet</v>
      </c>
      <c r="D427" t="str">
        <f>VLOOKUP($A427,'ECOMMERS SALES'!$1:$500,MATCH('vlookup match'!D$1,ECOMMERS_SALES[#Headers],0))</f>
        <v>Electronics</v>
      </c>
      <c r="E427">
        <f>VLOOKUP($A427,'ECOMMERS SALES'!$1:$500,MATCH('vlookup match'!E$1,ECOMMERS_SALES[#Headers],0))</f>
        <v>1</v>
      </c>
      <c r="F427">
        <f>VLOOKUP($A427,'ECOMMERS SALES'!$1:$500,MATCH('vlookup match'!F$1,ECOMMERS_SALES[#Headers],0))</f>
        <v>16801</v>
      </c>
      <c r="G427">
        <f>VLOOKUP($A427,'ECOMMERS SALES'!$1:$500,MATCH('vlookup match'!G$1,ECOMMERS_SALES[#Headers],0))</f>
        <v>16801</v>
      </c>
      <c r="H427" t="str">
        <f>VLOOKUP($A427,'ECOMMERS SALES'!$1:$500,MATCH('vlookup match'!H$1,ECOMMERS_SALES[#Headers],0))</f>
        <v>Mumbai</v>
      </c>
      <c r="I427" t="str">
        <f>VLOOKUP($A427,'ECOMMERS SALES'!$1:$500,MATCH('vlookup match'!I$1,ECOMMERS_SALES[#Headers],0))</f>
        <v>Premimum</v>
      </c>
      <c r="J427" t="str">
        <f>VLOOKUP($A427,'ECOMMERS SALES'!$1:$500,MATCH('vlookup match'!J$1,ECOMMERS_SALES[#Headers],0))</f>
        <v>UPI</v>
      </c>
    </row>
    <row r="428" spans="1:10" x14ac:dyDescent="0.35">
      <c r="A428">
        <v>1427</v>
      </c>
      <c r="B428" t="str">
        <f>VLOOKUP($A428,'ECOMMERS SALES'!$1:$500,MATCH('vlookup match'!B$1,ECOMMERS_SALES[#Headers],0))</f>
        <v>04-03-2026</v>
      </c>
      <c r="C428" t="str">
        <f>VLOOKUP($A428,'ECOMMERS SALES'!$1:$500,MATCH('vlookup match'!C$1,ECOMMERS_SALES[#Headers],0))</f>
        <v>Book</v>
      </c>
      <c r="D428" t="str">
        <f>VLOOKUP($A428,'ECOMMERS SALES'!$1:$500,MATCH('vlookup match'!D$1,ECOMMERS_SALES[#Headers],0))</f>
        <v>Books</v>
      </c>
      <c r="E428">
        <f>VLOOKUP($A428,'ECOMMERS SALES'!$1:$500,MATCH('vlookup match'!E$1,ECOMMERS_SALES[#Headers],0))</f>
        <v>2</v>
      </c>
      <c r="F428">
        <f>VLOOKUP($A428,'ECOMMERS SALES'!$1:$500,MATCH('vlookup match'!F$1,ECOMMERS_SALES[#Headers],0))</f>
        <v>881</v>
      </c>
      <c r="G428">
        <f>VLOOKUP($A428,'ECOMMERS SALES'!$1:$500,MATCH('vlookup match'!G$1,ECOMMERS_SALES[#Headers],0))</f>
        <v>1762</v>
      </c>
      <c r="H428" t="str">
        <f>VLOOKUP($A428,'ECOMMERS SALES'!$1:$500,MATCH('vlookup match'!H$1,ECOMMERS_SALES[#Headers],0))</f>
        <v>Pune</v>
      </c>
      <c r="I428" t="str">
        <f>VLOOKUP($A428,'ECOMMERS SALES'!$1:$500,MATCH('vlookup match'!I$1,ECOMMERS_SALES[#Headers],0))</f>
        <v>Returning</v>
      </c>
      <c r="J428" t="str">
        <f>VLOOKUP($A428,'ECOMMERS SALES'!$1:$500,MATCH('vlookup match'!J$1,ECOMMERS_SALES[#Headers],0))</f>
        <v>COD</v>
      </c>
    </row>
    <row r="429" spans="1:10" x14ac:dyDescent="0.35">
      <c r="A429">
        <v>1428</v>
      </c>
      <c r="B429" t="str">
        <f>VLOOKUP($A429,'ECOMMERS SALES'!$1:$500,MATCH('vlookup match'!B$1,ECOMMERS_SALES[#Headers],0))</f>
        <v>05-03-2026</v>
      </c>
      <c r="C429" t="str">
        <f>VLOOKUP($A429,'ECOMMERS SALES'!$1:$500,MATCH('vlookup match'!C$1,ECOMMERS_SALES[#Headers],0))</f>
        <v>Backpack</v>
      </c>
      <c r="D429" t="str">
        <f>VLOOKUP($A429,'ECOMMERS SALES'!$1:$500,MATCH('vlookup match'!D$1,ECOMMERS_SALES[#Headers],0))</f>
        <v>Fashion</v>
      </c>
      <c r="E429">
        <f>VLOOKUP($A429,'ECOMMERS SALES'!$1:$500,MATCH('vlookup match'!E$1,ECOMMERS_SALES[#Headers],0))</f>
        <v>1</v>
      </c>
      <c r="F429">
        <f>VLOOKUP($A429,'ECOMMERS SALES'!$1:$500,MATCH('vlookup match'!F$1,ECOMMERS_SALES[#Headers],0))</f>
        <v>1334</v>
      </c>
      <c r="G429">
        <f>VLOOKUP($A429,'ECOMMERS SALES'!$1:$500,MATCH('vlookup match'!G$1,ECOMMERS_SALES[#Headers],0))</f>
        <v>1334</v>
      </c>
      <c r="H429" t="str">
        <f>VLOOKUP($A429,'ECOMMERS SALES'!$1:$500,MATCH('vlookup match'!H$1,ECOMMERS_SALES[#Headers],0))</f>
        <v>Pune</v>
      </c>
      <c r="I429" t="str">
        <f>VLOOKUP($A429,'ECOMMERS SALES'!$1:$500,MATCH('vlookup match'!I$1,ECOMMERS_SALES[#Headers],0))</f>
        <v>Premimum</v>
      </c>
      <c r="J429" t="str">
        <f>VLOOKUP($A429,'ECOMMERS SALES'!$1:$500,MATCH('vlookup match'!J$1,ECOMMERS_SALES[#Headers],0))</f>
        <v>Card</v>
      </c>
    </row>
    <row r="430" spans="1:10" x14ac:dyDescent="0.35">
      <c r="A430">
        <v>1429</v>
      </c>
      <c r="B430" t="str">
        <f>VLOOKUP($A430,'ECOMMERS SALES'!$1:$500,MATCH('vlookup match'!B$1,ECOMMERS_SALES[#Headers],0))</f>
        <v>06-03-2026</v>
      </c>
      <c r="C430" t="str">
        <f>VLOOKUP($A430,'ECOMMERS SALES'!$1:$500,MATCH('vlookup match'!C$1,ECOMMERS_SALES[#Headers],0))</f>
        <v>Smartwatch</v>
      </c>
      <c r="D430" t="str">
        <f>VLOOKUP($A430,'ECOMMERS SALES'!$1:$500,MATCH('vlookup match'!D$1,ECOMMERS_SALES[#Headers],0))</f>
        <v>Electronics</v>
      </c>
      <c r="E430">
        <f>VLOOKUP($A430,'ECOMMERS SALES'!$1:$500,MATCH('vlookup match'!E$1,ECOMMERS_SALES[#Headers],0))</f>
        <v>1</v>
      </c>
      <c r="F430">
        <f>VLOOKUP($A430,'ECOMMERS SALES'!$1:$500,MATCH('vlookup match'!F$1,ECOMMERS_SALES[#Headers],0))</f>
        <v>5467</v>
      </c>
      <c r="G430">
        <f>VLOOKUP($A430,'ECOMMERS SALES'!$1:$500,MATCH('vlookup match'!G$1,ECOMMERS_SALES[#Headers],0))</f>
        <v>5467</v>
      </c>
      <c r="H430" t="str">
        <f>VLOOKUP($A430,'ECOMMERS SALES'!$1:$500,MATCH('vlookup match'!H$1,ECOMMERS_SALES[#Headers],0))</f>
        <v>Bangalore</v>
      </c>
      <c r="I430" t="str">
        <f>VLOOKUP($A430,'ECOMMERS SALES'!$1:$500,MATCH('vlookup match'!I$1,ECOMMERS_SALES[#Headers],0))</f>
        <v>Premimum</v>
      </c>
      <c r="J430" t="str">
        <f>VLOOKUP($A430,'ECOMMERS SALES'!$1:$500,MATCH('vlookup match'!J$1,ECOMMERS_SALES[#Headers],0))</f>
        <v>Card</v>
      </c>
    </row>
    <row r="431" spans="1:10" x14ac:dyDescent="0.35">
      <c r="A431">
        <v>1430</v>
      </c>
      <c r="B431" t="str">
        <f>VLOOKUP($A431,'ECOMMERS SALES'!$1:$500,MATCH('vlookup match'!B$1,ECOMMERS_SALES[#Headers],0))</f>
        <v>07-03-2026</v>
      </c>
      <c r="C431" t="str">
        <f>VLOOKUP($A431,'ECOMMERS SALES'!$1:$500,MATCH('vlookup match'!C$1,ECOMMERS_SALES[#Headers],0))</f>
        <v>Water Bottle</v>
      </c>
      <c r="D431" t="str">
        <f>VLOOKUP($A431,'ECOMMERS SALES'!$1:$500,MATCH('vlookup match'!D$1,ECOMMERS_SALES[#Headers],0))</f>
        <v>Other</v>
      </c>
      <c r="E431">
        <f>VLOOKUP($A431,'ECOMMERS SALES'!$1:$500,MATCH('vlookup match'!E$1,ECOMMERS_SALES[#Headers],0))</f>
        <v>5</v>
      </c>
      <c r="F431">
        <f>VLOOKUP($A431,'ECOMMERS SALES'!$1:$500,MATCH('vlookup match'!F$1,ECOMMERS_SALES[#Headers],0))</f>
        <v>767</v>
      </c>
      <c r="G431">
        <f>VLOOKUP($A431,'ECOMMERS SALES'!$1:$500,MATCH('vlookup match'!G$1,ECOMMERS_SALES[#Headers],0))</f>
        <v>3835</v>
      </c>
      <c r="H431" t="str">
        <f>VLOOKUP($A431,'ECOMMERS SALES'!$1:$500,MATCH('vlookup match'!H$1,ECOMMERS_SALES[#Headers],0))</f>
        <v>Delhi</v>
      </c>
      <c r="I431" t="str">
        <f>VLOOKUP($A431,'ECOMMERS SALES'!$1:$500,MATCH('vlookup match'!I$1,ECOMMERS_SALES[#Headers],0))</f>
        <v>Returning</v>
      </c>
      <c r="J431" t="str">
        <f>VLOOKUP($A431,'ECOMMERS SALES'!$1:$500,MATCH('vlookup match'!J$1,ECOMMERS_SALES[#Headers],0))</f>
        <v>Card</v>
      </c>
    </row>
    <row r="432" spans="1:10" x14ac:dyDescent="0.35">
      <c r="A432">
        <v>1431</v>
      </c>
      <c r="B432" t="str">
        <f>VLOOKUP($A432,'ECOMMERS SALES'!$1:$500,MATCH('vlookup match'!B$1,ECOMMERS_SALES[#Headers],0))</f>
        <v>08-03-2026</v>
      </c>
      <c r="C432" t="str">
        <f>VLOOKUP($A432,'ECOMMERS SALES'!$1:$500,MATCH('vlookup match'!C$1,ECOMMERS_SALES[#Headers],0))</f>
        <v>Laptop</v>
      </c>
      <c r="D432" t="str">
        <f>VLOOKUP($A432,'ECOMMERS SALES'!$1:$500,MATCH('vlookup match'!D$1,ECOMMERS_SALES[#Headers],0))</f>
        <v>Electronics</v>
      </c>
      <c r="E432">
        <f>VLOOKUP($A432,'ECOMMERS SALES'!$1:$500,MATCH('vlookup match'!E$1,ECOMMERS_SALES[#Headers],0))</f>
        <v>2</v>
      </c>
      <c r="F432">
        <f>VLOOKUP($A432,'ECOMMERS SALES'!$1:$500,MATCH('vlookup match'!F$1,ECOMMERS_SALES[#Headers],0))</f>
        <v>45680</v>
      </c>
      <c r="G432">
        <f>VLOOKUP($A432,'ECOMMERS SALES'!$1:$500,MATCH('vlookup match'!G$1,ECOMMERS_SALES[#Headers],0))</f>
        <v>91360</v>
      </c>
      <c r="H432" t="str">
        <f>VLOOKUP($A432,'ECOMMERS SALES'!$1:$500,MATCH('vlookup match'!H$1,ECOMMERS_SALES[#Headers],0))</f>
        <v>Chennai</v>
      </c>
      <c r="I432" t="str">
        <f>VLOOKUP($A432,'ECOMMERS SALES'!$1:$500,MATCH('vlookup match'!I$1,ECOMMERS_SALES[#Headers],0))</f>
        <v>Premimum</v>
      </c>
      <c r="J432" t="str">
        <f>VLOOKUP($A432,'ECOMMERS SALES'!$1:$500,MATCH('vlookup match'!J$1,ECOMMERS_SALES[#Headers],0))</f>
        <v>UPI</v>
      </c>
    </row>
    <row r="433" spans="1:10" x14ac:dyDescent="0.35">
      <c r="A433">
        <v>1432</v>
      </c>
      <c r="B433" t="str">
        <f>VLOOKUP($A433,'ECOMMERS SALES'!$1:$500,MATCH('vlookup match'!B$1,ECOMMERS_SALES[#Headers],0))</f>
        <v>09-03-2026</v>
      </c>
      <c r="C433" t="str">
        <f>VLOOKUP($A433,'ECOMMERS SALES'!$1:$500,MATCH('vlookup match'!C$1,ECOMMERS_SALES[#Headers],0))</f>
        <v>Headphones</v>
      </c>
      <c r="D433" t="str">
        <f>VLOOKUP($A433,'ECOMMERS SALES'!$1:$500,MATCH('vlookup match'!D$1,ECOMMERS_SALES[#Headers],0))</f>
        <v>Electronics</v>
      </c>
      <c r="E433">
        <f>VLOOKUP($A433,'ECOMMERS SALES'!$1:$500,MATCH('vlookup match'!E$1,ECOMMERS_SALES[#Headers],0))</f>
        <v>1</v>
      </c>
      <c r="F433">
        <f>VLOOKUP($A433,'ECOMMERS SALES'!$1:$500,MATCH('vlookup match'!F$1,ECOMMERS_SALES[#Headers],0))</f>
        <v>3500</v>
      </c>
      <c r="G433">
        <f>VLOOKUP($A433,'ECOMMERS SALES'!$1:$500,MATCH('vlookup match'!G$1,ECOMMERS_SALES[#Headers],0))</f>
        <v>3500</v>
      </c>
      <c r="H433" t="str">
        <f>VLOOKUP($A433,'ECOMMERS SALES'!$1:$500,MATCH('vlookup match'!H$1,ECOMMERS_SALES[#Headers],0))</f>
        <v>Hyderabad</v>
      </c>
      <c r="I433" t="str">
        <f>VLOOKUP($A433,'ECOMMERS SALES'!$1:$500,MATCH('vlookup match'!I$1,ECOMMERS_SALES[#Headers],0))</f>
        <v>Premimum</v>
      </c>
      <c r="J433" t="str">
        <f>VLOOKUP($A433,'ECOMMERS SALES'!$1:$500,MATCH('vlookup match'!J$1,ECOMMERS_SALES[#Headers],0))</f>
        <v>UPI</v>
      </c>
    </row>
    <row r="434" spans="1:10" x14ac:dyDescent="0.35">
      <c r="A434">
        <v>1433</v>
      </c>
      <c r="B434" t="str">
        <f>VLOOKUP($A434,'ECOMMERS SALES'!$1:$500,MATCH('vlookup match'!B$1,ECOMMERS_SALES[#Headers],0))</f>
        <v>10-03-2026</v>
      </c>
      <c r="C434" t="str">
        <f>VLOOKUP($A434,'ECOMMERS SALES'!$1:$500,MATCH('vlookup match'!C$1,ECOMMERS_SALES[#Headers],0))</f>
        <v>Shoes</v>
      </c>
      <c r="D434" t="str">
        <f>VLOOKUP($A434,'ECOMMERS SALES'!$1:$500,MATCH('vlookup match'!D$1,ECOMMERS_SALES[#Headers],0))</f>
        <v>Fashion</v>
      </c>
      <c r="E434">
        <f>VLOOKUP($A434,'ECOMMERS SALES'!$1:$500,MATCH('vlookup match'!E$1,ECOMMERS_SALES[#Headers],0))</f>
        <v>1</v>
      </c>
      <c r="F434">
        <f>VLOOKUP($A434,'ECOMMERS SALES'!$1:$500,MATCH('vlookup match'!F$1,ECOMMERS_SALES[#Headers],0))</f>
        <v>2356</v>
      </c>
      <c r="G434">
        <f>VLOOKUP($A434,'ECOMMERS SALES'!$1:$500,MATCH('vlookup match'!G$1,ECOMMERS_SALES[#Headers],0))</f>
        <v>2356</v>
      </c>
      <c r="H434" t="str">
        <f>VLOOKUP($A434,'ECOMMERS SALES'!$1:$500,MATCH('vlookup match'!H$1,ECOMMERS_SALES[#Headers],0))</f>
        <v>Hyderabad</v>
      </c>
      <c r="I434" t="str">
        <f>VLOOKUP($A434,'ECOMMERS SALES'!$1:$500,MATCH('vlookup match'!I$1,ECOMMERS_SALES[#Headers],0))</f>
        <v>Returning</v>
      </c>
      <c r="J434" t="str">
        <f>VLOOKUP($A434,'ECOMMERS SALES'!$1:$500,MATCH('vlookup match'!J$1,ECOMMERS_SALES[#Headers],0))</f>
        <v>COD</v>
      </c>
    </row>
    <row r="435" spans="1:10" x14ac:dyDescent="0.35">
      <c r="A435">
        <v>1434</v>
      </c>
      <c r="B435" t="str">
        <f>VLOOKUP($A435,'ECOMMERS SALES'!$1:$500,MATCH('vlookup match'!B$1,ECOMMERS_SALES[#Headers],0))</f>
        <v>11-03-2026</v>
      </c>
      <c r="C435" t="str">
        <f>VLOOKUP($A435,'ECOMMERS SALES'!$1:$500,MATCH('vlookup match'!C$1,ECOMMERS_SALES[#Headers],0))</f>
        <v>Watch</v>
      </c>
      <c r="D435" t="str">
        <f>VLOOKUP($A435,'ECOMMERS SALES'!$1:$500,MATCH('vlookup match'!D$1,ECOMMERS_SALES[#Headers],0))</f>
        <v>Other</v>
      </c>
      <c r="E435">
        <f>VLOOKUP($A435,'ECOMMERS SALES'!$1:$500,MATCH('vlookup match'!E$1,ECOMMERS_SALES[#Headers],0))</f>
        <v>5</v>
      </c>
      <c r="F435">
        <f>VLOOKUP($A435,'ECOMMERS SALES'!$1:$500,MATCH('vlookup match'!F$1,ECOMMERS_SALES[#Headers],0))</f>
        <v>7458</v>
      </c>
      <c r="G435">
        <f>VLOOKUP($A435,'ECOMMERS SALES'!$1:$500,MATCH('vlookup match'!G$1,ECOMMERS_SALES[#Headers],0))</f>
        <v>37290</v>
      </c>
      <c r="H435" t="str">
        <f>VLOOKUP($A435,'ECOMMERS SALES'!$1:$500,MATCH('vlookup match'!H$1,ECOMMERS_SALES[#Headers],0))</f>
        <v>Bangalore</v>
      </c>
      <c r="I435" t="str">
        <f>VLOOKUP($A435,'ECOMMERS SALES'!$1:$500,MATCH('vlookup match'!I$1,ECOMMERS_SALES[#Headers],0))</f>
        <v>Premimum</v>
      </c>
      <c r="J435" t="str">
        <f>VLOOKUP($A435,'ECOMMERS SALES'!$1:$500,MATCH('vlookup match'!J$1,ECOMMERS_SALES[#Headers],0))</f>
        <v>UPI</v>
      </c>
    </row>
    <row r="436" spans="1:10" x14ac:dyDescent="0.35">
      <c r="A436">
        <v>1435</v>
      </c>
      <c r="B436" t="str">
        <f>VLOOKUP($A436,'ECOMMERS SALES'!$1:$500,MATCH('vlookup match'!B$1,ECOMMERS_SALES[#Headers],0))</f>
        <v>12-03-2026</v>
      </c>
      <c r="C436" t="str">
        <f>VLOOKUP($A436,'ECOMMERS SALES'!$1:$500,MATCH('vlookup match'!C$1,ECOMMERS_SALES[#Headers],0))</f>
        <v>Mobile Case</v>
      </c>
      <c r="D436" t="str">
        <f>VLOOKUP($A436,'ECOMMERS SALES'!$1:$500,MATCH('vlookup match'!D$1,ECOMMERS_SALES[#Headers],0))</f>
        <v>Other</v>
      </c>
      <c r="E436">
        <f>VLOOKUP($A436,'ECOMMERS SALES'!$1:$500,MATCH('vlookup match'!E$1,ECOMMERS_SALES[#Headers],0))</f>
        <v>3</v>
      </c>
      <c r="F436">
        <f>VLOOKUP($A436,'ECOMMERS SALES'!$1:$500,MATCH('vlookup match'!F$1,ECOMMERS_SALES[#Headers],0))</f>
        <v>365</v>
      </c>
      <c r="G436">
        <f>VLOOKUP($A436,'ECOMMERS SALES'!$1:$500,MATCH('vlookup match'!G$1,ECOMMERS_SALES[#Headers],0))</f>
        <v>1095</v>
      </c>
      <c r="H436" t="str">
        <f>VLOOKUP($A436,'ECOMMERS SALES'!$1:$500,MATCH('vlookup match'!H$1,ECOMMERS_SALES[#Headers],0))</f>
        <v>Bangalore</v>
      </c>
      <c r="I436" t="str">
        <f>VLOOKUP($A436,'ECOMMERS SALES'!$1:$500,MATCH('vlookup match'!I$1,ECOMMERS_SALES[#Headers],0))</f>
        <v>Returning</v>
      </c>
      <c r="J436" t="str">
        <f>VLOOKUP($A436,'ECOMMERS SALES'!$1:$500,MATCH('vlookup match'!J$1,ECOMMERS_SALES[#Headers],0))</f>
        <v>UPI</v>
      </c>
    </row>
    <row r="437" spans="1:10" x14ac:dyDescent="0.35">
      <c r="A437">
        <v>1436</v>
      </c>
      <c r="B437" t="str">
        <f>VLOOKUP($A437,'ECOMMERS SALES'!$1:$500,MATCH('vlookup match'!B$1,ECOMMERS_SALES[#Headers],0))</f>
        <v>13-03-2026</v>
      </c>
      <c r="C437" t="str">
        <f>VLOOKUP($A437,'ECOMMERS SALES'!$1:$500,MATCH('vlookup match'!C$1,ECOMMERS_SALES[#Headers],0))</f>
        <v>Tablet</v>
      </c>
      <c r="D437" t="str">
        <f>VLOOKUP($A437,'ECOMMERS SALES'!$1:$500,MATCH('vlookup match'!D$1,ECOMMERS_SALES[#Headers],0))</f>
        <v>Electronics</v>
      </c>
      <c r="E437">
        <f>VLOOKUP($A437,'ECOMMERS SALES'!$1:$500,MATCH('vlookup match'!E$1,ECOMMERS_SALES[#Headers],0))</f>
        <v>2</v>
      </c>
      <c r="F437">
        <f>VLOOKUP($A437,'ECOMMERS SALES'!$1:$500,MATCH('vlookup match'!F$1,ECOMMERS_SALES[#Headers],0))</f>
        <v>20872</v>
      </c>
      <c r="G437">
        <f>VLOOKUP($A437,'ECOMMERS SALES'!$1:$500,MATCH('vlookup match'!G$1,ECOMMERS_SALES[#Headers],0))</f>
        <v>41744</v>
      </c>
      <c r="H437" t="str">
        <f>VLOOKUP($A437,'ECOMMERS SALES'!$1:$500,MATCH('vlookup match'!H$1,ECOMMERS_SALES[#Headers],0))</f>
        <v>Bangalore</v>
      </c>
      <c r="I437" t="str">
        <f>VLOOKUP($A437,'ECOMMERS SALES'!$1:$500,MATCH('vlookup match'!I$1,ECOMMERS_SALES[#Headers],0))</f>
        <v>Premimum</v>
      </c>
      <c r="J437" t="str">
        <f>VLOOKUP($A437,'ECOMMERS SALES'!$1:$500,MATCH('vlookup match'!J$1,ECOMMERS_SALES[#Headers],0))</f>
        <v>Card</v>
      </c>
    </row>
    <row r="438" spans="1:10" x14ac:dyDescent="0.35">
      <c r="A438">
        <v>1437</v>
      </c>
      <c r="B438" t="str">
        <f>VLOOKUP($A438,'ECOMMERS SALES'!$1:$500,MATCH('vlookup match'!B$1,ECOMMERS_SALES[#Headers],0))</f>
        <v>14-03-2026</v>
      </c>
      <c r="C438" t="str">
        <f>VLOOKUP($A438,'ECOMMERS SALES'!$1:$500,MATCH('vlookup match'!C$1,ECOMMERS_SALES[#Headers],0))</f>
        <v>Book</v>
      </c>
      <c r="D438" t="str">
        <f>VLOOKUP($A438,'ECOMMERS SALES'!$1:$500,MATCH('vlookup match'!D$1,ECOMMERS_SALES[#Headers],0))</f>
        <v>Books</v>
      </c>
      <c r="E438">
        <f>VLOOKUP($A438,'ECOMMERS SALES'!$1:$500,MATCH('vlookup match'!E$1,ECOMMERS_SALES[#Headers],0))</f>
        <v>5</v>
      </c>
      <c r="F438">
        <f>VLOOKUP($A438,'ECOMMERS SALES'!$1:$500,MATCH('vlookup match'!F$1,ECOMMERS_SALES[#Headers],0))</f>
        <v>987</v>
      </c>
      <c r="G438">
        <f>VLOOKUP($A438,'ECOMMERS SALES'!$1:$500,MATCH('vlookup match'!G$1,ECOMMERS_SALES[#Headers],0))</f>
        <v>4935</v>
      </c>
      <c r="H438" t="str">
        <f>VLOOKUP($A438,'ECOMMERS SALES'!$1:$500,MATCH('vlookup match'!H$1,ECOMMERS_SALES[#Headers],0))</f>
        <v>Pune</v>
      </c>
      <c r="I438" t="str">
        <f>VLOOKUP($A438,'ECOMMERS SALES'!$1:$500,MATCH('vlookup match'!I$1,ECOMMERS_SALES[#Headers],0))</f>
        <v>Premimum</v>
      </c>
      <c r="J438" t="str">
        <f>VLOOKUP($A438,'ECOMMERS SALES'!$1:$500,MATCH('vlookup match'!J$1,ECOMMERS_SALES[#Headers],0))</f>
        <v>UPI</v>
      </c>
    </row>
    <row r="439" spans="1:10" x14ac:dyDescent="0.35">
      <c r="A439">
        <v>1438</v>
      </c>
      <c r="B439" t="str">
        <f>VLOOKUP($A439,'ECOMMERS SALES'!$1:$500,MATCH('vlookup match'!B$1,ECOMMERS_SALES[#Headers],0))</f>
        <v>15-03-2026</v>
      </c>
      <c r="C439" t="str">
        <f>VLOOKUP($A439,'ECOMMERS SALES'!$1:$500,MATCH('vlookup match'!C$1,ECOMMERS_SALES[#Headers],0))</f>
        <v>Backpack</v>
      </c>
      <c r="D439" t="str">
        <f>VLOOKUP($A439,'ECOMMERS SALES'!$1:$500,MATCH('vlookup match'!D$1,ECOMMERS_SALES[#Headers],0))</f>
        <v>Fashion</v>
      </c>
      <c r="E439">
        <f>VLOOKUP($A439,'ECOMMERS SALES'!$1:$500,MATCH('vlookup match'!E$1,ECOMMERS_SALES[#Headers],0))</f>
        <v>2</v>
      </c>
      <c r="F439">
        <f>VLOOKUP($A439,'ECOMMERS SALES'!$1:$500,MATCH('vlookup match'!F$1,ECOMMERS_SALES[#Headers],0))</f>
        <v>1861</v>
      </c>
      <c r="G439">
        <f>VLOOKUP($A439,'ECOMMERS SALES'!$1:$500,MATCH('vlookup match'!G$1,ECOMMERS_SALES[#Headers],0))</f>
        <v>3722</v>
      </c>
      <c r="H439" t="str">
        <f>VLOOKUP($A439,'ECOMMERS SALES'!$1:$500,MATCH('vlookup match'!H$1,ECOMMERS_SALES[#Headers],0))</f>
        <v>Mumbai</v>
      </c>
      <c r="I439" t="str">
        <f>VLOOKUP($A439,'ECOMMERS SALES'!$1:$500,MATCH('vlookup match'!I$1,ECOMMERS_SALES[#Headers],0))</f>
        <v>Premimum</v>
      </c>
      <c r="J439" t="str">
        <f>VLOOKUP($A439,'ECOMMERS SALES'!$1:$500,MATCH('vlookup match'!J$1,ECOMMERS_SALES[#Headers],0))</f>
        <v>COD</v>
      </c>
    </row>
    <row r="440" spans="1:10" x14ac:dyDescent="0.35">
      <c r="A440">
        <v>1439</v>
      </c>
      <c r="B440" t="str">
        <f>VLOOKUP($A440,'ECOMMERS SALES'!$1:$500,MATCH('vlookup match'!B$1,ECOMMERS_SALES[#Headers],0))</f>
        <v>16-03-2026</v>
      </c>
      <c r="C440" t="str">
        <f>VLOOKUP($A440,'ECOMMERS SALES'!$1:$500,MATCH('vlookup match'!C$1,ECOMMERS_SALES[#Headers],0))</f>
        <v>Smartwatch</v>
      </c>
      <c r="D440" t="str">
        <f>VLOOKUP($A440,'ECOMMERS SALES'!$1:$500,MATCH('vlookup match'!D$1,ECOMMERS_SALES[#Headers],0))</f>
        <v>Electronics</v>
      </c>
      <c r="E440">
        <f>VLOOKUP($A440,'ECOMMERS SALES'!$1:$500,MATCH('vlookup match'!E$1,ECOMMERS_SALES[#Headers],0))</f>
        <v>2</v>
      </c>
      <c r="F440">
        <f>VLOOKUP($A440,'ECOMMERS SALES'!$1:$500,MATCH('vlookup match'!F$1,ECOMMERS_SALES[#Headers],0))</f>
        <v>7608</v>
      </c>
      <c r="G440">
        <f>VLOOKUP($A440,'ECOMMERS SALES'!$1:$500,MATCH('vlookup match'!G$1,ECOMMERS_SALES[#Headers],0))</f>
        <v>15216</v>
      </c>
      <c r="H440" t="str">
        <f>VLOOKUP($A440,'ECOMMERS SALES'!$1:$500,MATCH('vlookup match'!H$1,ECOMMERS_SALES[#Headers],0))</f>
        <v>Hyderabad</v>
      </c>
      <c r="I440" t="str">
        <f>VLOOKUP($A440,'ECOMMERS SALES'!$1:$500,MATCH('vlookup match'!I$1,ECOMMERS_SALES[#Headers],0))</f>
        <v>New</v>
      </c>
      <c r="J440" t="str">
        <f>VLOOKUP($A440,'ECOMMERS SALES'!$1:$500,MATCH('vlookup match'!J$1,ECOMMERS_SALES[#Headers],0))</f>
        <v>COD</v>
      </c>
    </row>
    <row r="441" spans="1:10" x14ac:dyDescent="0.35">
      <c r="A441">
        <v>1440</v>
      </c>
      <c r="B441" t="str">
        <f>VLOOKUP($A441,'ECOMMERS SALES'!$1:$500,MATCH('vlookup match'!B$1,ECOMMERS_SALES[#Headers],0))</f>
        <v>17-03-2026</v>
      </c>
      <c r="C441" t="str">
        <f>VLOOKUP($A441,'ECOMMERS SALES'!$1:$500,MATCH('vlookup match'!C$1,ECOMMERS_SALES[#Headers],0))</f>
        <v>Water Bottle</v>
      </c>
      <c r="D441" t="str">
        <f>VLOOKUP($A441,'ECOMMERS SALES'!$1:$500,MATCH('vlookup match'!D$1,ECOMMERS_SALES[#Headers],0))</f>
        <v>Other</v>
      </c>
      <c r="E441">
        <f>VLOOKUP($A441,'ECOMMERS SALES'!$1:$500,MATCH('vlookup match'!E$1,ECOMMERS_SALES[#Headers],0))</f>
        <v>3</v>
      </c>
      <c r="F441">
        <f>VLOOKUP($A441,'ECOMMERS SALES'!$1:$500,MATCH('vlookup match'!F$1,ECOMMERS_SALES[#Headers],0))</f>
        <v>672</v>
      </c>
      <c r="G441">
        <f>VLOOKUP($A441,'ECOMMERS SALES'!$1:$500,MATCH('vlookup match'!G$1,ECOMMERS_SALES[#Headers],0))</f>
        <v>2016</v>
      </c>
      <c r="H441" t="str">
        <f>VLOOKUP($A441,'ECOMMERS SALES'!$1:$500,MATCH('vlookup match'!H$1,ECOMMERS_SALES[#Headers],0))</f>
        <v>Bangalore</v>
      </c>
      <c r="I441" t="str">
        <f>VLOOKUP($A441,'ECOMMERS SALES'!$1:$500,MATCH('vlookup match'!I$1,ECOMMERS_SALES[#Headers],0))</f>
        <v>New</v>
      </c>
      <c r="J441" t="str">
        <f>VLOOKUP($A441,'ECOMMERS SALES'!$1:$500,MATCH('vlookup match'!J$1,ECOMMERS_SALES[#Headers],0))</f>
        <v>COD</v>
      </c>
    </row>
    <row r="442" spans="1:10" x14ac:dyDescent="0.35">
      <c r="A442">
        <v>1441</v>
      </c>
      <c r="B442" t="str">
        <f>VLOOKUP($A442,'ECOMMERS SALES'!$1:$500,MATCH('vlookup match'!B$1,ECOMMERS_SALES[#Headers],0))</f>
        <v>18-03-2026</v>
      </c>
      <c r="C442" t="str">
        <f>VLOOKUP($A442,'ECOMMERS SALES'!$1:$500,MATCH('vlookup match'!C$1,ECOMMERS_SALES[#Headers],0))</f>
        <v>Laptop</v>
      </c>
      <c r="D442" t="str">
        <f>VLOOKUP($A442,'ECOMMERS SALES'!$1:$500,MATCH('vlookup match'!D$1,ECOMMERS_SALES[#Headers],0))</f>
        <v>Electronics</v>
      </c>
      <c r="E442">
        <f>VLOOKUP($A442,'ECOMMERS SALES'!$1:$500,MATCH('vlookup match'!E$1,ECOMMERS_SALES[#Headers],0))</f>
        <v>2</v>
      </c>
      <c r="F442">
        <f>VLOOKUP($A442,'ECOMMERS SALES'!$1:$500,MATCH('vlookup match'!F$1,ECOMMERS_SALES[#Headers],0))</f>
        <v>53902</v>
      </c>
      <c r="G442">
        <f>VLOOKUP($A442,'ECOMMERS SALES'!$1:$500,MATCH('vlookup match'!G$1,ECOMMERS_SALES[#Headers],0))</f>
        <v>107804</v>
      </c>
      <c r="H442" t="str">
        <f>VLOOKUP($A442,'ECOMMERS SALES'!$1:$500,MATCH('vlookup match'!H$1,ECOMMERS_SALES[#Headers],0))</f>
        <v>Bangalore</v>
      </c>
      <c r="I442" t="str">
        <f>VLOOKUP($A442,'ECOMMERS SALES'!$1:$500,MATCH('vlookup match'!I$1,ECOMMERS_SALES[#Headers],0))</f>
        <v>Returning</v>
      </c>
      <c r="J442" t="str">
        <f>VLOOKUP($A442,'ECOMMERS SALES'!$1:$500,MATCH('vlookup match'!J$1,ECOMMERS_SALES[#Headers],0))</f>
        <v>COD</v>
      </c>
    </row>
    <row r="443" spans="1:10" x14ac:dyDescent="0.35">
      <c r="A443">
        <v>1442</v>
      </c>
      <c r="B443" t="str">
        <f>VLOOKUP($A443,'ECOMMERS SALES'!$1:$500,MATCH('vlookup match'!B$1,ECOMMERS_SALES[#Headers],0))</f>
        <v>19-03-2026</v>
      </c>
      <c r="C443" t="str">
        <f>VLOOKUP($A443,'ECOMMERS SALES'!$1:$500,MATCH('vlookup match'!C$1,ECOMMERS_SALES[#Headers],0))</f>
        <v>Headphones</v>
      </c>
      <c r="D443" t="str">
        <f>VLOOKUP($A443,'ECOMMERS SALES'!$1:$500,MATCH('vlookup match'!D$1,ECOMMERS_SALES[#Headers],0))</f>
        <v>Electronics</v>
      </c>
      <c r="E443">
        <f>VLOOKUP($A443,'ECOMMERS SALES'!$1:$500,MATCH('vlookup match'!E$1,ECOMMERS_SALES[#Headers],0))</f>
        <v>3</v>
      </c>
      <c r="F443">
        <f>VLOOKUP($A443,'ECOMMERS SALES'!$1:$500,MATCH('vlookup match'!F$1,ECOMMERS_SALES[#Headers],0))</f>
        <v>3381</v>
      </c>
      <c r="G443">
        <f>VLOOKUP($A443,'ECOMMERS SALES'!$1:$500,MATCH('vlookup match'!G$1,ECOMMERS_SALES[#Headers],0))</f>
        <v>10143</v>
      </c>
      <c r="H443" t="str">
        <f>VLOOKUP($A443,'ECOMMERS SALES'!$1:$500,MATCH('vlookup match'!H$1,ECOMMERS_SALES[#Headers],0))</f>
        <v>Delhi</v>
      </c>
      <c r="I443" t="str">
        <f>VLOOKUP($A443,'ECOMMERS SALES'!$1:$500,MATCH('vlookup match'!I$1,ECOMMERS_SALES[#Headers],0))</f>
        <v>New</v>
      </c>
      <c r="J443" t="str">
        <f>VLOOKUP($A443,'ECOMMERS SALES'!$1:$500,MATCH('vlookup match'!J$1,ECOMMERS_SALES[#Headers],0))</f>
        <v>COD</v>
      </c>
    </row>
    <row r="444" spans="1:10" x14ac:dyDescent="0.35">
      <c r="A444">
        <v>1443</v>
      </c>
      <c r="B444" t="str">
        <f>VLOOKUP($A444,'ECOMMERS SALES'!$1:$500,MATCH('vlookup match'!B$1,ECOMMERS_SALES[#Headers],0))</f>
        <v>20-03-2026</v>
      </c>
      <c r="C444" t="str">
        <f>VLOOKUP($A444,'ECOMMERS SALES'!$1:$500,MATCH('vlookup match'!C$1,ECOMMERS_SALES[#Headers],0))</f>
        <v>Shoes</v>
      </c>
      <c r="D444" t="str">
        <f>VLOOKUP($A444,'ECOMMERS SALES'!$1:$500,MATCH('vlookup match'!D$1,ECOMMERS_SALES[#Headers],0))</f>
        <v>Fashion</v>
      </c>
      <c r="E444">
        <f>VLOOKUP($A444,'ECOMMERS SALES'!$1:$500,MATCH('vlookup match'!E$1,ECOMMERS_SALES[#Headers],0))</f>
        <v>2</v>
      </c>
      <c r="F444">
        <f>VLOOKUP($A444,'ECOMMERS SALES'!$1:$500,MATCH('vlookup match'!F$1,ECOMMERS_SALES[#Headers],0))</f>
        <v>3696</v>
      </c>
      <c r="G444">
        <f>VLOOKUP($A444,'ECOMMERS SALES'!$1:$500,MATCH('vlookup match'!G$1,ECOMMERS_SALES[#Headers],0))</f>
        <v>7392</v>
      </c>
      <c r="H444" t="str">
        <f>VLOOKUP($A444,'ECOMMERS SALES'!$1:$500,MATCH('vlookup match'!H$1,ECOMMERS_SALES[#Headers],0))</f>
        <v>Delhi</v>
      </c>
      <c r="I444" t="str">
        <f>VLOOKUP($A444,'ECOMMERS SALES'!$1:$500,MATCH('vlookup match'!I$1,ECOMMERS_SALES[#Headers],0))</f>
        <v>New</v>
      </c>
      <c r="J444" t="str">
        <f>VLOOKUP($A444,'ECOMMERS SALES'!$1:$500,MATCH('vlookup match'!J$1,ECOMMERS_SALES[#Headers],0))</f>
        <v>COD</v>
      </c>
    </row>
    <row r="445" spans="1:10" x14ac:dyDescent="0.35">
      <c r="A445">
        <v>1444</v>
      </c>
      <c r="B445" t="str">
        <f>VLOOKUP($A445,'ECOMMERS SALES'!$1:$500,MATCH('vlookup match'!B$1,ECOMMERS_SALES[#Headers],0))</f>
        <v>21-03-2026</v>
      </c>
      <c r="C445" t="str">
        <f>VLOOKUP($A445,'ECOMMERS SALES'!$1:$500,MATCH('vlookup match'!C$1,ECOMMERS_SALES[#Headers],0))</f>
        <v>Watch</v>
      </c>
      <c r="D445" t="str">
        <f>VLOOKUP($A445,'ECOMMERS SALES'!$1:$500,MATCH('vlookup match'!D$1,ECOMMERS_SALES[#Headers],0))</f>
        <v>Other</v>
      </c>
      <c r="E445">
        <f>VLOOKUP($A445,'ECOMMERS SALES'!$1:$500,MATCH('vlookup match'!E$1,ECOMMERS_SALES[#Headers],0))</f>
        <v>4</v>
      </c>
      <c r="F445">
        <f>VLOOKUP($A445,'ECOMMERS SALES'!$1:$500,MATCH('vlookup match'!F$1,ECOMMERS_SALES[#Headers],0))</f>
        <v>19559</v>
      </c>
      <c r="G445">
        <f>VLOOKUP($A445,'ECOMMERS SALES'!$1:$500,MATCH('vlookup match'!G$1,ECOMMERS_SALES[#Headers],0))</f>
        <v>78236</v>
      </c>
      <c r="H445" t="str">
        <f>VLOOKUP($A445,'ECOMMERS SALES'!$1:$500,MATCH('vlookup match'!H$1,ECOMMERS_SALES[#Headers],0))</f>
        <v>Hyderabad</v>
      </c>
      <c r="I445" t="str">
        <f>VLOOKUP($A445,'ECOMMERS SALES'!$1:$500,MATCH('vlookup match'!I$1,ECOMMERS_SALES[#Headers],0))</f>
        <v>New</v>
      </c>
      <c r="J445" t="str">
        <f>VLOOKUP($A445,'ECOMMERS SALES'!$1:$500,MATCH('vlookup match'!J$1,ECOMMERS_SALES[#Headers],0))</f>
        <v>Card</v>
      </c>
    </row>
    <row r="446" spans="1:10" x14ac:dyDescent="0.35">
      <c r="A446">
        <v>1445</v>
      </c>
      <c r="B446" t="str">
        <f>VLOOKUP($A446,'ECOMMERS SALES'!$1:$500,MATCH('vlookup match'!B$1,ECOMMERS_SALES[#Headers],0))</f>
        <v>22-03-2026</v>
      </c>
      <c r="C446" t="str">
        <f>VLOOKUP($A446,'ECOMMERS SALES'!$1:$500,MATCH('vlookup match'!C$1,ECOMMERS_SALES[#Headers],0))</f>
        <v>Mobile Case</v>
      </c>
      <c r="D446" t="str">
        <f>VLOOKUP($A446,'ECOMMERS SALES'!$1:$500,MATCH('vlookup match'!D$1,ECOMMERS_SALES[#Headers],0))</f>
        <v>Other</v>
      </c>
      <c r="E446">
        <f>VLOOKUP($A446,'ECOMMERS SALES'!$1:$500,MATCH('vlookup match'!E$1,ECOMMERS_SALES[#Headers],0))</f>
        <v>5</v>
      </c>
      <c r="F446">
        <f>VLOOKUP($A446,'ECOMMERS SALES'!$1:$500,MATCH('vlookup match'!F$1,ECOMMERS_SALES[#Headers],0))</f>
        <v>503</v>
      </c>
      <c r="G446">
        <f>VLOOKUP($A446,'ECOMMERS SALES'!$1:$500,MATCH('vlookup match'!G$1,ECOMMERS_SALES[#Headers],0))</f>
        <v>2515</v>
      </c>
      <c r="H446" t="str">
        <f>VLOOKUP($A446,'ECOMMERS SALES'!$1:$500,MATCH('vlookup match'!H$1,ECOMMERS_SALES[#Headers],0))</f>
        <v>Mumbai</v>
      </c>
      <c r="I446" t="str">
        <f>VLOOKUP($A446,'ECOMMERS SALES'!$1:$500,MATCH('vlookup match'!I$1,ECOMMERS_SALES[#Headers],0))</f>
        <v>New</v>
      </c>
      <c r="J446" t="str">
        <f>VLOOKUP($A446,'ECOMMERS SALES'!$1:$500,MATCH('vlookup match'!J$1,ECOMMERS_SALES[#Headers],0))</f>
        <v>Card</v>
      </c>
    </row>
    <row r="447" spans="1:10" x14ac:dyDescent="0.35">
      <c r="A447">
        <v>1446</v>
      </c>
      <c r="B447" t="str">
        <f>VLOOKUP($A447,'ECOMMERS SALES'!$1:$500,MATCH('vlookup match'!B$1,ECOMMERS_SALES[#Headers],0))</f>
        <v>23-03-2026</v>
      </c>
      <c r="C447" t="str">
        <f>VLOOKUP($A447,'ECOMMERS SALES'!$1:$500,MATCH('vlookup match'!C$1,ECOMMERS_SALES[#Headers],0))</f>
        <v>Tablet</v>
      </c>
      <c r="D447" t="str">
        <f>VLOOKUP($A447,'ECOMMERS SALES'!$1:$500,MATCH('vlookup match'!D$1,ECOMMERS_SALES[#Headers],0))</f>
        <v>Electronics</v>
      </c>
      <c r="E447">
        <f>VLOOKUP($A447,'ECOMMERS SALES'!$1:$500,MATCH('vlookup match'!E$1,ECOMMERS_SALES[#Headers],0))</f>
        <v>1</v>
      </c>
      <c r="F447">
        <f>VLOOKUP($A447,'ECOMMERS SALES'!$1:$500,MATCH('vlookup match'!F$1,ECOMMERS_SALES[#Headers],0))</f>
        <v>38392</v>
      </c>
      <c r="G447">
        <f>VLOOKUP($A447,'ECOMMERS SALES'!$1:$500,MATCH('vlookup match'!G$1,ECOMMERS_SALES[#Headers],0))</f>
        <v>38392</v>
      </c>
      <c r="H447" t="str">
        <f>VLOOKUP($A447,'ECOMMERS SALES'!$1:$500,MATCH('vlookup match'!H$1,ECOMMERS_SALES[#Headers],0))</f>
        <v>Pune</v>
      </c>
      <c r="I447" t="str">
        <f>VLOOKUP($A447,'ECOMMERS SALES'!$1:$500,MATCH('vlookup match'!I$1,ECOMMERS_SALES[#Headers],0))</f>
        <v>New</v>
      </c>
      <c r="J447" t="str">
        <f>VLOOKUP($A447,'ECOMMERS SALES'!$1:$500,MATCH('vlookup match'!J$1,ECOMMERS_SALES[#Headers],0))</f>
        <v>COD</v>
      </c>
    </row>
    <row r="448" spans="1:10" x14ac:dyDescent="0.35">
      <c r="A448">
        <v>1447</v>
      </c>
      <c r="B448" t="str">
        <f>VLOOKUP($A448,'ECOMMERS SALES'!$1:$500,MATCH('vlookup match'!B$1,ECOMMERS_SALES[#Headers],0))</f>
        <v>24-03-2026</v>
      </c>
      <c r="C448" t="str">
        <f>VLOOKUP($A448,'ECOMMERS SALES'!$1:$500,MATCH('vlookup match'!C$1,ECOMMERS_SALES[#Headers],0))</f>
        <v>Book</v>
      </c>
      <c r="D448" t="str">
        <f>VLOOKUP($A448,'ECOMMERS SALES'!$1:$500,MATCH('vlookup match'!D$1,ECOMMERS_SALES[#Headers],0))</f>
        <v>Books</v>
      </c>
      <c r="E448">
        <f>VLOOKUP($A448,'ECOMMERS SALES'!$1:$500,MATCH('vlookup match'!E$1,ECOMMERS_SALES[#Headers],0))</f>
        <v>4</v>
      </c>
      <c r="F448">
        <f>VLOOKUP($A448,'ECOMMERS SALES'!$1:$500,MATCH('vlookup match'!F$1,ECOMMERS_SALES[#Headers],0))</f>
        <v>113</v>
      </c>
      <c r="G448">
        <f>VLOOKUP($A448,'ECOMMERS SALES'!$1:$500,MATCH('vlookup match'!G$1,ECOMMERS_SALES[#Headers],0))</f>
        <v>452</v>
      </c>
      <c r="H448" t="str">
        <f>VLOOKUP($A448,'ECOMMERS SALES'!$1:$500,MATCH('vlookup match'!H$1,ECOMMERS_SALES[#Headers],0))</f>
        <v>Delhi</v>
      </c>
      <c r="I448" t="str">
        <f>VLOOKUP($A448,'ECOMMERS SALES'!$1:$500,MATCH('vlookup match'!I$1,ECOMMERS_SALES[#Headers],0))</f>
        <v>New</v>
      </c>
      <c r="J448" t="str">
        <f>VLOOKUP($A448,'ECOMMERS SALES'!$1:$500,MATCH('vlookup match'!J$1,ECOMMERS_SALES[#Headers],0))</f>
        <v>Card</v>
      </c>
    </row>
    <row r="449" spans="1:10" x14ac:dyDescent="0.35">
      <c r="A449">
        <v>1448</v>
      </c>
      <c r="B449" t="str">
        <f>VLOOKUP($A449,'ECOMMERS SALES'!$1:$500,MATCH('vlookup match'!B$1,ECOMMERS_SALES[#Headers],0))</f>
        <v>25-03-2026</v>
      </c>
      <c r="C449" t="str">
        <f>VLOOKUP($A449,'ECOMMERS SALES'!$1:$500,MATCH('vlookup match'!C$1,ECOMMERS_SALES[#Headers],0))</f>
        <v>Backpack</v>
      </c>
      <c r="D449" t="str">
        <f>VLOOKUP($A449,'ECOMMERS SALES'!$1:$500,MATCH('vlookup match'!D$1,ECOMMERS_SALES[#Headers],0))</f>
        <v>Fashion</v>
      </c>
      <c r="E449">
        <f>VLOOKUP($A449,'ECOMMERS SALES'!$1:$500,MATCH('vlookup match'!E$1,ECOMMERS_SALES[#Headers],0))</f>
        <v>5</v>
      </c>
      <c r="F449">
        <f>VLOOKUP($A449,'ECOMMERS SALES'!$1:$500,MATCH('vlookup match'!F$1,ECOMMERS_SALES[#Headers],0))</f>
        <v>684</v>
      </c>
      <c r="G449">
        <f>VLOOKUP($A449,'ECOMMERS SALES'!$1:$500,MATCH('vlookup match'!G$1,ECOMMERS_SALES[#Headers],0))</f>
        <v>3420</v>
      </c>
      <c r="H449" t="str">
        <f>VLOOKUP($A449,'ECOMMERS SALES'!$1:$500,MATCH('vlookup match'!H$1,ECOMMERS_SALES[#Headers],0))</f>
        <v>Hyderabad</v>
      </c>
      <c r="I449" t="str">
        <f>VLOOKUP($A449,'ECOMMERS SALES'!$1:$500,MATCH('vlookup match'!I$1,ECOMMERS_SALES[#Headers],0))</f>
        <v>Returning</v>
      </c>
      <c r="J449" t="str">
        <f>VLOOKUP($A449,'ECOMMERS SALES'!$1:$500,MATCH('vlookup match'!J$1,ECOMMERS_SALES[#Headers],0))</f>
        <v>UPI</v>
      </c>
    </row>
    <row r="450" spans="1:10" x14ac:dyDescent="0.35">
      <c r="A450">
        <v>1449</v>
      </c>
      <c r="B450" t="str">
        <f>VLOOKUP($A450,'ECOMMERS SALES'!$1:$500,MATCH('vlookup match'!B$1,ECOMMERS_SALES[#Headers],0))</f>
        <v>26-03-2026</v>
      </c>
      <c r="C450" t="str">
        <f>VLOOKUP($A450,'ECOMMERS SALES'!$1:$500,MATCH('vlookup match'!C$1,ECOMMERS_SALES[#Headers],0))</f>
        <v>Smartwatch</v>
      </c>
      <c r="D450" t="str">
        <f>VLOOKUP($A450,'ECOMMERS SALES'!$1:$500,MATCH('vlookup match'!D$1,ECOMMERS_SALES[#Headers],0))</f>
        <v>Electronics</v>
      </c>
      <c r="E450">
        <f>VLOOKUP($A450,'ECOMMERS SALES'!$1:$500,MATCH('vlookup match'!E$1,ECOMMERS_SALES[#Headers],0))</f>
        <v>1</v>
      </c>
      <c r="F450">
        <f>VLOOKUP($A450,'ECOMMERS SALES'!$1:$500,MATCH('vlookup match'!F$1,ECOMMERS_SALES[#Headers],0))</f>
        <v>3574</v>
      </c>
      <c r="G450">
        <f>VLOOKUP($A450,'ECOMMERS SALES'!$1:$500,MATCH('vlookup match'!G$1,ECOMMERS_SALES[#Headers],0))</f>
        <v>3574</v>
      </c>
      <c r="H450" t="str">
        <f>VLOOKUP($A450,'ECOMMERS SALES'!$1:$500,MATCH('vlookup match'!H$1,ECOMMERS_SALES[#Headers],0))</f>
        <v>Chennai</v>
      </c>
      <c r="I450" t="str">
        <f>VLOOKUP($A450,'ECOMMERS SALES'!$1:$500,MATCH('vlookup match'!I$1,ECOMMERS_SALES[#Headers],0))</f>
        <v>New</v>
      </c>
      <c r="J450" t="str">
        <f>VLOOKUP($A450,'ECOMMERS SALES'!$1:$500,MATCH('vlookup match'!J$1,ECOMMERS_SALES[#Headers],0))</f>
        <v>Card</v>
      </c>
    </row>
    <row r="451" spans="1:10" x14ac:dyDescent="0.35">
      <c r="A451">
        <v>1450</v>
      </c>
      <c r="B451" t="str">
        <f>VLOOKUP($A451,'ECOMMERS SALES'!$1:$500,MATCH('vlookup match'!B$1,ECOMMERS_SALES[#Headers],0))</f>
        <v>27-03-2026</v>
      </c>
      <c r="C451" t="str">
        <f>VLOOKUP($A451,'ECOMMERS SALES'!$1:$500,MATCH('vlookup match'!C$1,ECOMMERS_SALES[#Headers],0))</f>
        <v>Water Bottle</v>
      </c>
      <c r="D451" t="str">
        <f>VLOOKUP($A451,'ECOMMERS SALES'!$1:$500,MATCH('vlookup match'!D$1,ECOMMERS_SALES[#Headers],0))</f>
        <v>Other</v>
      </c>
      <c r="E451">
        <f>VLOOKUP($A451,'ECOMMERS SALES'!$1:$500,MATCH('vlookup match'!E$1,ECOMMERS_SALES[#Headers],0))</f>
        <v>5</v>
      </c>
      <c r="F451">
        <f>VLOOKUP($A451,'ECOMMERS SALES'!$1:$500,MATCH('vlookup match'!F$1,ECOMMERS_SALES[#Headers],0))</f>
        <v>779</v>
      </c>
      <c r="G451">
        <f>VLOOKUP($A451,'ECOMMERS SALES'!$1:$500,MATCH('vlookup match'!G$1,ECOMMERS_SALES[#Headers],0))</f>
        <v>3895</v>
      </c>
      <c r="H451" t="str">
        <f>VLOOKUP($A451,'ECOMMERS SALES'!$1:$500,MATCH('vlookup match'!H$1,ECOMMERS_SALES[#Headers],0))</f>
        <v>Hyderabad</v>
      </c>
      <c r="I451" t="str">
        <f>VLOOKUP($A451,'ECOMMERS SALES'!$1:$500,MATCH('vlookup match'!I$1,ECOMMERS_SALES[#Headers],0))</f>
        <v>Premimum</v>
      </c>
      <c r="J451" t="str">
        <f>VLOOKUP($A451,'ECOMMERS SALES'!$1:$500,MATCH('vlookup match'!J$1,ECOMMERS_SALES[#Headers],0))</f>
        <v>COD</v>
      </c>
    </row>
    <row r="452" spans="1:10" x14ac:dyDescent="0.35">
      <c r="A452">
        <v>1451</v>
      </c>
      <c r="B452" t="str">
        <f>VLOOKUP($A452,'ECOMMERS SALES'!$1:$500,MATCH('vlookup match'!B$1,ECOMMERS_SALES[#Headers],0))</f>
        <v>28-03-2026</v>
      </c>
      <c r="C452" t="str">
        <f>VLOOKUP($A452,'ECOMMERS SALES'!$1:$500,MATCH('vlookup match'!C$1,ECOMMERS_SALES[#Headers],0))</f>
        <v>Laptop</v>
      </c>
      <c r="D452" t="str">
        <f>VLOOKUP($A452,'ECOMMERS SALES'!$1:$500,MATCH('vlookup match'!D$1,ECOMMERS_SALES[#Headers],0))</f>
        <v>Electronics</v>
      </c>
      <c r="E452">
        <f>VLOOKUP($A452,'ECOMMERS SALES'!$1:$500,MATCH('vlookup match'!E$1,ECOMMERS_SALES[#Headers],0))</f>
        <v>1</v>
      </c>
      <c r="F452">
        <f>VLOOKUP($A452,'ECOMMERS SALES'!$1:$500,MATCH('vlookup match'!F$1,ECOMMERS_SALES[#Headers],0))</f>
        <v>40358</v>
      </c>
      <c r="G452">
        <f>VLOOKUP($A452,'ECOMMERS SALES'!$1:$500,MATCH('vlookup match'!G$1,ECOMMERS_SALES[#Headers],0))</f>
        <v>40358</v>
      </c>
      <c r="H452" t="str">
        <f>VLOOKUP($A452,'ECOMMERS SALES'!$1:$500,MATCH('vlookup match'!H$1,ECOMMERS_SALES[#Headers],0))</f>
        <v>Hyderabad</v>
      </c>
      <c r="I452" t="str">
        <f>VLOOKUP($A452,'ECOMMERS SALES'!$1:$500,MATCH('vlookup match'!I$1,ECOMMERS_SALES[#Headers],0))</f>
        <v>Premimum</v>
      </c>
      <c r="J452" t="str">
        <f>VLOOKUP($A452,'ECOMMERS SALES'!$1:$500,MATCH('vlookup match'!J$1,ECOMMERS_SALES[#Headers],0))</f>
        <v>UPI</v>
      </c>
    </row>
    <row r="453" spans="1:10" x14ac:dyDescent="0.35">
      <c r="A453">
        <v>1452</v>
      </c>
      <c r="B453" t="str">
        <f>VLOOKUP($A453,'ECOMMERS SALES'!$1:$500,MATCH('vlookup match'!B$1,ECOMMERS_SALES[#Headers],0))</f>
        <v>29-03-2026</v>
      </c>
      <c r="C453" t="str">
        <f>VLOOKUP($A453,'ECOMMERS SALES'!$1:$500,MATCH('vlookup match'!C$1,ECOMMERS_SALES[#Headers],0))</f>
        <v>Headphones</v>
      </c>
      <c r="D453" t="str">
        <f>VLOOKUP($A453,'ECOMMERS SALES'!$1:$500,MATCH('vlookup match'!D$1,ECOMMERS_SALES[#Headers],0))</f>
        <v>Electronics</v>
      </c>
      <c r="E453">
        <f>VLOOKUP($A453,'ECOMMERS SALES'!$1:$500,MATCH('vlookup match'!E$1,ECOMMERS_SALES[#Headers],0))</f>
        <v>3</v>
      </c>
      <c r="F453">
        <f>VLOOKUP($A453,'ECOMMERS SALES'!$1:$500,MATCH('vlookup match'!F$1,ECOMMERS_SALES[#Headers],0))</f>
        <v>3269</v>
      </c>
      <c r="G453">
        <f>VLOOKUP($A453,'ECOMMERS SALES'!$1:$500,MATCH('vlookup match'!G$1,ECOMMERS_SALES[#Headers],0))</f>
        <v>9807</v>
      </c>
      <c r="H453" t="str">
        <f>VLOOKUP($A453,'ECOMMERS SALES'!$1:$500,MATCH('vlookup match'!H$1,ECOMMERS_SALES[#Headers],0))</f>
        <v>Chennai</v>
      </c>
      <c r="I453" t="str">
        <f>VLOOKUP($A453,'ECOMMERS SALES'!$1:$500,MATCH('vlookup match'!I$1,ECOMMERS_SALES[#Headers],0))</f>
        <v>Returning</v>
      </c>
      <c r="J453" t="str">
        <f>VLOOKUP($A453,'ECOMMERS SALES'!$1:$500,MATCH('vlookup match'!J$1,ECOMMERS_SALES[#Headers],0))</f>
        <v>COD</v>
      </c>
    </row>
    <row r="454" spans="1:10" x14ac:dyDescent="0.35">
      <c r="A454">
        <v>1453</v>
      </c>
      <c r="B454" t="str">
        <f>VLOOKUP($A454,'ECOMMERS SALES'!$1:$500,MATCH('vlookup match'!B$1,ECOMMERS_SALES[#Headers],0))</f>
        <v>30-03-2026</v>
      </c>
      <c r="C454" t="str">
        <f>VLOOKUP($A454,'ECOMMERS SALES'!$1:$500,MATCH('vlookup match'!C$1,ECOMMERS_SALES[#Headers],0))</f>
        <v>Shoes</v>
      </c>
      <c r="D454" t="str">
        <f>VLOOKUP($A454,'ECOMMERS SALES'!$1:$500,MATCH('vlookup match'!D$1,ECOMMERS_SALES[#Headers],0))</f>
        <v>Fashion</v>
      </c>
      <c r="E454">
        <f>VLOOKUP($A454,'ECOMMERS SALES'!$1:$500,MATCH('vlookup match'!E$1,ECOMMERS_SALES[#Headers],0))</f>
        <v>1</v>
      </c>
      <c r="F454">
        <f>VLOOKUP($A454,'ECOMMERS SALES'!$1:$500,MATCH('vlookup match'!F$1,ECOMMERS_SALES[#Headers],0))</f>
        <v>2592</v>
      </c>
      <c r="G454">
        <f>VLOOKUP($A454,'ECOMMERS SALES'!$1:$500,MATCH('vlookup match'!G$1,ECOMMERS_SALES[#Headers],0))</f>
        <v>2592</v>
      </c>
      <c r="H454" t="str">
        <f>VLOOKUP($A454,'ECOMMERS SALES'!$1:$500,MATCH('vlookup match'!H$1,ECOMMERS_SALES[#Headers],0))</f>
        <v>Mumbai</v>
      </c>
      <c r="I454" t="str">
        <f>VLOOKUP($A454,'ECOMMERS SALES'!$1:$500,MATCH('vlookup match'!I$1,ECOMMERS_SALES[#Headers],0))</f>
        <v>New</v>
      </c>
      <c r="J454" t="str">
        <f>VLOOKUP($A454,'ECOMMERS SALES'!$1:$500,MATCH('vlookup match'!J$1,ECOMMERS_SALES[#Headers],0))</f>
        <v>COD</v>
      </c>
    </row>
    <row r="455" spans="1:10" x14ac:dyDescent="0.35">
      <c r="A455">
        <v>1454</v>
      </c>
      <c r="B455" t="str">
        <f>VLOOKUP($A455,'ECOMMERS SALES'!$1:$500,MATCH('vlookup match'!B$1,ECOMMERS_SALES[#Headers],0))</f>
        <v>31-03-2026</v>
      </c>
      <c r="C455" t="str">
        <f>VLOOKUP($A455,'ECOMMERS SALES'!$1:$500,MATCH('vlookup match'!C$1,ECOMMERS_SALES[#Headers],0))</f>
        <v>Watch</v>
      </c>
      <c r="D455" t="str">
        <f>VLOOKUP($A455,'ECOMMERS SALES'!$1:$500,MATCH('vlookup match'!D$1,ECOMMERS_SALES[#Headers],0))</f>
        <v>Other</v>
      </c>
      <c r="E455">
        <f>VLOOKUP($A455,'ECOMMERS SALES'!$1:$500,MATCH('vlookup match'!E$1,ECOMMERS_SALES[#Headers],0))</f>
        <v>3</v>
      </c>
      <c r="F455">
        <f>VLOOKUP($A455,'ECOMMERS SALES'!$1:$500,MATCH('vlookup match'!F$1,ECOMMERS_SALES[#Headers],0))</f>
        <v>18529</v>
      </c>
      <c r="G455">
        <f>VLOOKUP($A455,'ECOMMERS SALES'!$1:$500,MATCH('vlookup match'!G$1,ECOMMERS_SALES[#Headers],0))</f>
        <v>55587</v>
      </c>
      <c r="H455" t="str">
        <f>VLOOKUP($A455,'ECOMMERS SALES'!$1:$500,MATCH('vlookup match'!H$1,ECOMMERS_SALES[#Headers],0))</f>
        <v>Pune</v>
      </c>
      <c r="I455" t="str">
        <f>VLOOKUP($A455,'ECOMMERS SALES'!$1:$500,MATCH('vlookup match'!I$1,ECOMMERS_SALES[#Headers],0))</f>
        <v>Returning</v>
      </c>
      <c r="J455" t="str">
        <f>VLOOKUP($A455,'ECOMMERS SALES'!$1:$500,MATCH('vlookup match'!J$1,ECOMMERS_SALES[#Headers],0))</f>
        <v>UPI</v>
      </c>
    </row>
    <row r="456" spans="1:10" x14ac:dyDescent="0.35">
      <c r="A456">
        <v>1455</v>
      </c>
      <c r="B456" t="str">
        <f>VLOOKUP($A456,'ECOMMERS SALES'!$1:$500,MATCH('vlookup match'!B$1,ECOMMERS_SALES[#Headers],0))</f>
        <v>01-04-2026</v>
      </c>
      <c r="C456" t="str">
        <f>VLOOKUP($A456,'ECOMMERS SALES'!$1:$500,MATCH('vlookup match'!C$1,ECOMMERS_SALES[#Headers],0))</f>
        <v>Mobile Case</v>
      </c>
      <c r="D456" t="str">
        <f>VLOOKUP($A456,'ECOMMERS SALES'!$1:$500,MATCH('vlookup match'!D$1,ECOMMERS_SALES[#Headers],0))</f>
        <v>Other</v>
      </c>
      <c r="E456">
        <f>VLOOKUP($A456,'ECOMMERS SALES'!$1:$500,MATCH('vlookup match'!E$1,ECOMMERS_SALES[#Headers],0))</f>
        <v>5</v>
      </c>
      <c r="F456">
        <f>VLOOKUP($A456,'ECOMMERS SALES'!$1:$500,MATCH('vlookup match'!F$1,ECOMMERS_SALES[#Headers],0))</f>
        <v>376</v>
      </c>
      <c r="G456">
        <f>VLOOKUP($A456,'ECOMMERS SALES'!$1:$500,MATCH('vlookup match'!G$1,ECOMMERS_SALES[#Headers],0))</f>
        <v>1880</v>
      </c>
      <c r="H456" t="str">
        <f>VLOOKUP($A456,'ECOMMERS SALES'!$1:$500,MATCH('vlookup match'!H$1,ECOMMERS_SALES[#Headers],0))</f>
        <v>Pune</v>
      </c>
      <c r="I456" t="str">
        <f>VLOOKUP($A456,'ECOMMERS SALES'!$1:$500,MATCH('vlookup match'!I$1,ECOMMERS_SALES[#Headers],0))</f>
        <v>New</v>
      </c>
      <c r="J456" t="str">
        <f>VLOOKUP($A456,'ECOMMERS SALES'!$1:$500,MATCH('vlookup match'!J$1,ECOMMERS_SALES[#Headers],0))</f>
        <v>Card</v>
      </c>
    </row>
    <row r="457" spans="1:10" x14ac:dyDescent="0.35">
      <c r="A457">
        <v>1456</v>
      </c>
      <c r="B457" t="str">
        <f>VLOOKUP($A457,'ECOMMERS SALES'!$1:$500,MATCH('vlookup match'!B$1,ECOMMERS_SALES[#Headers],0))</f>
        <v>02-04-2026</v>
      </c>
      <c r="C457" t="str">
        <f>VLOOKUP($A457,'ECOMMERS SALES'!$1:$500,MATCH('vlookup match'!C$1,ECOMMERS_SALES[#Headers],0))</f>
        <v>Tablet</v>
      </c>
      <c r="D457" t="str">
        <f>VLOOKUP($A457,'ECOMMERS SALES'!$1:$500,MATCH('vlookup match'!D$1,ECOMMERS_SALES[#Headers],0))</f>
        <v>Electronics</v>
      </c>
      <c r="E457">
        <f>VLOOKUP($A457,'ECOMMERS SALES'!$1:$500,MATCH('vlookup match'!E$1,ECOMMERS_SALES[#Headers],0))</f>
        <v>2</v>
      </c>
      <c r="F457">
        <f>VLOOKUP($A457,'ECOMMERS SALES'!$1:$500,MATCH('vlookup match'!F$1,ECOMMERS_SALES[#Headers],0))</f>
        <v>23687</v>
      </c>
      <c r="G457">
        <f>VLOOKUP($A457,'ECOMMERS SALES'!$1:$500,MATCH('vlookup match'!G$1,ECOMMERS_SALES[#Headers],0))</f>
        <v>47374</v>
      </c>
      <c r="H457" t="str">
        <f>VLOOKUP($A457,'ECOMMERS SALES'!$1:$500,MATCH('vlookup match'!H$1,ECOMMERS_SALES[#Headers],0))</f>
        <v>Chennai</v>
      </c>
      <c r="I457" t="str">
        <f>VLOOKUP($A457,'ECOMMERS SALES'!$1:$500,MATCH('vlookup match'!I$1,ECOMMERS_SALES[#Headers],0))</f>
        <v>Premimum</v>
      </c>
      <c r="J457" t="str">
        <f>VLOOKUP($A457,'ECOMMERS SALES'!$1:$500,MATCH('vlookup match'!J$1,ECOMMERS_SALES[#Headers],0))</f>
        <v>UPI</v>
      </c>
    </row>
    <row r="458" spans="1:10" x14ac:dyDescent="0.35">
      <c r="A458">
        <v>1457</v>
      </c>
      <c r="B458" t="str">
        <f>VLOOKUP($A458,'ECOMMERS SALES'!$1:$500,MATCH('vlookup match'!B$1,ECOMMERS_SALES[#Headers],0))</f>
        <v>03-04-2026</v>
      </c>
      <c r="C458" t="str">
        <f>VLOOKUP($A458,'ECOMMERS SALES'!$1:$500,MATCH('vlookup match'!C$1,ECOMMERS_SALES[#Headers],0))</f>
        <v>Book</v>
      </c>
      <c r="D458" t="str">
        <f>VLOOKUP($A458,'ECOMMERS SALES'!$1:$500,MATCH('vlookup match'!D$1,ECOMMERS_SALES[#Headers],0))</f>
        <v>Books</v>
      </c>
      <c r="E458">
        <f>VLOOKUP($A458,'ECOMMERS SALES'!$1:$500,MATCH('vlookup match'!E$1,ECOMMERS_SALES[#Headers],0))</f>
        <v>2</v>
      </c>
      <c r="F458">
        <f>VLOOKUP($A458,'ECOMMERS SALES'!$1:$500,MATCH('vlookup match'!F$1,ECOMMERS_SALES[#Headers],0))</f>
        <v>225</v>
      </c>
      <c r="G458">
        <f>VLOOKUP($A458,'ECOMMERS SALES'!$1:$500,MATCH('vlookup match'!G$1,ECOMMERS_SALES[#Headers],0))</f>
        <v>450</v>
      </c>
      <c r="H458" t="str">
        <f>VLOOKUP($A458,'ECOMMERS SALES'!$1:$500,MATCH('vlookup match'!H$1,ECOMMERS_SALES[#Headers],0))</f>
        <v>Delhi</v>
      </c>
      <c r="I458" t="str">
        <f>VLOOKUP($A458,'ECOMMERS SALES'!$1:$500,MATCH('vlookup match'!I$1,ECOMMERS_SALES[#Headers],0))</f>
        <v>Returning</v>
      </c>
      <c r="J458" t="str">
        <f>VLOOKUP($A458,'ECOMMERS SALES'!$1:$500,MATCH('vlookup match'!J$1,ECOMMERS_SALES[#Headers],0))</f>
        <v>UPI</v>
      </c>
    </row>
    <row r="459" spans="1:10" x14ac:dyDescent="0.35">
      <c r="A459">
        <v>1458</v>
      </c>
      <c r="B459" t="str">
        <f>VLOOKUP($A459,'ECOMMERS SALES'!$1:$500,MATCH('vlookup match'!B$1,ECOMMERS_SALES[#Headers],0))</f>
        <v>04-04-2026</v>
      </c>
      <c r="C459" t="str">
        <f>VLOOKUP($A459,'ECOMMERS SALES'!$1:$500,MATCH('vlookup match'!C$1,ECOMMERS_SALES[#Headers],0))</f>
        <v>Backpack</v>
      </c>
      <c r="D459" t="str">
        <f>VLOOKUP($A459,'ECOMMERS SALES'!$1:$500,MATCH('vlookup match'!D$1,ECOMMERS_SALES[#Headers],0))</f>
        <v>Fashion</v>
      </c>
      <c r="E459">
        <f>VLOOKUP($A459,'ECOMMERS SALES'!$1:$500,MATCH('vlookup match'!E$1,ECOMMERS_SALES[#Headers],0))</f>
        <v>5</v>
      </c>
      <c r="F459">
        <f>VLOOKUP($A459,'ECOMMERS SALES'!$1:$500,MATCH('vlookup match'!F$1,ECOMMERS_SALES[#Headers],0))</f>
        <v>882</v>
      </c>
      <c r="G459">
        <f>VLOOKUP($A459,'ECOMMERS SALES'!$1:$500,MATCH('vlookup match'!G$1,ECOMMERS_SALES[#Headers],0))</f>
        <v>4410</v>
      </c>
      <c r="H459" t="str">
        <f>VLOOKUP($A459,'ECOMMERS SALES'!$1:$500,MATCH('vlookup match'!H$1,ECOMMERS_SALES[#Headers],0))</f>
        <v>Bangalore</v>
      </c>
      <c r="I459" t="str">
        <f>VLOOKUP($A459,'ECOMMERS SALES'!$1:$500,MATCH('vlookup match'!I$1,ECOMMERS_SALES[#Headers],0))</f>
        <v>Returning</v>
      </c>
      <c r="J459" t="str">
        <f>VLOOKUP($A459,'ECOMMERS SALES'!$1:$500,MATCH('vlookup match'!J$1,ECOMMERS_SALES[#Headers],0))</f>
        <v>COD</v>
      </c>
    </row>
    <row r="460" spans="1:10" x14ac:dyDescent="0.35">
      <c r="A460">
        <v>1459</v>
      </c>
      <c r="B460" t="str">
        <f>VLOOKUP($A460,'ECOMMERS SALES'!$1:$500,MATCH('vlookup match'!B$1,ECOMMERS_SALES[#Headers],0))</f>
        <v>05-04-2026</v>
      </c>
      <c r="C460" t="str">
        <f>VLOOKUP($A460,'ECOMMERS SALES'!$1:$500,MATCH('vlookup match'!C$1,ECOMMERS_SALES[#Headers],0))</f>
        <v>Smartwatch</v>
      </c>
      <c r="D460" t="str">
        <f>VLOOKUP($A460,'ECOMMERS SALES'!$1:$500,MATCH('vlookup match'!D$1,ECOMMERS_SALES[#Headers],0))</f>
        <v>Electronics</v>
      </c>
      <c r="E460">
        <f>VLOOKUP($A460,'ECOMMERS SALES'!$1:$500,MATCH('vlookup match'!E$1,ECOMMERS_SALES[#Headers],0))</f>
        <v>2</v>
      </c>
      <c r="F460">
        <f>VLOOKUP($A460,'ECOMMERS SALES'!$1:$500,MATCH('vlookup match'!F$1,ECOMMERS_SALES[#Headers],0))</f>
        <v>7214</v>
      </c>
      <c r="G460">
        <f>VLOOKUP($A460,'ECOMMERS SALES'!$1:$500,MATCH('vlookup match'!G$1,ECOMMERS_SALES[#Headers],0))</f>
        <v>14428</v>
      </c>
      <c r="H460" t="str">
        <f>VLOOKUP($A460,'ECOMMERS SALES'!$1:$500,MATCH('vlookup match'!H$1,ECOMMERS_SALES[#Headers],0))</f>
        <v>Delhi</v>
      </c>
      <c r="I460" t="str">
        <f>VLOOKUP($A460,'ECOMMERS SALES'!$1:$500,MATCH('vlookup match'!I$1,ECOMMERS_SALES[#Headers],0))</f>
        <v>Premimum</v>
      </c>
      <c r="J460" t="str">
        <f>VLOOKUP($A460,'ECOMMERS SALES'!$1:$500,MATCH('vlookup match'!J$1,ECOMMERS_SALES[#Headers],0))</f>
        <v>UPI</v>
      </c>
    </row>
    <row r="461" spans="1:10" x14ac:dyDescent="0.35">
      <c r="A461">
        <v>1460</v>
      </c>
      <c r="B461" t="str">
        <f>VLOOKUP($A461,'ECOMMERS SALES'!$1:$500,MATCH('vlookup match'!B$1,ECOMMERS_SALES[#Headers],0))</f>
        <v>06-04-2026</v>
      </c>
      <c r="C461" t="str">
        <f>VLOOKUP($A461,'ECOMMERS SALES'!$1:$500,MATCH('vlookup match'!C$1,ECOMMERS_SALES[#Headers],0))</f>
        <v>Water Bottle</v>
      </c>
      <c r="D461" t="str">
        <f>VLOOKUP($A461,'ECOMMERS SALES'!$1:$500,MATCH('vlookup match'!D$1,ECOMMERS_SALES[#Headers],0))</f>
        <v>Other</v>
      </c>
      <c r="E461">
        <f>VLOOKUP($A461,'ECOMMERS SALES'!$1:$500,MATCH('vlookup match'!E$1,ECOMMERS_SALES[#Headers],0))</f>
        <v>5</v>
      </c>
      <c r="F461">
        <f>VLOOKUP($A461,'ECOMMERS SALES'!$1:$500,MATCH('vlookup match'!F$1,ECOMMERS_SALES[#Headers],0))</f>
        <v>241</v>
      </c>
      <c r="G461">
        <f>VLOOKUP($A461,'ECOMMERS SALES'!$1:$500,MATCH('vlookup match'!G$1,ECOMMERS_SALES[#Headers],0))</f>
        <v>1205</v>
      </c>
      <c r="H461" t="str">
        <f>VLOOKUP($A461,'ECOMMERS SALES'!$1:$500,MATCH('vlookup match'!H$1,ECOMMERS_SALES[#Headers],0))</f>
        <v>Pune</v>
      </c>
      <c r="I461" t="str">
        <f>VLOOKUP($A461,'ECOMMERS SALES'!$1:$500,MATCH('vlookup match'!I$1,ECOMMERS_SALES[#Headers],0))</f>
        <v>Returning</v>
      </c>
      <c r="J461" t="str">
        <f>VLOOKUP($A461,'ECOMMERS SALES'!$1:$500,MATCH('vlookup match'!J$1,ECOMMERS_SALES[#Headers],0))</f>
        <v>COD</v>
      </c>
    </row>
    <row r="462" spans="1:10" x14ac:dyDescent="0.35">
      <c r="A462">
        <v>1461</v>
      </c>
      <c r="B462" t="str">
        <f>VLOOKUP($A462,'ECOMMERS SALES'!$1:$500,MATCH('vlookup match'!B$1,ECOMMERS_SALES[#Headers],0))</f>
        <v>07-04-2026</v>
      </c>
      <c r="C462" t="str">
        <f>VLOOKUP($A462,'ECOMMERS SALES'!$1:$500,MATCH('vlookup match'!C$1,ECOMMERS_SALES[#Headers],0))</f>
        <v>Laptop</v>
      </c>
      <c r="D462" t="str">
        <f>VLOOKUP($A462,'ECOMMERS SALES'!$1:$500,MATCH('vlookup match'!D$1,ECOMMERS_SALES[#Headers],0))</f>
        <v>Electronics</v>
      </c>
      <c r="E462">
        <f>VLOOKUP($A462,'ECOMMERS SALES'!$1:$500,MATCH('vlookup match'!E$1,ECOMMERS_SALES[#Headers],0))</f>
        <v>2</v>
      </c>
      <c r="F462">
        <f>VLOOKUP($A462,'ECOMMERS SALES'!$1:$500,MATCH('vlookup match'!F$1,ECOMMERS_SALES[#Headers],0))</f>
        <v>61490</v>
      </c>
      <c r="G462">
        <f>VLOOKUP($A462,'ECOMMERS SALES'!$1:$500,MATCH('vlookup match'!G$1,ECOMMERS_SALES[#Headers],0))</f>
        <v>122980</v>
      </c>
      <c r="H462" t="str">
        <f>VLOOKUP($A462,'ECOMMERS SALES'!$1:$500,MATCH('vlookup match'!H$1,ECOMMERS_SALES[#Headers],0))</f>
        <v>Mumbai</v>
      </c>
      <c r="I462" t="str">
        <f>VLOOKUP($A462,'ECOMMERS SALES'!$1:$500,MATCH('vlookup match'!I$1,ECOMMERS_SALES[#Headers],0))</f>
        <v>Premimum</v>
      </c>
      <c r="J462" t="str">
        <f>VLOOKUP($A462,'ECOMMERS SALES'!$1:$500,MATCH('vlookup match'!J$1,ECOMMERS_SALES[#Headers],0))</f>
        <v>Card</v>
      </c>
    </row>
    <row r="463" spans="1:10" x14ac:dyDescent="0.35">
      <c r="A463">
        <v>1462</v>
      </c>
      <c r="B463" t="str">
        <f>VLOOKUP($A463,'ECOMMERS SALES'!$1:$500,MATCH('vlookup match'!B$1,ECOMMERS_SALES[#Headers],0))</f>
        <v>08-04-2026</v>
      </c>
      <c r="C463" t="str">
        <f>VLOOKUP($A463,'ECOMMERS SALES'!$1:$500,MATCH('vlookup match'!C$1,ECOMMERS_SALES[#Headers],0))</f>
        <v>Headphones</v>
      </c>
      <c r="D463" t="str">
        <f>VLOOKUP($A463,'ECOMMERS SALES'!$1:$500,MATCH('vlookup match'!D$1,ECOMMERS_SALES[#Headers],0))</f>
        <v>Electronics</v>
      </c>
      <c r="E463">
        <f>VLOOKUP($A463,'ECOMMERS SALES'!$1:$500,MATCH('vlookup match'!E$1,ECOMMERS_SALES[#Headers],0))</f>
        <v>3</v>
      </c>
      <c r="F463">
        <f>VLOOKUP($A463,'ECOMMERS SALES'!$1:$500,MATCH('vlookup match'!F$1,ECOMMERS_SALES[#Headers],0))</f>
        <v>4120</v>
      </c>
      <c r="G463">
        <f>VLOOKUP($A463,'ECOMMERS SALES'!$1:$500,MATCH('vlookup match'!G$1,ECOMMERS_SALES[#Headers],0))</f>
        <v>12360</v>
      </c>
      <c r="H463" t="str">
        <f>VLOOKUP($A463,'ECOMMERS SALES'!$1:$500,MATCH('vlookup match'!H$1,ECOMMERS_SALES[#Headers],0))</f>
        <v>Chennai</v>
      </c>
      <c r="I463" t="str">
        <f>VLOOKUP($A463,'ECOMMERS SALES'!$1:$500,MATCH('vlookup match'!I$1,ECOMMERS_SALES[#Headers],0))</f>
        <v>Returning</v>
      </c>
      <c r="J463" t="str">
        <f>VLOOKUP($A463,'ECOMMERS SALES'!$1:$500,MATCH('vlookup match'!J$1,ECOMMERS_SALES[#Headers],0))</f>
        <v>COD</v>
      </c>
    </row>
    <row r="464" spans="1:10" x14ac:dyDescent="0.35">
      <c r="A464">
        <v>1463</v>
      </c>
      <c r="B464" t="str">
        <f>VLOOKUP($A464,'ECOMMERS SALES'!$1:$500,MATCH('vlookup match'!B$1,ECOMMERS_SALES[#Headers],0))</f>
        <v>09-04-2026</v>
      </c>
      <c r="C464" t="str">
        <f>VLOOKUP($A464,'ECOMMERS SALES'!$1:$500,MATCH('vlookup match'!C$1,ECOMMERS_SALES[#Headers],0))</f>
        <v>Shoes</v>
      </c>
      <c r="D464" t="str">
        <f>VLOOKUP($A464,'ECOMMERS SALES'!$1:$500,MATCH('vlookup match'!D$1,ECOMMERS_SALES[#Headers],0))</f>
        <v>Fashion</v>
      </c>
      <c r="E464">
        <f>VLOOKUP($A464,'ECOMMERS SALES'!$1:$500,MATCH('vlookup match'!E$1,ECOMMERS_SALES[#Headers],0))</f>
        <v>1</v>
      </c>
      <c r="F464">
        <f>VLOOKUP($A464,'ECOMMERS SALES'!$1:$500,MATCH('vlookup match'!F$1,ECOMMERS_SALES[#Headers],0))</f>
        <v>1206</v>
      </c>
      <c r="G464">
        <f>VLOOKUP($A464,'ECOMMERS SALES'!$1:$500,MATCH('vlookup match'!G$1,ECOMMERS_SALES[#Headers],0))</f>
        <v>1206</v>
      </c>
      <c r="H464" t="str">
        <f>VLOOKUP($A464,'ECOMMERS SALES'!$1:$500,MATCH('vlookup match'!H$1,ECOMMERS_SALES[#Headers],0))</f>
        <v>Delhi</v>
      </c>
      <c r="I464" t="str">
        <f>VLOOKUP($A464,'ECOMMERS SALES'!$1:$500,MATCH('vlookup match'!I$1,ECOMMERS_SALES[#Headers],0))</f>
        <v>New</v>
      </c>
      <c r="J464" t="str">
        <f>VLOOKUP($A464,'ECOMMERS SALES'!$1:$500,MATCH('vlookup match'!J$1,ECOMMERS_SALES[#Headers],0))</f>
        <v>COD</v>
      </c>
    </row>
    <row r="465" spans="1:10" x14ac:dyDescent="0.35">
      <c r="A465">
        <v>1464</v>
      </c>
      <c r="B465" t="str">
        <f>VLOOKUP($A465,'ECOMMERS SALES'!$1:$500,MATCH('vlookup match'!B$1,ECOMMERS_SALES[#Headers],0))</f>
        <v>10-04-2026</v>
      </c>
      <c r="C465" t="str">
        <f>VLOOKUP($A465,'ECOMMERS SALES'!$1:$500,MATCH('vlookup match'!C$1,ECOMMERS_SALES[#Headers],0))</f>
        <v>Watch</v>
      </c>
      <c r="D465" t="str">
        <f>VLOOKUP($A465,'ECOMMERS SALES'!$1:$500,MATCH('vlookup match'!D$1,ECOMMERS_SALES[#Headers],0))</f>
        <v>Other</v>
      </c>
      <c r="E465">
        <f>VLOOKUP($A465,'ECOMMERS SALES'!$1:$500,MATCH('vlookup match'!E$1,ECOMMERS_SALES[#Headers],0))</f>
        <v>4</v>
      </c>
      <c r="F465">
        <f>VLOOKUP($A465,'ECOMMERS SALES'!$1:$500,MATCH('vlookup match'!F$1,ECOMMERS_SALES[#Headers],0))</f>
        <v>10934</v>
      </c>
      <c r="G465">
        <f>VLOOKUP($A465,'ECOMMERS SALES'!$1:$500,MATCH('vlookup match'!G$1,ECOMMERS_SALES[#Headers],0))</f>
        <v>43736</v>
      </c>
      <c r="H465" t="str">
        <f>VLOOKUP($A465,'ECOMMERS SALES'!$1:$500,MATCH('vlookup match'!H$1,ECOMMERS_SALES[#Headers],0))</f>
        <v>Mumbai</v>
      </c>
      <c r="I465" t="str">
        <f>VLOOKUP($A465,'ECOMMERS SALES'!$1:$500,MATCH('vlookup match'!I$1,ECOMMERS_SALES[#Headers],0))</f>
        <v>Returning</v>
      </c>
      <c r="J465" t="str">
        <f>VLOOKUP($A465,'ECOMMERS SALES'!$1:$500,MATCH('vlookup match'!J$1,ECOMMERS_SALES[#Headers],0))</f>
        <v>UPI</v>
      </c>
    </row>
    <row r="466" spans="1:10" x14ac:dyDescent="0.35">
      <c r="A466">
        <v>1465</v>
      </c>
      <c r="B466" t="str">
        <f>VLOOKUP($A466,'ECOMMERS SALES'!$1:$500,MATCH('vlookup match'!B$1,ECOMMERS_SALES[#Headers],0))</f>
        <v>11-04-2026</v>
      </c>
      <c r="C466" t="str">
        <f>VLOOKUP($A466,'ECOMMERS SALES'!$1:$500,MATCH('vlookup match'!C$1,ECOMMERS_SALES[#Headers],0))</f>
        <v>Mobile Case</v>
      </c>
      <c r="D466" t="str">
        <f>VLOOKUP($A466,'ECOMMERS SALES'!$1:$500,MATCH('vlookup match'!D$1,ECOMMERS_SALES[#Headers],0))</f>
        <v>Other</v>
      </c>
      <c r="E466">
        <f>VLOOKUP($A466,'ECOMMERS SALES'!$1:$500,MATCH('vlookup match'!E$1,ECOMMERS_SALES[#Headers],0))</f>
        <v>1</v>
      </c>
      <c r="F466">
        <f>VLOOKUP($A466,'ECOMMERS SALES'!$1:$500,MATCH('vlookup match'!F$1,ECOMMERS_SALES[#Headers],0))</f>
        <v>326</v>
      </c>
      <c r="G466">
        <f>VLOOKUP($A466,'ECOMMERS SALES'!$1:$500,MATCH('vlookup match'!G$1,ECOMMERS_SALES[#Headers],0))</f>
        <v>326</v>
      </c>
      <c r="H466" t="str">
        <f>VLOOKUP($A466,'ECOMMERS SALES'!$1:$500,MATCH('vlookup match'!H$1,ECOMMERS_SALES[#Headers],0))</f>
        <v>Pune</v>
      </c>
      <c r="I466" t="str">
        <f>VLOOKUP($A466,'ECOMMERS SALES'!$1:$500,MATCH('vlookup match'!I$1,ECOMMERS_SALES[#Headers],0))</f>
        <v>Premimum</v>
      </c>
      <c r="J466" t="str">
        <f>VLOOKUP($A466,'ECOMMERS SALES'!$1:$500,MATCH('vlookup match'!J$1,ECOMMERS_SALES[#Headers],0))</f>
        <v>Card</v>
      </c>
    </row>
    <row r="467" spans="1:10" x14ac:dyDescent="0.35">
      <c r="A467">
        <v>1466</v>
      </c>
      <c r="B467" t="str">
        <f>VLOOKUP($A467,'ECOMMERS SALES'!$1:$500,MATCH('vlookup match'!B$1,ECOMMERS_SALES[#Headers],0))</f>
        <v>12-04-2026</v>
      </c>
      <c r="C467" t="str">
        <f>VLOOKUP($A467,'ECOMMERS SALES'!$1:$500,MATCH('vlookup match'!C$1,ECOMMERS_SALES[#Headers],0))</f>
        <v>Tablet</v>
      </c>
      <c r="D467" t="str">
        <f>VLOOKUP($A467,'ECOMMERS SALES'!$1:$500,MATCH('vlookup match'!D$1,ECOMMERS_SALES[#Headers],0))</f>
        <v>Electronics</v>
      </c>
      <c r="E467">
        <f>VLOOKUP($A467,'ECOMMERS SALES'!$1:$500,MATCH('vlookup match'!E$1,ECOMMERS_SALES[#Headers],0))</f>
        <v>2</v>
      </c>
      <c r="F467">
        <f>VLOOKUP($A467,'ECOMMERS SALES'!$1:$500,MATCH('vlookup match'!F$1,ECOMMERS_SALES[#Headers],0))</f>
        <v>37146</v>
      </c>
      <c r="G467">
        <f>VLOOKUP($A467,'ECOMMERS SALES'!$1:$500,MATCH('vlookup match'!G$1,ECOMMERS_SALES[#Headers],0))</f>
        <v>74292</v>
      </c>
      <c r="H467" t="str">
        <f>VLOOKUP($A467,'ECOMMERS SALES'!$1:$500,MATCH('vlookup match'!H$1,ECOMMERS_SALES[#Headers],0))</f>
        <v>Chennai</v>
      </c>
      <c r="I467" t="str">
        <f>VLOOKUP($A467,'ECOMMERS SALES'!$1:$500,MATCH('vlookup match'!I$1,ECOMMERS_SALES[#Headers],0))</f>
        <v>New</v>
      </c>
      <c r="J467" t="str">
        <f>VLOOKUP($A467,'ECOMMERS SALES'!$1:$500,MATCH('vlookup match'!J$1,ECOMMERS_SALES[#Headers],0))</f>
        <v>UPI</v>
      </c>
    </row>
    <row r="468" spans="1:10" x14ac:dyDescent="0.35">
      <c r="A468">
        <v>1467</v>
      </c>
      <c r="B468" t="str">
        <f>VLOOKUP($A468,'ECOMMERS SALES'!$1:$500,MATCH('vlookup match'!B$1,ECOMMERS_SALES[#Headers],0))</f>
        <v>13-04-2026</v>
      </c>
      <c r="C468" t="str">
        <f>VLOOKUP($A468,'ECOMMERS SALES'!$1:$500,MATCH('vlookup match'!C$1,ECOMMERS_SALES[#Headers],0))</f>
        <v>Book</v>
      </c>
      <c r="D468" t="str">
        <f>VLOOKUP($A468,'ECOMMERS SALES'!$1:$500,MATCH('vlookup match'!D$1,ECOMMERS_SALES[#Headers],0))</f>
        <v>Books</v>
      </c>
      <c r="E468">
        <f>VLOOKUP($A468,'ECOMMERS SALES'!$1:$500,MATCH('vlookup match'!E$1,ECOMMERS_SALES[#Headers],0))</f>
        <v>1</v>
      </c>
      <c r="F468">
        <f>VLOOKUP($A468,'ECOMMERS SALES'!$1:$500,MATCH('vlookup match'!F$1,ECOMMERS_SALES[#Headers],0))</f>
        <v>235</v>
      </c>
      <c r="G468">
        <f>VLOOKUP($A468,'ECOMMERS SALES'!$1:$500,MATCH('vlookup match'!G$1,ECOMMERS_SALES[#Headers],0))</f>
        <v>235</v>
      </c>
      <c r="H468" t="str">
        <f>VLOOKUP($A468,'ECOMMERS SALES'!$1:$500,MATCH('vlookup match'!H$1,ECOMMERS_SALES[#Headers],0))</f>
        <v>Mumbai</v>
      </c>
      <c r="I468" t="str">
        <f>VLOOKUP($A468,'ECOMMERS SALES'!$1:$500,MATCH('vlookup match'!I$1,ECOMMERS_SALES[#Headers],0))</f>
        <v>Returning</v>
      </c>
      <c r="J468" t="str">
        <f>VLOOKUP($A468,'ECOMMERS SALES'!$1:$500,MATCH('vlookup match'!J$1,ECOMMERS_SALES[#Headers],0))</f>
        <v>Card</v>
      </c>
    </row>
    <row r="469" spans="1:10" x14ac:dyDescent="0.35">
      <c r="A469">
        <v>1468</v>
      </c>
      <c r="B469" t="str">
        <f>VLOOKUP($A469,'ECOMMERS SALES'!$1:$500,MATCH('vlookup match'!B$1,ECOMMERS_SALES[#Headers],0))</f>
        <v>14-04-2026</v>
      </c>
      <c r="C469" t="str">
        <f>VLOOKUP($A469,'ECOMMERS SALES'!$1:$500,MATCH('vlookup match'!C$1,ECOMMERS_SALES[#Headers],0))</f>
        <v>Backpack</v>
      </c>
      <c r="D469" t="str">
        <f>VLOOKUP($A469,'ECOMMERS SALES'!$1:$500,MATCH('vlookup match'!D$1,ECOMMERS_SALES[#Headers],0))</f>
        <v>Fashion</v>
      </c>
      <c r="E469">
        <f>VLOOKUP($A469,'ECOMMERS SALES'!$1:$500,MATCH('vlookup match'!E$1,ECOMMERS_SALES[#Headers],0))</f>
        <v>5</v>
      </c>
      <c r="F469">
        <f>VLOOKUP($A469,'ECOMMERS SALES'!$1:$500,MATCH('vlookup match'!F$1,ECOMMERS_SALES[#Headers],0))</f>
        <v>1118</v>
      </c>
      <c r="G469">
        <f>VLOOKUP($A469,'ECOMMERS SALES'!$1:$500,MATCH('vlookup match'!G$1,ECOMMERS_SALES[#Headers],0))</f>
        <v>5590</v>
      </c>
      <c r="H469" t="str">
        <f>VLOOKUP($A469,'ECOMMERS SALES'!$1:$500,MATCH('vlookup match'!H$1,ECOMMERS_SALES[#Headers],0))</f>
        <v>Pune</v>
      </c>
      <c r="I469" t="str">
        <f>VLOOKUP($A469,'ECOMMERS SALES'!$1:$500,MATCH('vlookup match'!I$1,ECOMMERS_SALES[#Headers],0))</f>
        <v>Returning</v>
      </c>
      <c r="J469" t="str">
        <f>VLOOKUP($A469,'ECOMMERS SALES'!$1:$500,MATCH('vlookup match'!J$1,ECOMMERS_SALES[#Headers],0))</f>
        <v>UPI</v>
      </c>
    </row>
    <row r="470" spans="1:10" x14ac:dyDescent="0.35">
      <c r="A470">
        <v>1469</v>
      </c>
      <c r="B470" t="str">
        <f>VLOOKUP($A470,'ECOMMERS SALES'!$1:$500,MATCH('vlookup match'!B$1,ECOMMERS_SALES[#Headers],0))</f>
        <v>15-04-2026</v>
      </c>
      <c r="C470" t="str">
        <f>VLOOKUP($A470,'ECOMMERS SALES'!$1:$500,MATCH('vlookup match'!C$1,ECOMMERS_SALES[#Headers],0))</f>
        <v>Smartwatch</v>
      </c>
      <c r="D470" t="str">
        <f>VLOOKUP($A470,'ECOMMERS SALES'!$1:$500,MATCH('vlookup match'!D$1,ECOMMERS_SALES[#Headers],0))</f>
        <v>Electronics</v>
      </c>
      <c r="E470">
        <f>VLOOKUP($A470,'ECOMMERS SALES'!$1:$500,MATCH('vlookup match'!E$1,ECOMMERS_SALES[#Headers],0))</f>
        <v>2</v>
      </c>
      <c r="F470">
        <f>VLOOKUP($A470,'ECOMMERS SALES'!$1:$500,MATCH('vlookup match'!F$1,ECOMMERS_SALES[#Headers],0))</f>
        <v>7110</v>
      </c>
      <c r="G470">
        <f>VLOOKUP($A470,'ECOMMERS SALES'!$1:$500,MATCH('vlookup match'!G$1,ECOMMERS_SALES[#Headers],0))</f>
        <v>14220</v>
      </c>
      <c r="H470" t="str">
        <f>VLOOKUP($A470,'ECOMMERS SALES'!$1:$500,MATCH('vlookup match'!H$1,ECOMMERS_SALES[#Headers],0))</f>
        <v>Mumbai</v>
      </c>
      <c r="I470" t="str">
        <f>VLOOKUP($A470,'ECOMMERS SALES'!$1:$500,MATCH('vlookup match'!I$1,ECOMMERS_SALES[#Headers],0))</f>
        <v>New</v>
      </c>
      <c r="J470" t="str">
        <f>VLOOKUP($A470,'ECOMMERS SALES'!$1:$500,MATCH('vlookup match'!J$1,ECOMMERS_SALES[#Headers],0))</f>
        <v>Card</v>
      </c>
    </row>
    <row r="471" spans="1:10" x14ac:dyDescent="0.35">
      <c r="A471">
        <v>1470</v>
      </c>
      <c r="B471" t="str">
        <f>VLOOKUP($A471,'ECOMMERS SALES'!$1:$500,MATCH('vlookup match'!B$1,ECOMMERS_SALES[#Headers],0))</f>
        <v>16-04-2026</v>
      </c>
      <c r="C471" t="str">
        <f>VLOOKUP($A471,'ECOMMERS SALES'!$1:$500,MATCH('vlookup match'!C$1,ECOMMERS_SALES[#Headers],0))</f>
        <v>Water Bottle</v>
      </c>
      <c r="D471" t="str">
        <f>VLOOKUP($A471,'ECOMMERS SALES'!$1:$500,MATCH('vlookup match'!D$1,ECOMMERS_SALES[#Headers],0))</f>
        <v>Other</v>
      </c>
      <c r="E471">
        <f>VLOOKUP($A471,'ECOMMERS SALES'!$1:$500,MATCH('vlookup match'!E$1,ECOMMERS_SALES[#Headers],0))</f>
        <v>1</v>
      </c>
      <c r="F471">
        <f>VLOOKUP($A471,'ECOMMERS SALES'!$1:$500,MATCH('vlookup match'!F$1,ECOMMERS_SALES[#Headers],0))</f>
        <v>333</v>
      </c>
      <c r="G471">
        <f>VLOOKUP($A471,'ECOMMERS SALES'!$1:$500,MATCH('vlookup match'!G$1,ECOMMERS_SALES[#Headers],0))</f>
        <v>333</v>
      </c>
      <c r="H471" t="str">
        <f>VLOOKUP($A471,'ECOMMERS SALES'!$1:$500,MATCH('vlookup match'!H$1,ECOMMERS_SALES[#Headers],0))</f>
        <v>Pune</v>
      </c>
      <c r="I471" t="str">
        <f>VLOOKUP($A471,'ECOMMERS SALES'!$1:$500,MATCH('vlookup match'!I$1,ECOMMERS_SALES[#Headers],0))</f>
        <v>Returning</v>
      </c>
      <c r="J471" t="str">
        <f>VLOOKUP($A471,'ECOMMERS SALES'!$1:$500,MATCH('vlookup match'!J$1,ECOMMERS_SALES[#Headers],0))</f>
        <v>UPI</v>
      </c>
    </row>
    <row r="472" spans="1:10" x14ac:dyDescent="0.35">
      <c r="A472">
        <v>1471</v>
      </c>
      <c r="B472" t="str">
        <f>VLOOKUP($A472,'ECOMMERS SALES'!$1:$500,MATCH('vlookup match'!B$1,ECOMMERS_SALES[#Headers],0))</f>
        <v>17-04-2026</v>
      </c>
      <c r="C472" t="str">
        <f>VLOOKUP($A472,'ECOMMERS SALES'!$1:$500,MATCH('vlookup match'!C$1,ECOMMERS_SALES[#Headers],0))</f>
        <v>Laptop</v>
      </c>
      <c r="D472" t="str">
        <f>VLOOKUP($A472,'ECOMMERS SALES'!$1:$500,MATCH('vlookup match'!D$1,ECOMMERS_SALES[#Headers],0))</f>
        <v>Electronics</v>
      </c>
      <c r="E472">
        <f>VLOOKUP($A472,'ECOMMERS SALES'!$1:$500,MATCH('vlookup match'!E$1,ECOMMERS_SALES[#Headers],0))</f>
        <v>1</v>
      </c>
      <c r="F472">
        <f>VLOOKUP($A472,'ECOMMERS SALES'!$1:$500,MATCH('vlookup match'!F$1,ECOMMERS_SALES[#Headers],0))</f>
        <v>62505</v>
      </c>
      <c r="G472">
        <f>VLOOKUP($A472,'ECOMMERS SALES'!$1:$500,MATCH('vlookup match'!G$1,ECOMMERS_SALES[#Headers],0))</f>
        <v>62505</v>
      </c>
      <c r="H472" t="str">
        <f>VLOOKUP($A472,'ECOMMERS SALES'!$1:$500,MATCH('vlookup match'!H$1,ECOMMERS_SALES[#Headers],0))</f>
        <v>Pune</v>
      </c>
      <c r="I472" t="str">
        <f>VLOOKUP($A472,'ECOMMERS SALES'!$1:$500,MATCH('vlookup match'!I$1,ECOMMERS_SALES[#Headers],0))</f>
        <v>Premimum</v>
      </c>
      <c r="J472" t="str">
        <f>VLOOKUP($A472,'ECOMMERS SALES'!$1:$500,MATCH('vlookup match'!J$1,ECOMMERS_SALES[#Headers],0))</f>
        <v>UPI</v>
      </c>
    </row>
    <row r="473" spans="1:10" x14ac:dyDescent="0.35">
      <c r="A473">
        <v>1472</v>
      </c>
      <c r="B473" t="str">
        <f>VLOOKUP($A473,'ECOMMERS SALES'!$1:$500,MATCH('vlookup match'!B$1,ECOMMERS_SALES[#Headers],0))</f>
        <v>18-04-2026</v>
      </c>
      <c r="C473" t="str">
        <f>VLOOKUP($A473,'ECOMMERS SALES'!$1:$500,MATCH('vlookup match'!C$1,ECOMMERS_SALES[#Headers],0))</f>
        <v>Headphones</v>
      </c>
      <c r="D473" t="str">
        <f>VLOOKUP($A473,'ECOMMERS SALES'!$1:$500,MATCH('vlookup match'!D$1,ECOMMERS_SALES[#Headers],0))</f>
        <v>Electronics</v>
      </c>
      <c r="E473">
        <f>VLOOKUP($A473,'ECOMMERS SALES'!$1:$500,MATCH('vlookup match'!E$1,ECOMMERS_SALES[#Headers],0))</f>
        <v>1</v>
      </c>
      <c r="F473">
        <f>VLOOKUP($A473,'ECOMMERS SALES'!$1:$500,MATCH('vlookup match'!F$1,ECOMMERS_SALES[#Headers],0))</f>
        <v>3269</v>
      </c>
      <c r="G473">
        <f>VLOOKUP($A473,'ECOMMERS SALES'!$1:$500,MATCH('vlookup match'!G$1,ECOMMERS_SALES[#Headers],0))</f>
        <v>3269</v>
      </c>
      <c r="H473" t="str">
        <f>VLOOKUP($A473,'ECOMMERS SALES'!$1:$500,MATCH('vlookup match'!H$1,ECOMMERS_SALES[#Headers],0))</f>
        <v>Bangalore</v>
      </c>
      <c r="I473" t="str">
        <f>VLOOKUP($A473,'ECOMMERS SALES'!$1:$500,MATCH('vlookup match'!I$1,ECOMMERS_SALES[#Headers],0))</f>
        <v>Returning</v>
      </c>
      <c r="J473" t="str">
        <f>VLOOKUP($A473,'ECOMMERS SALES'!$1:$500,MATCH('vlookup match'!J$1,ECOMMERS_SALES[#Headers],0))</f>
        <v>Card</v>
      </c>
    </row>
    <row r="474" spans="1:10" x14ac:dyDescent="0.35">
      <c r="A474">
        <v>1473</v>
      </c>
      <c r="B474" t="str">
        <f>VLOOKUP($A474,'ECOMMERS SALES'!$1:$500,MATCH('vlookup match'!B$1,ECOMMERS_SALES[#Headers],0))</f>
        <v>19-04-2026</v>
      </c>
      <c r="C474" t="str">
        <f>VLOOKUP($A474,'ECOMMERS SALES'!$1:$500,MATCH('vlookup match'!C$1,ECOMMERS_SALES[#Headers],0))</f>
        <v>Shoes</v>
      </c>
      <c r="D474" t="str">
        <f>VLOOKUP($A474,'ECOMMERS SALES'!$1:$500,MATCH('vlookup match'!D$1,ECOMMERS_SALES[#Headers],0))</f>
        <v>Fashion</v>
      </c>
      <c r="E474">
        <f>VLOOKUP($A474,'ECOMMERS SALES'!$1:$500,MATCH('vlookup match'!E$1,ECOMMERS_SALES[#Headers],0))</f>
        <v>1</v>
      </c>
      <c r="F474">
        <f>VLOOKUP($A474,'ECOMMERS SALES'!$1:$500,MATCH('vlookup match'!F$1,ECOMMERS_SALES[#Headers],0))</f>
        <v>3182</v>
      </c>
      <c r="G474">
        <f>VLOOKUP($A474,'ECOMMERS SALES'!$1:$500,MATCH('vlookup match'!G$1,ECOMMERS_SALES[#Headers],0))</f>
        <v>3182</v>
      </c>
      <c r="H474" t="str">
        <f>VLOOKUP($A474,'ECOMMERS SALES'!$1:$500,MATCH('vlookup match'!H$1,ECOMMERS_SALES[#Headers],0))</f>
        <v>Bangalore</v>
      </c>
      <c r="I474" t="str">
        <f>VLOOKUP($A474,'ECOMMERS SALES'!$1:$500,MATCH('vlookup match'!I$1,ECOMMERS_SALES[#Headers],0))</f>
        <v>Premimum</v>
      </c>
      <c r="J474" t="str">
        <f>VLOOKUP($A474,'ECOMMERS SALES'!$1:$500,MATCH('vlookup match'!J$1,ECOMMERS_SALES[#Headers],0))</f>
        <v>COD</v>
      </c>
    </row>
    <row r="475" spans="1:10" x14ac:dyDescent="0.35">
      <c r="A475">
        <v>1474</v>
      </c>
      <c r="B475" t="str">
        <f>VLOOKUP($A475,'ECOMMERS SALES'!$1:$500,MATCH('vlookup match'!B$1,ECOMMERS_SALES[#Headers],0))</f>
        <v>20-04-2026</v>
      </c>
      <c r="C475" t="str">
        <f>VLOOKUP($A475,'ECOMMERS SALES'!$1:$500,MATCH('vlookup match'!C$1,ECOMMERS_SALES[#Headers],0))</f>
        <v>Watch</v>
      </c>
      <c r="D475" t="str">
        <f>VLOOKUP($A475,'ECOMMERS SALES'!$1:$500,MATCH('vlookup match'!D$1,ECOMMERS_SALES[#Headers],0))</f>
        <v>Other</v>
      </c>
      <c r="E475">
        <f>VLOOKUP($A475,'ECOMMERS SALES'!$1:$500,MATCH('vlookup match'!E$1,ECOMMERS_SALES[#Headers],0))</f>
        <v>1</v>
      </c>
      <c r="F475">
        <f>VLOOKUP($A475,'ECOMMERS SALES'!$1:$500,MATCH('vlookup match'!F$1,ECOMMERS_SALES[#Headers],0))</f>
        <v>4471</v>
      </c>
      <c r="G475">
        <f>VLOOKUP($A475,'ECOMMERS SALES'!$1:$500,MATCH('vlookup match'!G$1,ECOMMERS_SALES[#Headers],0))</f>
        <v>4471</v>
      </c>
      <c r="H475" t="str">
        <f>VLOOKUP($A475,'ECOMMERS SALES'!$1:$500,MATCH('vlookup match'!H$1,ECOMMERS_SALES[#Headers],0))</f>
        <v>Delhi</v>
      </c>
      <c r="I475" t="str">
        <f>VLOOKUP($A475,'ECOMMERS SALES'!$1:$500,MATCH('vlookup match'!I$1,ECOMMERS_SALES[#Headers],0))</f>
        <v>New</v>
      </c>
      <c r="J475" t="str">
        <f>VLOOKUP($A475,'ECOMMERS SALES'!$1:$500,MATCH('vlookup match'!J$1,ECOMMERS_SALES[#Headers],0))</f>
        <v>COD</v>
      </c>
    </row>
    <row r="476" spans="1:10" x14ac:dyDescent="0.35">
      <c r="A476">
        <v>1475</v>
      </c>
      <c r="B476" t="str">
        <f>VLOOKUP($A476,'ECOMMERS SALES'!$1:$500,MATCH('vlookup match'!B$1,ECOMMERS_SALES[#Headers],0))</f>
        <v>21-04-2026</v>
      </c>
      <c r="C476" t="str">
        <f>VLOOKUP($A476,'ECOMMERS SALES'!$1:$500,MATCH('vlookup match'!C$1,ECOMMERS_SALES[#Headers],0))</f>
        <v>Mobile Case</v>
      </c>
      <c r="D476" t="str">
        <f>VLOOKUP($A476,'ECOMMERS SALES'!$1:$500,MATCH('vlookup match'!D$1,ECOMMERS_SALES[#Headers],0))</f>
        <v>Other</v>
      </c>
      <c r="E476">
        <f>VLOOKUP($A476,'ECOMMERS SALES'!$1:$500,MATCH('vlookup match'!E$1,ECOMMERS_SALES[#Headers],0))</f>
        <v>2</v>
      </c>
      <c r="F476">
        <f>VLOOKUP($A476,'ECOMMERS SALES'!$1:$500,MATCH('vlookup match'!F$1,ECOMMERS_SALES[#Headers],0))</f>
        <v>732</v>
      </c>
      <c r="G476">
        <f>VLOOKUP($A476,'ECOMMERS SALES'!$1:$500,MATCH('vlookup match'!G$1,ECOMMERS_SALES[#Headers],0))</f>
        <v>1464</v>
      </c>
      <c r="H476" t="str">
        <f>VLOOKUP($A476,'ECOMMERS SALES'!$1:$500,MATCH('vlookup match'!H$1,ECOMMERS_SALES[#Headers],0))</f>
        <v>Hyderabad</v>
      </c>
      <c r="I476" t="str">
        <f>VLOOKUP($A476,'ECOMMERS SALES'!$1:$500,MATCH('vlookup match'!I$1,ECOMMERS_SALES[#Headers],0))</f>
        <v>Premimum</v>
      </c>
      <c r="J476" t="str">
        <f>VLOOKUP($A476,'ECOMMERS SALES'!$1:$500,MATCH('vlookup match'!J$1,ECOMMERS_SALES[#Headers],0))</f>
        <v>Card</v>
      </c>
    </row>
    <row r="477" spans="1:10" x14ac:dyDescent="0.35">
      <c r="A477">
        <v>1476</v>
      </c>
      <c r="B477" t="str">
        <f>VLOOKUP($A477,'ECOMMERS SALES'!$1:$500,MATCH('vlookup match'!B$1,ECOMMERS_SALES[#Headers],0))</f>
        <v>22-04-2026</v>
      </c>
      <c r="C477" t="str">
        <f>VLOOKUP($A477,'ECOMMERS SALES'!$1:$500,MATCH('vlookup match'!C$1,ECOMMERS_SALES[#Headers],0))</f>
        <v>Tablet</v>
      </c>
      <c r="D477" t="str">
        <f>VLOOKUP($A477,'ECOMMERS SALES'!$1:$500,MATCH('vlookup match'!D$1,ECOMMERS_SALES[#Headers],0))</f>
        <v>Electronics</v>
      </c>
      <c r="E477">
        <f>VLOOKUP($A477,'ECOMMERS SALES'!$1:$500,MATCH('vlookup match'!E$1,ECOMMERS_SALES[#Headers],0))</f>
        <v>2</v>
      </c>
      <c r="F477">
        <f>VLOOKUP($A477,'ECOMMERS SALES'!$1:$500,MATCH('vlookup match'!F$1,ECOMMERS_SALES[#Headers],0))</f>
        <v>14850</v>
      </c>
      <c r="G477">
        <f>VLOOKUP($A477,'ECOMMERS SALES'!$1:$500,MATCH('vlookup match'!G$1,ECOMMERS_SALES[#Headers],0))</f>
        <v>29700</v>
      </c>
      <c r="H477" t="str">
        <f>VLOOKUP($A477,'ECOMMERS SALES'!$1:$500,MATCH('vlookup match'!H$1,ECOMMERS_SALES[#Headers],0))</f>
        <v>Pune</v>
      </c>
      <c r="I477" t="str">
        <f>VLOOKUP($A477,'ECOMMERS SALES'!$1:$500,MATCH('vlookup match'!I$1,ECOMMERS_SALES[#Headers],0))</f>
        <v>New</v>
      </c>
      <c r="J477" t="str">
        <f>VLOOKUP($A477,'ECOMMERS SALES'!$1:$500,MATCH('vlookup match'!J$1,ECOMMERS_SALES[#Headers],0))</f>
        <v>COD</v>
      </c>
    </row>
    <row r="478" spans="1:10" x14ac:dyDescent="0.35">
      <c r="A478">
        <v>1477</v>
      </c>
      <c r="B478" t="str">
        <f>VLOOKUP($A478,'ECOMMERS SALES'!$1:$500,MATCH('vlookup match'!B$1,ECOMMERS_SALES[#Headers],0))</f>
        <v>23-04-2026</v>
      </c>
      <c r="C478" t="str">
        <f>VLOOKUP($A478,'ECOMMERS SALES'!$1:$500,MATCH('vlookup match'!C$1,ECOMMERS_SALES[#Headers],0))</f>
        <v>Book</v>
      </c>
      <c r="D478" t="str">
        <f>VLOOKUP($A478,'ECOMMERS SALES'!$1:$500,MATCH('vlookup match'!D$1,ECOMMERS_SALES[#Headers],0))</f>
        <v>Books</v>
      </c>
      <c r="E478">
        <f>VLOOKUP($A478,'ECOMMERS SALES'!$1:$500,MATCH('vlookup match'!E$1,ECOMMERS_SALES[#Headers],0))</f>
        <v>2</v>
      </c>
      <c r="F478">
        <f>VLOOKUP($A478,'ECOMMERS SALES'!$1:$500,MATCH('vlookup match'!F$1,ECOMMERS_SALES[#Headers],0))</f>
        <v>179</v>
      </c>
      <c r="G478">
        <f>VLOOKUP($A478,'ECOMMERS SALES'!$1:$500,MATCH('vlookup match'!G$1,ECOMMERS_SALES[#Headers],0))</f>
        <v>358</v>
      </c>
      <c r="H478" t="str">
        <f>VLOOKUP($A478,'ECOMMERS SALES'!$1:$500,MATCH('vlookup match'!H$1,ECOMMERS_SALES[#Headers],0))</f>
        <v>Bangalore</v>
      </c>
      <c r="I478" t="str">
        <f>VLOOKUP($A478,'ECOMMERS SALES'!$1:$500,MATCH('vlookup match'!I$1,ECOMMERS_SALES[#Headers],0))</f>
        <v>Premimum</v>
      </c>
      <c r="J478" t="str">
        <f>VLOOKUP($A478,'ECOMMERS SALES'!$1:$500,MATCH('vlookup match'!J$1,ECOMMERS_SALES[#Headers],0))</f>
        <v>UPI</v>
      </c>
    </row>
    <row r="479" spans="1:10" x14ac:dyDescent="0.35">
      <c r="A479">
        <v>1478</v>
      </c>
      <c r="B479" t="str">
        <f>VLOOKUP($A479,'ECOMMERS SALES'!$1:$500,MATCH('vlookup match'!B$1,ECOMMERS_SALES[#Headers],0))</f>
        <v>24-04-2026</v>
      </c>
      <c r="C479" t="str">
        <f>VLOOKUP($A479,'ECOMMERS SALES'!$1:$500,MATCH('vlookup match'!C$1,ECOMMERS_SALES[#Headers],0))</f>
        <v>Backpack</v>
      </c>
      <c r="D479" t="str">
        <f>VLOOKUP($A479,'ECOMMERS SALES'!$1:$500,MATCH('vlookup match'!D$1,ECOMMERS_SALES[#Headers],0))</f>
        <v>Fashion</v>
      </c>
      <c r="E479">
        <f>VLOOKUP($A479,'ECOMMERS SALES'!$1:$500,MATCH('vlookup match'!E$1,ECOMMERS_SALES[#Headers],0))</f>
        <v>5</v>
      </c>
      <c r="F479">
        <f>VLOOKUP($A479,'ECOMMERS SALES'!$1:$500,MATCH('vlookup match'!F$1,ECOMMERS_SALES[#Headers],0))</f>
        <v>1213</v>
      </c>
      <c r="G479">
        <f>VLOOKUP($A479,'ECOMMERS SALES'!$1:$500,MATCH('vlookup match'!G$1,ECOMMERS_SALES[#Headers],0))</f>
        <v>6065</v>
      </c>
      <c r="H479" t="str">
        <f>VLOOKUP($A479,'ECOMMERS SALES'!$1:$500,MATCH('vlookup match'!H$1,ECOMMERS_SALES[#Headers],0))</f>
        <v>Mumbai</v>
      </c>
      <c r="I479" t="str">
        <f>VLOOKUP($A479,'ECOMMERS SALES'!$1:$500,MATCH('vlookup match'!I$1,ECOMMERS_SALES[#Headers],0))</f>
        <v>Premimum</v>
      </c>
      <c r="J479" t="str">
        <f>VLOOKUP($A479,'ECOMMERS SALES'!$1:$500,MATCH('vlookup match'!J$1,ECOMMERS_SALES[#Headers],0))</f>
        <v>COD</v>
      </c>
    </row>
    <row r="480" spans="1:10" x14ac:dyDescent="0.35">
      <c r="A480">
        <v>1479</v>
      </c>
      <c r="B480" t="str">
        <f>VLOOKUP($A480,'ECOMMERS SALES'!$1:$500,MATCH('vlookup match'!B$1,ECOMMERS_SALES[#Headers],0))</f>
        <v>25-04-2026</v>
      </c>
      <c r="C480" t="str">
        <f>VLOOKUP($A480,'ECOMMERS SALES'!$1:$500,MATCH('vlookup match'!C$1,ECOMMERS_SALES[#Headers],0))</f>
        <v>Smartwatch</v>
      </c>
      <c r="D480" t="str">
        <f>VLOOKUP($A480,'ECOMMERS SALES'!$1:$500,MATCH('vlookup match'!D$1,ECOMMERS_SALES[#Headers],0))</f>
        <v>Electronics</v>
      </c>
      <c r="E480">
        <f>VLOOKUP($A480,'ECOMMERS SALES'!$1:$500,MATCH('vlookup match'!E$1,ECOMMERS_SALES[#Headers],0))</f>
        <v>1</v>
      </c>
      <c r="F480">
        <f>VLOOKUP($A480,'ECOMMERS SALES'!$1:$500,MATCH('vlookup match'!F$1,ECOMMERS_SALES[#Headers],0))</f>
        <v>5171</v>
      </c>
      <c r="G480">
        <f>VLOOKUP($A480,'ECOMMERS SALES'!$1:$500,MATCH('vlookup match'!G$1,ECOMMERS_SALES[#Headers],0))</f>
        <v>5171</v>
      </c>
      <c r="H480" t="str">
        <f>VLOOKUP($A480,'ECOMMERS SALES'!$1:$500,MATCH('vlookup match'!H$1,ECOMMERS_SALES[#Headers],0))</f>
        <v>Mumbai</v>
      </c>
      <c r="I480" t="str">
        <f>VLOOKUP($A480,'ECOMMERS SALES'!$1:$500,MATCH('vlookup match'!I$1,ECOMMERS_SALES[#Headers],0))</f>
        <v>New</v>
      </c>
      <c r="J480" t="str">
        <f>VLOOKUP($A480,'ECOMMERS SALES'!$1:$500,MATCH('vlookup match'!J$1,ECOMMERS_SALES[#Headers],0))</f>
        <v>UPI</v>
      </c>
    </row>
    <row r="481" spans="1:10" x14ac:dyDescent="0.35">
      <c r="A481">
        <v>1480</v>
      </c>
      <c r="B481" t="str">
        <f>VLOOKUP($A481,'ECOMMERS SALES'!$1:$500,MATCH('vlookup match'!B$1,ECOMMERS_SALES[#Headers],0))</f>
        <v>26-04-2026</v>
      </c>
      <c r="C481" t="str">
        <f>VLOOKUP($A481,'ECOMMERS SALES'!$1:$500,MATCH('vlookup match'!C$1,ECOMMERS_SALES[#Headers],0))</f>
        <v>Water Bottle</v>
      </c>
      <c r="D481" t="str">
        <f>VLOOKUP($A481,'ECOMMERS SALES'!$1:$500,MATCH('vlookup match'!D$1,ECOMMERS_SALES[#Headers],0))</f>
        <v>Other</v>
      </c>
      <c r="E481">
        <f>VLOOKUP($A481,'ECOMMERS SALES'!$1:$500,MATCH('vlookup match'!E$1,ECOMMERS_SALES[#Headers],0))</f>
        <v>1</v>
      </c>
      <c r="F481">
        <f>VLOOKUP($A481,'ECOMMERS SALES'!$1:$500,MATCH('vlookup match'!F$1,ECOMMERS_SALES[#Headers],0))</f>
        <v>731</v>
      </c>
      <c r="G481">
        <f>VLOOKUP($A481,'ECOMMERS SALES'!$1:$500,MATCH('vlookup match'!G$1,ECOMMERS_SALES[#Headers],0))</f>
        <v>731</v>
      </c>
      <c r="H481" t="str">
        <f>VLOOKUP($A481,'ECOMMERS SALES'!$1:$500,MATCH('vlookup match'!H$1,ECOMMERS_SALES[#Headers],0))</f>
        <v>Chennai</v>
      </c>
      <c r="I481" t="str">
        <f>VLOOKUP($A481,'ECOMMERS SALES'!$1:$500,MATCH('vlookup match'!I$1,ECOMMERS_SALES[#Headers],0))</f>
        <v>Returning</v>
      </c>
      <c r="J481" t="str">
        <f>VLOOKUP($A481,'ECOMMERS SALES'!$1:$500,MATCH('vlookup match'!J$1,ECOMMERS_SALES[#Headers],0))</f>
        <v>Card</v>
      </c>
    </row>
    <row r="482" spans="1:10" x14ac:dyDescent="0.35">
      <c r="A482">
        <v>1481</v>
      </c>
      <c r="B482" t="str">
        <f>VLOOKUP($A482,'ECOMMERS SALES'!$1:$500,MATCH('vlookup match'!B$1,ECOMMERS_SALES[#Headers],0))</f>
        <v>27-04-2026</v>
      </c>
      <c r="C482" t="str">
        <f>VLOOKUP($A482,'ECOMMERS SALES'!$1:$500,MATCH('vlookup match'!C$1,ECOMMERS_SALES[#Headers],0))</f>
        <v>Laptop</v>
      </c>
      <c r="D482" t="str">
        <f>VLOOKUP($A482,'ECOMMERS SALES'!$1:$500,MATCH('vlookup match'!D$1,ECOMMERS_SALES[#Headers],0))</f>
        <v>Electronics</v>
      </c>
      <c r="E482">
        <f>VLOOKUP($A482,'ECOMMERS SALES'!$1:$500,MATCH('vlookup match'!E$1,ECOMMERS_SALES[#Headers],0))</f>
        <v>1</v>
      </c>
      <c r="F482">
        <f>VLOOKUP($A482,'ECOMMERS SALES'!$1:$500,MATCH('vlookup match'!F$1,ECOMMERS_SALES[#Headers],0))</f>
        <v>67499</v>
      </c>
      <c r="G482">
        <f>VLOOKUP($A482,'ECOMMERS SALES'!$1:$500,MATCH('vlookup match'!G$1,ECOMMERS_SALES[#Headers],0))</f>
        <v>67499</v>
      </c>
      <c r="H482" t="str">
        <f>VLOOKUP($A482,'ECOMMERS SALES'!$1:$500,MATCH('vlookup match'!H$1,ECOMMERS_SALES[#Headers],0))</f>
        <v>Chennai</v>
      </c>
      <c r="I482" t="str">
        <f>VLOOKUP($A482,'ECOMMERS SALES'!$1:$500,MATCH('vlookup match'!I$1,ECOMMERS_SALES[#Headers],0))</f>
        <v>Premimum</v>
      </c>
      <c r="J482" t="str">
        <f>VLOOKUP($A482,'ECOMMERS SALES'!$1:$500,MATCH('vlookup match'!J$1,ECOMMERS_SALES[#Headers],0))</f>
        <v>UPI</v>
      </c>
    </row>
    <row r="483" spans="1:10" x14ac:dyDescent="0.35">
      <c r="A483">
        <v>1482</v>
      </c>
      <c r="B483" t="str">
        <f>VLOOKUP($A483,'ECOMMERS SALES'!$1:$500,MATCH('vlookup match'!B$1,ECOMMERS_SALES[#Headers],0))</f>
        <v>28-04-2026</v>
      </c>
      <c r="C483" t="str">
        <f>VLOOKUP($A483,'ECOMMERS SALES'!$1:$500,MATCH('vlookup match'!C$1,ECOMMERS_SALES[#Headers],0))</f>
        <v>Headphones</v>
      </c>
      <c r="D483" t="str">
        <f>VLOOKUP($A483,'ECOMMERS SALES'!$1:$500,MATCH('vlookup match'!D$1,ECOMMERS_SALES[#Headers],0))</f>
        <v>Electronics</v>
      </c>
      <c r="E483">
        <f>VLOOKUP($A483,'ECOMMERS SALES'!$1:$500,MATCH('vlookup match'!E$1,ECOMMERS_SALES[#Headers],0))</f>
        <v>1</v>
      </c>
      <c r="F483">
        <f>VLOOKUP($A483,'ECOMMERS SALES'!$1:$500,MATCH('vlookup match'!F$1,ECOMMERS_SALES[#Headers],0))</f>
        <v>4107</v>
      </c>
      <c r="G483">
        <f>VLOOKUP($A483,'ECOMMERS SALES'!$1:$500,MATCH('vlookup match'!G$1,ECOMMERS_SALES[#Headers],0))</f>
        <v>4107</v>
      </c>
      <c r="H483" t="str">
        <f>VLOOKUP($A483,'ECOMMERS SALES'!$1:$500,MATCH('vlookup match'!H$1,ECOMMERS_SALES[#Headers],0))</f>
        <v>Delhi</v>
      </c>
      <c r="I483" t="str">
        <f>VLOOKUP($A483,'ECOMMERS SALES'!$1:$500,MATCH('vlookup match'!I$1,ECOMMERS_SALES[#Headers],0))</f>
        <v>New</v>
      </c>
      <c r="J483" t="str">
        <f>VLOOKUP($A483,'ECOMMERS SALES'!$1:$500,MATCH('vlookup match'!J$1,ECOMMERS_SALES[#Headers],0))</f>
        <v>Card</v>
      </c>
    </row>
    <row r="484" spans="1:10" x14ac:dyDescent="0.35">
      <c r="A484">
        <v>1483</v>
      </c>
      <c r="B484" t="str">
        <f>VLOOKUP($A484,'ECOMMERS SALES'!$1:$500,MATCH('vlookup match'!B$1,ECOMMERS_SALES[#Headers],0))</f>
        <v>29-04-2026</v>
      </c>
      <c r="C484" t="str">
        <f>VLOOKUP($A484,'ECOMMERS SALES'!$1:$500,MATCH('vlookup match'!C$1,ECOMMERS_SALES[#Headers],0))</f>
        <v>Shoes</v>
      </c>
      <c r="D484" t="str">
        <f>VLOOKUP($A484,'ECOMMERS SALES'!$1:$500,MATCH('vlookup match'!D$1,ECOMMERS_SALES[#Headers],0))</f>
        <v>Fashion</v>
      </c>
      <c r="E484">
        <f>VLOOKUP($A484,'ECOMMERS SALES'!$1:$500,MATCH('vlookup match'!E$1,ECOMMERS_SALES[#Headers],0))</f>
        <v>2</v>
      </c>
      <c r="F484">
        <f>VLOOKUP($A484,'ECOMMERS SALES'!$1:$500,MATCH('vlookup match'!F$1,ECOMMERS_SALES[#Headers],0))</f>
        <v>2690</v>
      </c>
      <c r="G484">
        <f>VLOOKUP($A484,'ECOMMERS SALES'!$1:$500,MATCH('vlookup match'!G$1,ECOMMERS_SALES[#Headers],0))</f>
        <v>5380</v>
      </c>
      <c r="H484" t="str">
        <f>VLOOKUP($A484,'ECOMMERS SALES'!$1:$500,MATCH('vlookup match'!H$1,ECOMMERS_SALES[#Headers],0))</f>
        <v>Hyderabad</v>
      </c>
      <c r="I484" t="str">
        <f>VLOOKUP($A484,'ECOMMERS SALES'!$1:$500,MATCH('vlookup match'!I$1,ECOMMERS_SALES[#Headers],0))</f>
        <v>Returning</v>
      </c>
      <c r="J484" t="str">
        <f>VLOOKUP($A484,'ECOMMERS SALES'!$1:$500,MATCH('vlookup match'!J$1,ECOMMERS_SALES[#Headers],0))</f>
        <v>Card</v>
      </c>
    </row>
    <row r="485" spans="1:10" x14ac:dyDescent="0.35">
      <c r="A485">
        <v>1484</v>
      </c>
      <c r="B485" t="str">
        <f>VLOOKUP($A485,'ECOMMERS SALES'!$1:$500,MATCH('vlookup match'!B$1,ECOMMERS_SALES[#Headers],0))</f>
        <v>30-04-2026</v>
      </c>
      <c r="C485" t="str">
        <f>VLOOKUP($A485,'ECOMMERS SALES'!$1:$500,MATCH('vlookup match'!C$1,ECOMMERS_SALES[#Headers],0))</f>
        <v>Watch</v>
      </c>
      <c r="D485" t="str">
        <f>VLOOKUP($A485,'ECOMMERS SALES'!$1:$500,MATCH('vlookup match'!D$1,ECOMMERS_SALES[#Headers],0))</f>
        <v>Other</v>
      </c>
      <c r="E485">
        <f>VLOOKUP($A485,'ECOMMERS SALES'!$1:$500,MATCH('vlookup match'!E$1,ECOMMERS_SALES[#Headers],0))</f>
        <v>5</v>
      </c>
      <c r="F485">
        <f>VLOOKUP($A485,'ECOMMERS SALES'!$1:$500,MATCH('vlookup match'!F$1,ECOMMERS_SALES[#Headers],0))</f>
        <v>8632</v>
      </c>
      <c r="G485">
        <f>VLOOKUP($A485,'ECOMMERS SALES'!$1:$500,MATCH('vlookup match'!G$1,ECOMMERS_SALES[#Headers],0))</f>
        <v>43160</v>
      </c>
      <c r="H485" t="str">
        <f>VLOOKUP($A485,'ECOMMERS SALES'!$1:$500,MATCH('vlookup match'!H$1,ECOMMERS_SALES[#Headers],0))</f>
        <v>Bangalore</v>
      </c>
      <c r="I485" t="str">
        <f>VLOOKUP($A485,'ECOMMERS SALES'!$1:$500,MATCH('vlookup match'!I$1,ECOMMERS_SALES[#Headers],0))</f>
        <v>Premimum</v>
      </c>
      <c r="J485" t="str">
        <f>VLOOKUP($A485,'ECOMMERS SALES'!$1:$500,MATCH('vlookup match'!J$1,ECOMMERS_SALES[#Headers],0))</f>
        <v>Card</v>
      </c>
    </row>
    <row r="486" spans="1:10" x14ac:dyDescent="0.35">
      <c r="A486">
        <v>1485</v>
      </c>
      <c r="B486" t="str">
        <f>VLOOKUP($A486,'ECOMMERS SALES'!$1:$500,MATCH('vlookup match'!B$1,ECOMMERS_SALES[#Headers],0))</f>
        <v>01-05-2026</v>
      </c>
      <c r="C486" t="str">
        <f>VLOOKUP($A486,'ECOMMERS SALES'!$1:$500,MATCH('vlookup match'!C$1,ECOMMERS_SALES[#Headers],0))</f>
        <v>Mobile Case</v>
      </c>
      <c r="D486" t="str">
        <f>VLOOKUP($A486,'ECOMMERS SALES'!$1:$500,MATCH('vlookup match'!D$1,ECOMMERS_SALES[#Headers],0))</f>
        <v>Other</v>
      </c>
      <c r="E486">
        <f>VLOOKUP($A486,'ECOMMERS SALES'!$1:$500,MATCH('vlookup match'!E$1,ECOMMERS_SALES[#Headers],0))</f>
        <v>2</v>
      </c>
      <c r="F486">
        <f>VLOOKUP($A486,'ECOMMERS SALES'!$1:$500,MATCH('vlookup match'!F$1,ECOMMERS_SALES[#Headers],0))</f>
        <v>746</v>
      </c>
      <c r="G486">
        <f>VLOOKUP($A486,'ECOMMERS SALES'!$1:$500,MATCH('vlookup match'!G$1,ECOMMERS_SALES[#Headers],0))</f>
        <v>1492</v>
      </c>
      <c r="H486" t="str">
        <f>VLOOKUP($A486,'ECOMMERS SALES'!$1:$500,MATCH('vlookup match'!H$1,ECOMMERS_SALES[#Headers],0))</f>
        <v>Pune</v>
      </c>
      <c r="I486" t="str">
        <f>VLOOKUP($A486,'ECOMMERS SALES'!$1:$500,MATCH('vlookup match'!I$1,ECOMMERS_SALES[#Headers],0))</f>
        <v>Returning</v>
      </c>
      <c r="J486" t="str">
        <f>VLOOKUP($A486,'ECOMMERS SALES'!$1:$500,MATCH('vlookup match'!J$1,ECOMMERS_SALES[#Headers],0))</f>
        <v>COD</v>
      </c>
    </row>
    <row r="487" spans="1:10" x14ac:dyDescent="0.35">
      <c r="A487">
        <v>1486</v>
      </c>
      <c r="B487" t="str">
        <f>VLOOKUP($A487,'ECOMMERS SALES'!$1:$500,MATCH('vlookup match'!B$1,ECOMMERS_SALES[#Headers],0))</f>
        <v>02-05-2026</v>
      </c>
      <c r="C487" t="str">
        <f>VLOOKUP($A487,'ECOMMERS SALES'!$1:$500,MATCH('vlookup match'!C$1,ECOMMERS_SALES[#Headers],0))</f>
        <v>Tablet</v>
      </c>
      <c r="D487" t="str">
        <f>VLOOKUP($A487,'ECOMMERS SALES'!$1:$500,MATCH('vlookup match'!D$1,ECOMMERS_SALES[#Headers],0))</f>
        <v>Electronics</v>
      </c>
      <c r="E487">
        <f>VLOOKUP($A487,'ECOMMERS SALES'!$1:$500,MATCH('vlookup match'!E$1,ECOMMERS_SALES[#Headers],0))</f>
        <v>2</v>
      </c>
      <c r="F487">
        <f>VLOOKUP($A487,'ECOMMERS SALES'!$1:$500,MATCH('vlookup match'!F$1,ECOMMERS_SALES[#Headers],0))</f>
        <v>19358</v>
      </c>
      <c r="G487">
        <f>VLOOKUP($A487,'ECOMMERS SALES'!$1:$500,MATCH('vlookup match'!G$1,ECOMMERS_SALES[#Headers],0))</f>
        <v>38716</v>
      </c>
      <c r="H487" t="str">
        <f>VLOOKUP($A487,'ECOMMERS SALES'!$1:$500,MATCH('vlookup match'!H$1,ECOMMERS_SALES[#Headers],0))</f>
        <v>Pune</v>
      </c>
      <c r="I487" t="str">
        <f>VLOOKUP($A487,'ECOMMERS SALES'!$1:$500,MATCH('vlookup match'!I$1,ECOMMERS_SALES[#Headers],0))</f>
        <v>New</v>
      </c>
      <c r="J487" t="str">
        <f>VLOOKUP($A487,'ECOMMERS SALES'!$1:$500,MATCH('vlookup match'!J$1,ECOMMERS_SALES[#Headers],0))</f>
        <v>UPI</v>
      </c>
    </row>
    <row r="488" spans="1:10" x14ac:dyDescent="0.35">
      <c r="A488">
        <v>1487</v>
      </c>
      <c r="B488" t="str">
        <f>VLOOKUP($A488,'ECOMMERS SALES'!$1:$500,MATCH('vlookup match'!B$1,ECOMMERS_SALES[#Headers],0))</f>
        <v>03-05-2026</v>
      </c>
      <c r="C488" t="str">
        <f>VLOOKUP($A488,'ECOMMERS SALES'!$1:$500,MATCH('vlookup match'!C$1,ECOMMERS_SALES[#Headers],0))</f>
        <v>Book</v>
      </c>
      <c r="D488" t="str">
        <f>VLOOKUP($A488,'ECOMMERS SALES'!$1:$500,MATCH('vlookup match'!D$1,ECOMMERS_SALES[#Headers],0))</f>
        <v>Books</v>
      </c>
      <c r="E488">
        <f>VLOOKUP($A488,'ECOMMERS SALES'!$1:$500,MATCH('vlookup match'!E$1,ECOMMERS_SALES[#Headers],0))</f>
        <v>3</v>
      </c>
      <c r="F488">
        <f>VLOOKUP($A488,'ECOMMERS SALES'!$1:$500,MATCH('vlookup match'!F$1,ECOMMERS_SALES[#Headers],0))</f>
        <v>128</v>
      </c>
      <c r="G488">
        <f>VLOOKUP($A488,'ECOMMERS SALES'!$1:$500,MATCH('vlookup match'!G$1,ECOMMERS_SALES[#Headers],0))</f>
        <v>384</v>
      </c>
      <c r="H488" t="str">
        <f>VLOOKUP($A488,'ECOMMERS SALES'!$1:$500,MATCH('vlookup match'!H$1,ECOMMERS_SALES[#Headers],0))</f>
        <v>Bangalore</v>
      </c>
      <c r="I488" t="str">
        <f>VLOOKUP($A488,'ECOMMERS SALES'!$1:$500,MATCH('vlookup match'!I$1,ECOMMERS_SALES[#Headers],0))</f>
        <v>Premimum</v>
      </c>
      <c r="J488" t="str">
        <f>VLOOKUP($A488,'ECOMMERS SALES'!$1:$500,MATCH('vlookup match'!J$1,ECOMMERS_SALES[#Headers],0))</f>
        <v>Card</v>
      </c>
    </row>
    <row r="489" spans="1:10" x14ac:dyDescent="0.35">
      <c r="A489">
        <v>1488</v>
      </c>
      <c r="B489" t="str">
        <f>VLOOKUP($A489,'ECOMMERS SALES'!$1:$500,MATCH('vlookup match'!B$1,ECOMMERS_SALES[#Headers],0))</f>
        <v>04-05-2026</v>
      </c>
      <c r="C489" t="str">
        <f>VLOOKUP($A489,'ECOMMERS SALES'!$1:$500,MATCH('vlookup match'!C$1,ECOMMERS_SALES[#Headers],0))</f>
        <v>Backpack</v>
      </c>
      <c r="D489" t="str">
        <f>VLOOKUP($A489,'ECOMMERS SALES'!$1:$500,MATCH('vlookup match'!D$1,ECOMMERS_SALES[#Headers],0))</f>
        <v>Fashion</v>
      </c>
      <c r="E489">
        <f>VLOOKUP($A489,'ECOMMERS SALES'!$1:$500,MATCH('vlookup match'!E$1,ECOMMERS_SALES[#Headers],0))</f>
        <v>2</v>
      </c>
      <c r="F489">
        <f>VLOOKUP($A489,'ECOMMERS SALES'!$1:$500,MATCH('vlookup match'!F$1,ECOMMERS_SALES[#Headers],0))</f>
        <v>1440</v>
      </c>
      <c r="G489">
        <f>VLOOKUP($A489,'ECOMMERS SALES'!$1:$500,MATCH('vlookup match'!G$1,ECOMMERS_SALES[#Headers],0))</f>
        <v>2880</v>
      </c>
      <c r="H489" t="str">
        <f>VLOOKUP($A489,'ECOMMERS SALES'!$1:$500,MATCH('vlookup match'!H$1,ECOMMERS_SALES[#Headers],0))</f>
        <v>Delhi</v>
      </c>
      <c r="I489" t="str">
        <f>VLOOKUP($A489,'ECOMMERS SALES'!$1:$500,MATCH('vlookup match'!I$1,ECOMMERS_SALES[#Headers],0))</f>
        <v>Premimum</v>
      </c>
      <c r="J489" t="str">
        <f>VLOOKUP($A489,'ECOMMERS SALES'!$1:$500,MATCH('vlookup match'!J$1,ECOMMERS_SALES[#Headers],0))</f>
        <v>COD</v>
      </c>
    </row>
    <row r="490" spans="1:10" x14ac:dyDescent="0.35">
      <c r="A490">
        <v>1489</v>
      </c>
      <c r="B490" t="str">
        <f>VLOOKUP($A490,'ECOMMERS SALES'!$1:$500,MATCH('vlookup match'!B$1,ECOMMERS_SALES[#Headers],0))</f>
        <v>05-05-2026</v>
      </c>
      <c r="C490" t="str">
        <f>VLOOKUP($A490,'ECOMMERS SALES'!$1:$500,MATCH('vlookup match'!C$1,ECOMMERS_SALES[#Headers],0))</f>
        <v>Smartwatch</v>
      </c>
      <c r="D490" t="str">
        <f>VLOOKUP($A490,'ECOMMERS SALES'!$1:$500,MATCH('vlookup match'!D$1,ECOMMERS_SALES[#Headers],0))</f>
        <v>Electronics</v>
      </c>
      <c r="E490">
        <f>VLOOKUP($A490,'ECOMMERS SALES'!$1:$500,MATCH('vlookup match'!E$1,ECOMMERS_SALES[#Headers],0))</f>
        <v>1</v>
      </c>
      <c r="F490">
        <f>VLOOKUP($A490,'ECOMMERS SALES'!$1:$500,MATCH('vlookup match'!F$1,ECOMMERS_SALES[#Headers],0))</f>
        <v>14302</v>
      </c>
      <c r="G490">
        <f>VLOOKUP($A490,'ECOMMERS SALES'!$1:$500,MATCH('vlookup match'!G$1,ECOMMERS_SALES[#Headers],0))</f>
        <v>14302</v>
      </c>
      <c r="H490" t="str">
        <f>VLOOKUP($A490,'ECOMMERS SALES'!$1:$500,MATCH('vlookup match'!H$1,ECOMMERS_SALES[#Headers],0))</f>
        <v>Chennai</v>
      </c>
      <c r="I490" t="str">
        <f>VLOOKUP($A490,'ECOMMERS SALES'!$1:$500,MATCH('vlookup match'!I$1,ECOMMERS_SALES[#Headers],0))</f>
        <v>Returning</v>
      </c>
      <c r="J490" t="str">
        <f>VLOOKUP($A490,'ECOMMERS SALES'!$1:$500,MATCH('vlookup match'!J$1,ECOMMERS_SALES[#Headers],0))</f>
        <v>COD</v>
      </c>
    </row>
    <row r="491" spans="1:10" x14ac:dyDescent="0.35">
      <c r="A491">
        <v>1490</v>
      </c>
      <c r="B491" t="str">
        <f>VLOOKUP($A491,'ECOMMERS SALES'!$1:$500,MATCH('vlookup match'!B$1,ECOMMERS_SALES[#Headers],0))</f>
        <v>06-05-2026</v>
      </c>
      <c r="C491" t="str">
        <f>VLOOKUP($A491,'ECOMMERS SALES'!$1:$500,MATCH('vlookup match'!C$1,ECOMMERS_SALES[#Headers],0))</f>
        <v>Water Bottle</v>
      </c>
      <c r="D491" t="str">
        <f>VLOOKUP($A491,'ECOMMERS SALES'!$1:$500,MATCH('vlookup match'!D$1,ECOMMERS_SALES[#Headers],0))</f>
        <v>Other</v>
      </c>
      <c r="E491">
        <f>VLOOKUP($A491,'ECOMMERS SALES'!$1:$500,MATCH('vlookup match'!E$1,ECOMMERS_SALES[#Headers],0))</f>
        <v>5</v>
      </c>
      <c r="F491">
        <f>VLOOKUP($A491,'ECOMMERS SALES'!$1:$500,MATCH('vlookup match'!F$1,ECOMMERS_SALES[#Headers],0))</f>
        <v>296</v>
      </c>
      <c r="G491">
        <f>VLOOKUP($A491,'ECOMMERS SALES'!$1:$500,MATCH('vlookup match'!G$1,ECOMMERS_SALES[#Headers],0))</f>
        <v>1480</v>
      </c>
      <c r="H491" t="str">
        <f>VLOOKUP($A491,'ECOMMERS SALES'!$1:$500,MATCH('vlookup match'!H$1,ECOMMERS_SALES[#Headers],0))</f>
        <v>Mumbai</v>
      </c>
      <c r="I491" t="str">
        <f>VLOOKUP($A491,'ECOMMERS SALES'!$1:$500,MATCH('vlookup match'!I$1,ECOMMERS_SALES[#Headers],0))</f>
        <v>New</v>
      </c>
      <c r="J491" t="str">
        <f>VLOOKUP($A491,'ECOMMERS SALES'!$1:$500,MATCH('vlookup match'!J$1,ECOMMERS_SALES[#Headers],0))</f>
        <v>Card</v>
      </c>
    </row>
    <row r="492" spans="1:10" x14ac:dyDescent="0.35">
      <c r="A492">
        <v>1491</v>
      </c>
      <c r="B492" t="str">
        <f>VLOOKUP($A492,'ECOMMERS SALES'!$1:$500,MATCH('vlookup match'!B$1,ECOMMERS_SALES[#Headers],0))</f>
        <v>07-05-2026</v>
      </c>
      <c r="C492" t="str">
        <f>VLOOKUP($A492,'ECOMMERS SALES'!$1:$500,MATCH('vlookup match'!C$1,ECOMMERS_SALES[#Headers],0))</f>
        <v>Laptop</v>
      </c>
      <c r="D492" t="str">
        <f>VLOOKUP($A492,'ECOMMERS SALES'!$1:$500,MATCH('vlookup match'!D$1,ECOMMERS_SALES[#Headers],0))</f>
        <v>Electronics</v>
      </c>
      <c r="E492">
        <f>VLOOKUP($A492,'ECOMMERS SALES'!$1:$500,MATCH('vlookup match'!E$1,ECOMMERS_SALES[#Headers],0))</f>
        <v>2</v>
      </c>
      <c r="F492">
        <f>VLOOKUP($A492,'ECOMMERS SALES'!$1:$500,MATCH('vlookup match'!F$1,ECOMMERS_SALES[#Headers],0))</f>
        <v>63623</v>
      </c>
      <c r="G492">
        <f>VLOOKUP($A492,'ECOMMERS SALES'!$1:$500,MATCH('vlookup match'!G$1,ECOMMERS_SALES[#Headers],0))</f>
        <v>127246</v>
      </c>
      <c r="H492" t="str">
        <f>VLOOKUP($A492,'ECOMMERS SALES'!$1:$500,MATCH('vlookup match'!H$1,ECOMMERS_SALES[#Headers],0))</f>
        <v>Mumbai</v>
      </c>
      <c r="I492" t="str">
        <f>VLOOKUP($A492,'ECOMMERS SALES'!$1:$500,MATCH('vlookup match'!I$1,ECOMMERS_SALES[#Headers],0))</f>
        <v>Premimum</v>
      </c>
      <c r="J492" t="str">
        <f>VLOOKUP($A492,'ECOMMERS SALES'!$1:$500,MATCH('vlookup match'!J$1,ECOMMERS_SALES[#Headers],0))</f>
        <v>UPI</v>
      </c>
    </row>
    <row r="493" spans="1:10" x14ac:dyDescent="0.35">
      <c r="A493">
        <v>1492</v>
      </c>
      <c r="B493" t="str">
        <f>VLOOKUP($A493,'ECOMMERS SALES'!$1:$500,MATCH('vlookup match'!B$1,ECOMMERS_SALES[#Headers],0))</f>
        <v>08-05-2026</v>
      </c>
      <c r="C493" t="str">
        <f>VLOOKUP($A493,'ECOMMERS SALES'!$1:$500,MATCH('vlookup match'!C$1,ECOMMERS_SALES[#Headers],0))</f>
        <v>Headphones</v>
      </c>
      <c r="D493" t="str">
        <f>VLOOKUP($A493,'ECOMMERS SALES'!$1:$500,MATCH('vlookup match'!D$1,ECOMMERS_SALES[#Headers],0))</f>
        <v>Electronics</v>
      </c>
      <c r="E493">
        <f>VLOOKUP($A493,'ECOMMERS SALES'!$1:$500,MATCH('vlookup match'!E$1,ECOMMERS_SALES[#Headers],0))</f>
        <v>1</v>
      </c>
      <c r="F493">
        <f>VLOOKUP($A493,'ECOMMERS SALES'!$1:$500,MATCH('vlookup match'!F$1,ECOMMERS_SALES[#Headers],0))</f>
        <v>2952</v>
      </c>
      <c r="G493">
        <f>VLOOKUP($A493,'ECOMMERS SALES'!$1:$500,MATCH('vlookup match'!G$1,ECOMMERS_SALES[#Headers],0))</f>
        <v>2952</v>
      </c>
      <c r="H493" t="str">
        <f>VLOOKUP($A493,'ECOMMERS SALES'!$1:$500,MATCH('vlookup match'!H$1,ECOMMERS_SALES[#Headers],0))</f>
        <v>Mumbai</v>
      </c>
      <c r="I493" t="str">
        <f>VLOOKUP($A493,'ECOMMERS SALES'!$1:$500,MATCH('vlookup match'!I$1,ECOMMERS_SALES[#Headers],0))</f>
        <v>New</v>
      </c>
      <c r="J493" t="str">
        <f>VLOOKUP($A493,'ECOMMERS SALES'!$1:$500,MATCH('vlookup match'!J$1,ECOMMERS_SALES[#Headers],0))</f>
        <v>Card</v>
      </c>
    </row>
    <row r="494" spans="1:10" x14ac:dyDescent="0.35">
      <c r="A494">
        <v>1493</v>
      </c>
      <c r="B494" t="str">
        <f>VLOOKUP($A494,'ECOMMERS SALES'!$1:$500,MATCH('vlookup match'!B$1,ECOMMERS_SALES[#Headers],0))</f>
        <v>09-05-2026</v>
      </c>
      <c r="C494" t="str">
        <f>VLOOKUP($A494,'ECOMMERS SALES'!$1:$500,MATCH('vlookup match'!C$1,ECOMMERS_SALES[#Headers],0))</f>
        <v>Shoes</v>
      </c>
      <c r="D494" t="str">
        <f>VLOOKUP($A494,'ECOMMERS SALES'!$1:$500,MATCH('vlookup match'!D$1,ECOMMERS_SALES[#Headers],0))</f>
        <v>Fashion</v>
      </c>
      <c r="E494">
        <f>VLOOKUP($A494,'ECOMMERS SALES'!$1:$500,MATCH('vlookup match'!E$1,ECOMMERS_SALES[#Headers],0))</f>
        <v>3</v>
      </c>
      <c r="F494">
        <f>VLOOKUP($A494,'ECOMMERS SALES'!$1:$500,MATCH('vlookup match'!F$1,ECOMMERS_SALES[#Headers],0))</f>
        <v>4415</v>
      </c>
      <c r="G494">
        <f>VLOOKUP($A494,'ECOMMERS SALES'!$1:$500,MATCH('vlookup match'!G$1,ECOMMERS_SALES[#Headers],0))</f>
        <v>13245</v>
      </c>
      <c r="H494" t="str">
        <f>VLOOKUP($A494,'ECOMMERS SALES'!$1:$500,MATCH('vlookup match'!H$1,ECOMMERS_SALES[#Headers],0))</f>
        <v>Delhi</v>
      </c>
      <c r="I494" t="str">
        <f>VLOOKUP($A494,'ECOMMERS SALES'!$1:$500,MATCH('vlookup match'!I$1,ECOMMERS_SALES[#Headers],0))</f>
        <v>New</v>
      </c>
      <c r="J494" t="str">
        <f>VLOOKUP($A494,'ECOMMERS SALES'!$1:$500,MATCH('vlookup match'!J$1,ECOMMERS_SALES[#Headers],0))</f>
        <v>Card</v>
      </c>
    </row>
    <row r="495" spans="1:10" x14ac:dyDescent="0.35">
      <c r="A495">
        <v>1494</v>
      </c>
      <c r="B495" t="str">
        <f>VLOOKUP($A495,'ECOMMERS SALES'!$1:$500,MATCH('vlookup match'!B$1,ECOMMERS_SALES[#Headers],0))</f>
        <v>10-05-2026</v>
      </c>
      <c r="C495" t="str">
        <f>VLOOKUP($A495,'ECOMMERS SALES'!$1:$500,MATCH('vlookup match'!C$1,ECOMMERS_SALES[#Headers],0))</f>
        <v>Watch</v>
      </c>
      <c r="D495" t="str">
        <f>VLOOKUP($A495,'ECOMMERS SALES'!$1:$500,MATCH('vlookup match'!D$1,ECOMMERS_SALES[#Headers],0))</f>
        <v>Other</v>
      </c>
      <c r="E495">
        <f>VLOOKUP($A495,'ECOMMERS SALES'!$1:$500,MATCH('vlookup match'!E$1,ECOMMERS_SALES[#Headers],0))</f>
        <v>1</v>
      </c>
      <c r="F495">
        <f>VLOOKUP($A495,'ECOMMERS SALES'!$1:$500,MATCH('vlookup match'!F$1,ECOMMERS_SALES[#Headers],0))</f>
        <v>12572</v>
      </c>
      <c r="G495">
        <f>VLOOKUP($A495,'ECOMMERS SALES'!$1:$500,MATCH('vlookup match'!G$1,ECOMMERS_SALES[#Headers],0))</f>
        <v>12572</v>
      </c>
      <c r="H495" t="str">
        <f>VLOOKUP($A495,'ECOMMERS SALES'!$1:$500,MATCH('vlookup match'!H$1,ECOMMERS_SALES[#Headers],0))</f>
        <v>Bangalore</v>
      </c>
      <c r="I495" t="str">
        <f>VLOOKUP($A495,'ECOMMERS SALES'!$1:$500,MATCH('vlookup match'!I$1,ECOMMERS_SALES[#Headers],0))</f>
        <v>New</v>
      </c>
      <c r="J495" t="str">
        <f>VLOOKUP($A495,'ECOMMERS SALES'!$1:$500,MATCH('vlookup match'!J$1,ECOMMERS_SALES[#Headers],0))</f>
        <v>COD</v>
      </c>
    </row>
    <row r="496" spans="1:10" x14ac:dyDescent="0.35">
      <c r="A496">
        <v>1495</v>
      </c>
      <c r="B496" t="str">
        <f>VLOOKUP($A496,'ECOMMERS SALES'!$1:$500,MATCH('vlookup match'!B$1,ECOMMERS_SALES[#Headers],0))</f>
        <v>11-05-2026</v>
      </c>
      <c r="C496" t="str">
        <f>VLOOKUP($A496,'ECOMMERS SALES'!$1:$500,MATCH('vlookup match'!C$1,ECOMMERS_SALES[#Headers],0))</f>
        <v>Mobile Case</v>
      </c>
      <c r="D496" t="str">
        <f>VLOOKUP($A496,'ECOMMERS SALES'!$1:$500,MATCH('vlookup match'!D$1,ECOMMERS_SALES[#Headers],0))</f>
        <v>Other</v>
      </c>
      <c r="E496">
        <f>VLOOKUP($A496,'ECOMMERS SALES'!$1:$500,MATCH('vlookup match'!E$1,ECOMMERS_SALES[#Headers],0))</f>
        <v>5</v>
      </c>
      <c r="F496">
        <f>VLOOKUP($A496,'ECOMMERS SALES'!$1:$500,MATCH('vlookup match'!F$1,ECOMMERS_SALES[#Headers],0))</f>
        <v>745</v>
      </c>
      <c r="G496">
        <f>VLOOKUP($A496,'ECOMMERS SALES'!$1:$500,MATCH('vlookup match'!G$1,ECOMMERS_SALES[#Headers],0))</f>
        <v>3725</v>
      </c>
      <c r="H496" t="str">
        <f>VLOOKUP($A496,'ECOMMERS SALES'!$1:$500,MATCH('vlookup match'!H$1,ECOMMERS_SALES[#Headers],0))</f>
        <v>Bangalore</v>
      </c>
      <c r="I496" t="str">
        <f>VLOOKUP($A496,'ECOMMERS SALES'!$1:$500,MATCH('vlookup match'!I$1,ECOMMERS_SALES[#Headers],0))</f>
        <v>Returning</v>
      </c>
      <c r="J496" t="str">
        <f>VLOOKUP($A496,'ECOMMERS SALES'!$1:$500,MATCH('vlookup match'!J$1,ECOMMERS_SALES[#Headers],0))</f>
        <v>Card</v>
      </c>
    </row>
    <row r="497" spans="1:10" x14ac:dyDescent="0.35">
      <c r="A497">
        <v>1496</v>
      </c>
      <c r="B497" t="str">
        <f>VLOOKUP($A497,'ECOMMERS SALES'!$1:$500,MATCH('vlookup match'!B$1,ECOMMERS_SALES[#Headers],0))</f>
        <v>12-05-2026</v>
      </c>
      <c r="C497" t="str">
        <f>VLOOKUP($A497,'ECOMMERS SALES'!$1:$500,MATCH('vlookup match'!C$1,ECOMMERS_SALES[#Headers],0))</f>
        <v>Tablet</v>
      </c>
      <c r="D497" t="str">
        <f>VLOOKUP($A497,'ECOMMERS SALES'!$1:$500,MATCH('vlookup match'!D$1,ECOMMERS_SALES[#Headers],0))</f>
        <v>Electronics</v>
      </c>
      <c r="E497">
        <f>VLOOKUP($A497,'ECOMMERS SALES'!$1:$500,MATCH('vlookup match'!E$1,ECOMMERS_SALES[#Headers],0))</f>
        <v>1</v>
      </c>
      <c r="F497">
        <f>VLOOKUP($A497,'ECOMMERS SALES'!$1:$500,MATCH('vlookup match'!F$1,ECOMMERS_SALES[#Headers],0))</f>
        <v>30973</v>
      </c>
      <c r="G497">
        <f>VLOOKUP($A497,'ECOMMERS SALES'!$1:$500,MATCH('vlookup match'!G$1,ECOMMERS_SALES[#Headers],0))</f>
        <v>30973</v>
      </c>
      <c r="H497" t="str">
        <f>VLOOKUP($A497,'ECOMMERS SALES'!$1:$500,MATCH('vlookup match'!H$1,ECOMMERS_SALES[#Headers],0))</f>
        <v>Mumbai</v>
      </c>
      <c r="I497" t="str">
        <f>VLOOKUP($A497,'ECOMMERS SALES'!$1:$500,MATCH('vlookup match'!I$1,ECOMMERS_SALES[#Headers],0))</f>
        <v>Premimum</v>
      </c>
      <c r="J497" t="str">
        <f>VLOOKUP($A497,'ECOMMERS SALES'!$1:$500,MATCH('vlookup match'!J$1,ECOMMERS_SALES[#Headers],0))</f>
        <v>COD</v>
      </c>
    </row>
    <row r="498" spans="1:10" x14ac:dyDescent="0.35">
      <c r="A498">
        <v>1497</v>
      </c>
      <c r="B498" t="str">
        <f>VLOOKUP($A498,'ECOMMERS SALES'!$1:$500,MATCH('vlookup match'!B$1,ECOMMERS_SALES[#Headers],0))</f>
        <v>13-05-2026</v>
      </c>
      <c r="C498" t="str">
        <f>VLOOKUP($A498,'ECOMMERS SALES'!$1:$500,MATCH('vlookup match'!C$1,ECOMMERS_SALES[#Headers],0))</f>
        <v>Book</v>
      </c>
      <c r="D498" t="str">
        <f>VLOOKUP($A498,'ECOMMERS SALES'!$1:$500,MATCH('vlookup match'!D$1,ECOMMERS_SALES[#Headers],0))</f>
        <v>Books</v>
      </c>
      <c r="E498">
        <f>VLOOKUP($A498,'ECOMMERS SALES'!$1:$500,MATCH('vlookup match'!E$1,ECOMMERS_SALES[#Headers],0))</f>
        <v>5</v>
      </c>
      <c r="F498">
        <f>VLOOKUP($A498,'ECOMMERS SALES'!$1:$500,MATCH('vlookup match'!F$1,ECOMMERS_SALES[#Headers],0))</f>
        <v>756</v>
      </c>
      <c r="G498">
        <f>VLOOKUP($A498,'ECOMMERS SALES'!$1:$500,MATCH('vlookup match'!G$1,ECOMMERS_SALES[#Headers],0))</f>
        <v>3780</v>
      </c>
      <c r="H498" t="str">
        <f>VLOOKUP($A498,'ECOMMERS SALES'!$1:$500,MATCH('vlookup match'!H$1,ECOMMERS_SALES[#Headers],0))</f>
        <v>Mumbai</v>
      </c>
      <c r="I498" t="str">
        <f>VLOOKUP($A498,'ECOMMERS SALES'!$1:$500,MATCH('vlookup match'!I$1,ECOMMERS_SALES[#Headers],0))</f>
        <v>New</v>
      </c>
      <c r="J498" t="str">
        <f>VLOOKUP($A498,'ECOMMERS SALES'!$1:$500,MATCH('vlookup match'!J$1,ECOMMERS_SALES[#Headers],0))</f>
        <v>UPI</v>
      </c>
    </row>
    <row r="499" spans="1:10" x14ac:dyDescent="0.35">
      <c r="A499">
        <v>1498</v>
      </c>
      <c r="B499" t="str">
        <f>VLOOKUP($A499,'ECOMMERS SALES'!$1:$500,MATCH('vlookup match'!B$1,ECOMMERS_SALES[#Headers],0))</f>
        <v>14-05-2026</v>
      </c>
      <c r="C499" t="str">
        <f>VLOOKUP($A499,'ECOMMERS SALES'!$1:$500,MATCH('vlookup match'!C$1,ECOMMERS_SALES[#Headers],0))</f>
        <v>Backpack</v>
      </c>
      <c r="D499" t="str">
        <f>VLOOKUP($A499,'ECOMMERS SALES'!$1:$500,MATCH('vlookup match'!D$1,ECOMMERS_SALES[#Headers],0))</f>
        <v>Fashion</v>
      </c>
      <c r="E499">
        <f>VLOOKUP($A499,'ECOMMERS SALES'!$1:$500,MATCH('vlookup match'!E$1,ECOMMERS_SALES[#Headers],0))</f>
        <v>1</v>
      </c>
      <c r="F499">
        <f>VLOOKUP($A499,'ECOMMERS SALES'!$1:$500,MATCH('vlookup match'!F$1,ECOMMERS_SALES[#Headers],0))</f>
        <v>966</v>
      </c>
      <c r="G499">
        <f>VLOOKUP($A499,'ECOMMERS SALES'!$1:$500,MATCH('vlookup match'!G$1,ECOMMERS_SALES[#Headers],0))</f>
        <v>966</v>
      </c>
      <c r="H499" t="str">
        <f>VLOOKUP($A499,'ECOMMERS SALES'!$1:$500,MATCH('vlookup match'!H$1,ECOMMERS_SALES[#Headers],0))</f>
        <v>Pune</v>
      </c>
      <c r="I499" t="str">
        <f>VLOOKUP($A499,'ECOMMERS SALES'!$1:$500,MATCH('vlookup match'!I$1,ECOMMERS_SALES[#Headers],0))</f>
        <v>Premimum</v>
      </c>
      <c r="J499" t="str">
        <f>VLOOKUP($A499,'ECOMMERS SALES'!$1:$500,MATCH('vlookup match'!J$1,ECOMMERS_SALES[#Headers],0))</f>
        <v>Card</v>
      </c>
    </row>
    <row r="500" spans="1:10" x14ac:dyDescent="0.35">
      <c r="A500">
        <v>1499</v>
      </c>
      <c r="B500" t="str">
        <f>VLOOKUP($A500,'ECOMMERS SALES'!$1:$500,MATCH('vlookup match'!B$1,ECOMMERS_SALES[#Headers],0))</f>
        <v>15-05-2026</v>
      </c>
      <c r="C500" t="str">
        <f>VLOOKUP($A500,'ECOMMERS SALES'!$1:$500,MATCH('vlookup match'!C$1,ECOMMERS_SALES[#Headers],0))</f>
        <v>Smartwatch</v>
      </c>
      <c r="D500" t="str">
        <f>VLOOKUP($A500,'ECOMMERS SALES'!$1:$500,MATCH('vlookup match'!D$1,ECOMMERS_SALES[#Headers],0))</f>
        <v>Electronics</v>
      </c>
      <c r="E500">
        <f>VLOOKUP($A500,'ECOMMERS SALES'!$1:$500,MATCH('vlookup match'!E$1,ECOMMERS_SALES[#Headers],0))</f>
        <v>1</v>
      </c>
      <c r="F500">
        <f>VLOOKUP($A500,'ECOMMERS SALES'!$1:$500,MATCH('vlookup match'!F$1,ECOMMERS_SALES[#Headers],0))</f>
        <v>13343</v>
      </c>
      <c r="G500">
        <f>VLOOKUP($A500,'ECOMMERS SALES'!$1:$500,MATCH('vlookup match'!G$1,ECOMMERS_SALES[#Headers],0))</f>
        <v>13343</v>
      </c>
      <c r="H500" t="str">
        <f>VLOOKUP($A500,'ECOMMERS SALES'!$1:$500,MATCH('vlookup match'!H$1,ECOMMERS_SALES[#Headers],0))</f>
        <v>Hyderabad</v>
      </c>
      <c r="I500" t="str">
        <f>VLOOKUP($A500,'ECOMMERS SALES'!$1:$500,MATCH('vlookup match'!I$1,ECOMMERS_SALES[#Headers],0))</f>
        <v>Premimum</v>
      </c>
      <c r="J500" t="str">
        <f>VLOOKUP($A500,'ECOMMERS SALES'!$1:$500,MATCH('vlookup match'!J$1,ECOMMERS_SALES[#Headers],0))</f>
        <v>UPI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327956-3511-415E-96FE-378F9C1AD3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ECOMMERS SALES</vt:lpstr>
      <vt:lpstr>Aggrigate function</vt:lpstr>
      <vt:lpstr>index match</vt:lpstr>
      <vt:lpstr>vlookup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2026-10-02T04:07:34Z</dcterms:created>
  <dcterms:modified xsi:type="dcterms:W3CDTF">2026-10-02T12:26:33Z</dcterms:modified>
</cp:coreProperties>
</file>